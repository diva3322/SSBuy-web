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582" i="3" l="1"/>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C580" i="3" l="1"/>
  <c r="D580" i="3"/>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C726" i="3"/>
  <c r="D726" i="3"/>
  <c r="E726"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1" i="3" l="1"/>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<sst xmlns="http://schemas.openxmlformats.org/spreadsheetml/2006/main" count="15683" uniqueCount="9847">
  <si>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</si>
  <si>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</si>
  <si>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</si>
  <si>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</si>
  <si>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</si>
  <si>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</si>
  <si>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</si>
  <si>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</si>
  <si>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</si>
  <si>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</si>
  <si>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</si>
  <si>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</si>
  <si>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</si>
  <si>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</si>
  <si>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</si>
  <si>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</si>
  <si>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</si>
  <si>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</si>
  <si>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</si>
  <si>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</si>
  <si>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</si>
  <si>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</si>
  <si>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</si>
  <si>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</si>
  <si>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</si>
  <si>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</si>
  <si>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</si>
  <si>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</si>
  <si>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</si>
  <si>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</si>
  <si>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</si>
  <si>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</si>
  <si>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</si>
  <si>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</si>
  <si>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</si>
  <si>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</si>
  <si>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</si>
  <si>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</si>
  <si>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</si>
  <si>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</si>
  <si>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</si>
  <si>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</si>
  <si>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</si>
  <si>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</si>
  <si>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</si>
  <si>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</si>
  <si>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</si>
  <si>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</si>
  <si>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</si>
  <si>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</si>
  <si>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</si>
  <si>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</si>
  <si>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</si>
  <si>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</si>
  <si>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</si>
  <si>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</si>
  <si>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</si>
  <si>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</si>
  <si>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</si>
  <si>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</si>
  <si>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</si>
  <si>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</si>
  <si>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</si>
  <si>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</si>
  <si>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</si>
  <si>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</si>
  <si>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</si>
  <si>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</si>
  <si>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</si>
  <si>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</si>
  <si>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</si>
  <si>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</si>
  <si>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</si>
  <si>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</si>
  <si>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</si>
  <si>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</si>
  <si>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</si>
  <si>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</si>
  <si>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</si>
  <si>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</si>
  <si>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</si>
  <si>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</si>
  <si>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</si>
  <si>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</si>
  <si>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</si>
  <si>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</si>
  <si>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</si>
  <si>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</si>
  <si>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</si>
  <si>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</si>
  <si>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</si>
  <si>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</si>
  <si>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</si>
  <si>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</si>
  <si>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</si>
  <si>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</si>
  <si>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</si>
  <si>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</si>
  <si>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</si>
  <si>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</si>
  <si>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</si>
  <si>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</si>
  <si>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</si>
  <si>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</si>
  <si>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</si>
  <si>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</si>
  <si>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</si>
  <si>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</si>
  <si>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</si>
  <si>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</si>
  <si>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</si>
  <si>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</si>
  <si>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</si>
  <si>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</si>
  <si>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</si>
  <si>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</si>
  <si>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</si>
  <si>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</si>
  <si>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</si>
  <si>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</si>
  <si>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</si>
  <si>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</si>
  <si>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</si>
  <si>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</si>
  <si>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</si>
  <si>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</si>
  <si>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</si>
  <si>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</si>
  <si>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</si>
  <si>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</si>
  <si>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</si>
  <si>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</si>
  <si>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</si>
  <si>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</si>
  <si>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</si>
  <si>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</si>
  <si>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</si>
  <si>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</si>
  <si>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</si>
  <si>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</si>
  <si>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</si>
  <si>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</si>
  <si>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</si>
  <si>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</si>
  <si>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</si>
  <si>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</si>
  <si>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</si>
  <si>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</si>
  <si>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</si>
  <si>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</si>
  <si>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</si>
  <si>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</si>
  <si>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</si>
  <si>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</si>
  <si>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</si>
  <si>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</si>
  <si>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</si>
  <si>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</si>
  <si>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</si>
  <si>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</si>
  <si>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</si>
  <si>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</si>
  <si>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</si>
  <si>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</si>
  <si>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</si>
  <si>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</si>
  <si>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</si>
  <si>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</si>
  <si>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</si>
  <si>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</si>
  <si>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</si>
  <si>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</si>
  <si>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</si>
  <si>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</si>
  <si>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</si>
  <si>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</si>
  <si>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</si>
  <si>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</si>
  <si>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</si>
  <si>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</si>
  <si>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</si>
  <si>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</si>
  <si>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</si>
  <si>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</si>
  <si>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</si>
  <si>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</si>
  <si>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</si>
  <si>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</si>
  <si>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</si>
  <si>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</si>
  <si>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</si>
  <si>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</si>
  <si>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</si>
  <si>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</si>
  <si>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</si>
  <si>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</si>
  <si>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</si>
  <si>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</si>
  <si>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</si>
  <si>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</si>
  <si>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</si>
  <si>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</si>
  <si>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</si>
  <si>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</si>
  <si>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</si>
  <si>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</si>
  <si>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</si>
  <si>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</si>
  <si>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</si>
  <si>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</si>
  <si>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</si>
  <si>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</si>
  <si>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</si>
  <si>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</si>
  <si>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</si>
  <si>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</si>
  <si>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</si>
  <si>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</si>
  <si>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</si>
  <si>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</si>
  <si>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</si>
  <si>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</si>
  <si>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</si>
  <si>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</si>
  <si>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</si>
  <si>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</si>
  <si>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</si>
  <si>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</si>
  <si>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</si>
  <si>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</si>
  <si>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</si>
  <si>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</si>
  <si>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</si>
  <si>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</si>
  <si>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</si>
  <si>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</si>
  <si>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</si>
  <si>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</si>
  <si>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</si>
  <si>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</si>
  <si>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</si>
  <si>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</si>
  <si>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</si>
  <si>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</si>
  <si>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</si>
  <si>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</si>
  <si>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</si>
  <si>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</si>
  <si>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</si>
  <si>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</si>
  <si>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</si>
  <si>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</si>
  <si>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</si>
  <si>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</si>
  <si>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</si>
  <si>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</si>
  <si>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</si>
  <si>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</si>
  <si>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</si>
  <si>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</si>
  <si>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</si>
  <si>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</si>
  <si>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</si>
  <si>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</si>
  <si>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</si>
  <si>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</si>
  <si>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</si>
  <si>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</si>
  <si>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</si>
  <si>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</si>
  <si>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</si>
  <si>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</si>
  <si>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</si>
  <si>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</si>
  <si>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</si>
  <si>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</si>
  <si>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</si>
  <si>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</si>
  <si>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</si>
  <si>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</si>
  <si>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</si>
  <si>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</si>
  <si>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</si>
  <si>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</si>
  <si>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</si>
  <si>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</si>
  <si>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</si>
  <si>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</si>
  <si>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</si>
  <si>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</si>
  <si>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</si>
  <si>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</si>
  <si>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</si>
  <si>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</si>
  <si>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</si>
  <si>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</si>
  <si>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</si>
  <si>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</si>
  <si>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</si>
  <si>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</si>
  <si>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</si>
  <si>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</si>
  <si>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</si>
  <si>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</si>
  <si>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</si>
  <si>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</si>
  <si>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</si>
  <si>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</si>
  <si>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</si>
  <si>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</si>
  <si>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</si>
  <si>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</si>
  <si>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</si>
  <si>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</si>
  <si>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</si>
  <si>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</si>
  <si>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</si>
  <si>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</si>
  <si>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</si>
  <si>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</si>
  <si>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</si>
  <si>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</si>
  <si>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</si>
  <si>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</si>
  <si>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</si>
  <si>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</si>
  <si>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</si>
  <si>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</si>
  <si>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</si>
  <si>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</si>
  <si>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</si>
  <si>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</si>
  <si>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</si>
  <si>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</si>
  <si>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</si>
  <si>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</si>
  <si>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</si>
  <si>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</si>
  <si>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</si>
  <si>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</si>
  <si>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</si>
  <si>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</si>
  <si>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</si>
  <si>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</si>
  <si>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</si>
  <si>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</si>
  <si>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</si>
  <si>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</si>
  <si>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</si>
  <si>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</si>
  <si>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</si>
  <si>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</si>
  <si>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</si>
  <si>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</si>
  <si>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</si>
  <si>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</si>
  <si>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</si>
  <si>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</si>
  <si>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</si>
  <si>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</si>
  <si>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</si>
  <si>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</si>
  <si>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</si>
  <si>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</si>
  <si>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</si>
  <si>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</si>
  <si>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</si>
  <si>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</si>
  <si>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</si>
  <si>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</si>
  <si>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</si>
  <si>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</si>
  <si>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</si>
  <si>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</si>
  <si>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</si>
  <si>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</si>
  <si>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</si>
  <si>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</si>
  <si>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</si>
  <si>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</si>
  <si>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</si>
  <si>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</si>
  <si>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</si>
  <si>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</si>
  <si>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</si>
  <si>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</si>
  <si>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</si>
  <si>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</si>
  <si>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</si>
  <si>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</si>
  <si>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</si>
  <si>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</si>
  <si>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</si>
  <si>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</si>
  <si>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</si>
  <si>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</si>
  <si>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</si>
  <si>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</si>
  <si>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</si>
  <si>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</si>
  <si>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</si>
  <si>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</si>
  <si>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</si>
  <si>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</si>
  <si>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</si>
  <si>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</si>
  <si>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</si>
  <si>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</si>
  <si>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</si>
  <si>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</si>
  <si>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</si>
  <si>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</si>
  <si>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</si>
  <si>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</si>
  <si>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</si>
  <si>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</si>
  <si>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</si>
  <si>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</si>
  <si>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</si>
  <si>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</si>
  <si>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</si>
  <si>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</si>
  <si>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</si>
  <si>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</si>
  <si>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</si>
  <si>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</si>
  <si>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</si>
  <si>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</si>
  <si>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</si>
  <si>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</si>
  <si>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</si>
  <si>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</si>
  <si>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</si>
  <si>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</si>
  <si>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</si>
  <si>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</si>
  <si>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</si>
  <si>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</si>
  <si>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</si>
  <si>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</si>
  <si>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</si>
  <si>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</si>
  <si>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</si>
  <si>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</si>
  <si>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</si>
  <si>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</si>
  <si>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</si>
  <si>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</si>
  <si>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</si>
  <si>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</si>
  <si>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</si>
  <si>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</si>
  <si>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</si>
  <si>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</si>
  <si>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</si>
  <si>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</si>
  <si>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</si>
  <si>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</si>
  <si>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</si>
  <si>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</si>
  <si>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</si>
  <si>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</si>
  <si>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</si>
  <si>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</si>
  <si>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</si>
  <si>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</si>
  <si>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</si>
  <si>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</si>
  <si>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</si>
  <si>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</si>
  <si>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</si>
  <si>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</si>
  <si>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</si>
  <si>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</si>
  <si>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</si>
  <si>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</si>
  <si>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</si>
  <si>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</si>
  <si>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</si>
  <si>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</si>
  <si>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</si>
  <si>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</si>
  <si>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</si>
  <si>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</si>
  <si>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</si>
  <si>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</si>
  <si>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</si>
  <si>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</si>
  <si>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</si>
  <si>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</si>
  <si>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</si>
  <si>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</si>
  <si>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</si>
  <si>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</si>
  <si>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</si>
  <si>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</si>
  <si>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</si>
  <si>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</si>
  <si>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</si>
  <si>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</si>
  <si>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</si>
  <si>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</si>
  <si>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</si>
  <si>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</si>
  <si>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</si>
  <si>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</si>
  <si>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</si>
  <si>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</si>
  <si>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</si>
  <si>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</si>
  <si>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</si>
  <si>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</si>
  <si>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</si>
  <si>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</si>
  <si>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</si>
  <si>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</si>
  <si>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</si>
  <si>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</si>
  <si>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</si>
  <si>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</si>
  <si>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</si>
  <si>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</si>
  <si>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</si>
  <si>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</si>
  <si>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</si>
  <si>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</si>
  <si>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</si>
  <si>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</si>
  <si>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</si>
  <si>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</si>
  <si>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</si>
  <si>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</si>
  <si>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</si>
  <si>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</si>
  <si>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</si>
  <si>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</si>
  <si>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</si>
  <si>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</si>
  <si>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</si>
  <si>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</si>
  <si>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</si>
  <si>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</si>
  <si>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</si>
  <si>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</si>
  <si>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</si>
  <si>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</si>
  <si>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</si>
  <si>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</si>
  <si>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</si>
  <si>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</si>
  <si>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</si>
  <si>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</si>
  <si>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</si>
  <si>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</si>
  <si>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</si>
  <si>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</si>
  <si>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</si>
  <si>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</si>
  <si>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</si>
  <si>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</si>
  <si>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</si>
  <si>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</si>
  <si>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</si>
  <si>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</si>
  <si>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</si>
  <si>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</si>
  <si>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</si>
  <si>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</si>
  <si>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</si>
  <si>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</si>
  <si>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</si>
  <si>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</si>
  <si>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</si>
  <si>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</si>
  <si>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</si>
  <si>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</si>
  <si>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</si>
  <si>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</si>
  <si>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</si>
  <si>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</si>
  <si>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</si>
  <si>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</si>
  <si>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</si>
  <si>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</si>
  <si>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</si>
  <si>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</si>
  <si>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</si>
  <si>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</si>
  <si>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</si>
  <si>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</si>
  <si>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</si>
  <si>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</si>
  <si>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</si>
  <si>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</si>
  <si>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</si>
  <si>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</si>
  <si>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</si>
  <si>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</si>
  <si>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</si>
  <si>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</si>
  <si>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</si>
  <si>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</si>
  <si>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</si>
  <si>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</si>
  <si>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</si>
  <si>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</si>
  <si>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</si>
  <si>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</si>
  <si>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</si>
  <si>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</si>
  <si>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</si>
  <si>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</si>
  <si>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</si>
  <si>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</si>
  <si>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</si>
  <si>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</si>
  <si>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</si>
  <si>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</si>
  <si>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</si>
  <si>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</si>
  <si>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</si>
  <si>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</si>
  <si>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</si>
  <si>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</si>
  <si>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</si>
  <si>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</si>
  <si>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</si>
  <si>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</si>
  <si>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</si>
  <si>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</si>
  <si>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</si>
  <si>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</si>
  <si>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</si>
  <si>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</si>
  <si>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</si>
  <si>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</si>
  <si>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</si>
  <si>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</si>
  <si>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</si>
  <si>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</si>
  <si>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</si>
  <si>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</si>
  <si>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</si>
  <si>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</si>
  <si>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</si>
  <si>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</si>
  <si>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</si>
  <si>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</si>
  <si>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</si>
  <si>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</si>
  <si>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</si>
  <si>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</si>
  <si>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</si>
  <si>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</si>
  <si>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</si>
  <si>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</si>
  <si>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</si>
  <si>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</si>
  <si>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</si>
  <si>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</si>
  <si>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</si>
  <si>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</si>
  <si>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</si>
  <si>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</si>
  <si>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</si>
  <si>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</si>
  <si>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</si>
  <si>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</si>
  <si>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</si>
  <si>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</si>
  <si>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</si>
  <si>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</si>
  <si>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</si>
  <si>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</si>
  <si>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</si>
  <si>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</si>
  <si>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</si>
  <si>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</si>
  <si>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</si>
  <si>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</si>
  <si>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</si>
  <si>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</si>
  <si>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</si>
  <si>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</si>
  <si>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</si>
  <si>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</si>
  <si>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</si>
  <si>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</si>
  <si>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</si>
  <si>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</si>
  <si>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</si>
  <si>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</si>
  <si>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</si>
  <si>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</si>
  <si>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</si>
  <si>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</si>
  <si>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</si>
  <si>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</si>
  <si>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</si>
  <si>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</si>
  <si>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</si>
  <si>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</si>
  <si>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</si>
  <si>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</si>
  <si>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</si>
  <si>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</si>
  <si>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</si>
  <si>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</si>
  <si>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</si>
  <si>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</si>
  <si>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</si>
  <si>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</si>
  <si>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</si>
  <si>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</si>
  <si>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</si>
  <si>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</si>
  <si>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</si>
  <si>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</si>
  <si>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</si>
  <si>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</si>
  <si>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</si>
  <si>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</si>
  <si>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</si>
  <si>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</si>
  <si>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</si>
  <si>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</si>
  <si>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</si>
  <si>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</si>
  <si>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</si>
  <si>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</si>
  <si>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</si>
  <si>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</si>
  <si>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</si>
  <si>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</si>
  <si>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</si>
  <si>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</si>
  <si>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</si>
  <si>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</si>
  <si>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</si>
  <si>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</si>
  <si>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</si>
  <si>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</si>
  <si>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</si>
  <si>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</si>
  <si>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</si>
  <si>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</si>
  <si>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</si>
  <si>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</si>
  <si>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</si>
  <si>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</si>
  <si>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</si>
  <si>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</si>
  <si>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</si>
  <si>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</si>
  <si>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</si>
  <si>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</si>
  <si>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</si>
  <si>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</si>
  <si>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</si>
  <si>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</si>
  <si>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</si>
  <si>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</si>
  <si>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</si>
  <si>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</si>
  <si>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</si>
  <si>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</si>
  <si>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</si>
  <si>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</si>
  <si>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</si>
  <si>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</si>
  <si>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</si>
  <si>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</si>
  <si>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</si>
  <si>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</si>
  <si>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</si>
  <si>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</si>
  <si>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</si>
  <si>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</si>
  <si>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</si>
  <si>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</si>
  <si>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</si>
  <si>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</si>
  <si>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</si>
  <si>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</si>
  <si>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</si>
  <si>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</si>
  <si>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</si>
  <si>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</si>
  <si>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</si>
  <si>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</si>
  <si>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</si>
  <si>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</si>
  <si>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</si>
  <si>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</si>
  <si>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</si>
  <si>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</si>
  <si>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</si>
  <si>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</si>
  <si>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</si>
  <si>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</si>
  <si>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</si>
  <si>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</si>
  <si>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</si>
  <si>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</si>
  <si>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</si>
  <si>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</si>
  <si>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</si>
  <si>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</si>
  <si>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</si>
  <si>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</si>
  <si>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</si>
  <si>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</si>
  <si>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</si>
  <si>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</si>
  <si>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</si>
  <si>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</si>
  <si>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</si>
  <si>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</si>
  <si>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</si>
  <si>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</si>
  <si>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</si>
  <si>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</si>
  <si>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</si>
  <si>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</si>
  <si>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</si>
  <si>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</si>
  <si>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</si>
  <si>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</si>
  <si>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</si>
  <si>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</si>
  <si>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</si>
  <si>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</si>
  <si>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</si>
  <si>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</si>
  <si>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</si>
  <si>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</si>
  <si>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</si>
  <si>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</si>
  <si>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</si>
  <si>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</si>
  <si>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</si>
  <si>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</si>
  <si>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</si>
  <si>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</si>
  <si>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</si>
  <si>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</si>
  <si>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</si>
  <si>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</si>
  <si>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</si>
  <si>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</si>
  <si>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</si>
  <si>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</si>
  <si>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</si>
  <si>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</si>
  <si>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</si>
  <si>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</si>
  <si>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</si>
  <si>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</si>
  <si>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</si>
  <si>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</si>
  <si>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</si>
  <si>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</si>
  <si>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</si>
  <si>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</si>
  <si>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</si>
  <si>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</si>
  <si>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</si>
  <si>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</si>
  <si>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</si>
  <si>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</si>
  <si>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</si>
  <si>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</si>
  <si>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</si>
  <si>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</si>
  <si>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</si>
  <si>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</si>
  <si>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</si>
  <si>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</si>
  <si>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</si>
  <si>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</si>
  <si>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</si>
  <si>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</si>
  <si>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</si>
  <si>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</si>
  <si>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</si>
  <si>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</si>
  <si>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</si>
  <si>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</si>
  <si>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</si>
  <si>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</si>
  <si>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</si>
  <si>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</si>
  <si>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</si>
  <si>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</si>
  <si>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</si>
  <si>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</si>
  <si>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</si>
  <si>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</si>
  <si>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</si>
  <si>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</si>
  <si>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</si>
  <si>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</si>
  <si>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</si>
  <si>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</si>
  <si>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</si>
  <si>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</si>
  <si>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</si>
  <si>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</si>
  <si>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</si>
  <si>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</si>
  <si>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</si>
  <si>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</si>
  <si>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</si>
  <si>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</si>
  <si>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</si>
  <si>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</si>
  <si>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</si>
  <si>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</si>
  <si>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</si>
  <si>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</si>
  <si>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</si>
  <si>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</si>
  <si>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</si>
  <si>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</si>
  <si>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</si>
  <si>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</si>
  <si>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</si>
  <si>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</si>
  <si>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</si>
  <si>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</si>
  <si>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</si>
  <si>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</si>
  <si>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</si>
  <si>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</si>
  <si>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</si>
  <si>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</si>
  <si>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</si>
  <si>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</si>
  <si>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</si>
  <si>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</si>
  <si>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</si>
  <si>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</si>
  <si>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</si>
  <si>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</si>
  <si>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</si>
  <si>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</si>
  <si>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</si>
  <si>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</si>
  <si>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</si>
  <si>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</si>
  <si>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</si>
  <si>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</si>
  <si>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</si>
  <si>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</si>
  <si>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</si>
  <si>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</si>
  <si>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</si>
  <si>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</si>
  <si>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</si>
  <si>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</si>
  <si>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</si>
  <si>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</si>
  <si>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</si>
  <si>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</si>
  <si>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</si>
  <si>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</si>
  <si>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</si>
  <si>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</si>
  <si>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</si>
  <si>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</si>
  <si>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</si>
  <si>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</si>
  <si>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</si>
  <si>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</si>
  <si>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</si>
  <si>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</si>
  <si>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</si>
  <si>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</si>
  <si>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</si>
  <si>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</si>
  <si>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</si>
  <si>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</si>
  <si>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</si>
  <si>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</si>
  <si>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</si>
  <si>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</si>
  <si>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</si>
  <si>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</si>
  <si>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</si>
  <si>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</si>
  <si>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</si>
  <si>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</si>
  <si>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</si>
  <si>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</si>
  <si>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</si>
  <si>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</si>
  <si>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</si>
  <si>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</si>
  <si>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</si>
  <si>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</si>
  <si>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</si>
  <si>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</si>
  <si>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</si>
  <si>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</si>
  <si>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</si>
  <si>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</si>
  <si>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</si>
  <si>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</si>
  <si>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</si>
  <si>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</si>
  <si>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</si>
  <si>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</si>
  <si>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</si>
  <si>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</si>
  <si>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</si>
  <si>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</si>
  <si>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</si>
  <si>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</si>
  <si>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</si>
  <si>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</si>
  <si>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</si>
  <si>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</si>
  <si>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</si>
  <si>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</si>
  <si>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</si>
  <si>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</si>
  <si>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</si>
  <si>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</si>
  <si>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</si>
  <si>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</si>
  <si>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</si>
  <si>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</si>
  <si>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</si>
  <si>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</si>
  <si>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</si>
  <si>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</si>
  <si>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</si>
  <si>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</si>
  <si>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</si>
  <si>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</si>
  <si>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</si>
  <si>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</si>
  <si>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</si>
  <si>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</si>
  <si>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</si>
  <si>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</si>
  <si>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</si>
  <si>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</si>
  <si>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</si>
  <si>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</si>
  <si>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</si>
  <si>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</si>
  <si>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</si>
  <si>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</si>
  <si>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</si>
  <si>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</si>
  <si>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</si>
  <si>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</si>
  <si>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</si>
  <si>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</si>
  <si>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</si>
  <si>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</si>
  <si>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</si>
  <si>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</si>
  <si>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</si>
  <si>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</si>
  <si>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</si>
  <si>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</si>
  <si>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</si>
  <si>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</si>
  <si>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</si>
  <si>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</si>
  <si>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</si>
  <si>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</si>
  <si>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</si>
  <si>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</si>
  <si>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</si>
  <si>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</si>
  <si>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</si>
  <si>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</si>
  <si>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</si>
  <si>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</si>
  <si>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</si>
  <si>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</si>
  <si>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</si>
  <si>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</si>
  <si>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</si>
  <si>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</si>
  <si>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</si>
  <si>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</si>
  <si>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</si>
  <si>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</si>
  <si>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</si>
  <si>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</si>
  <si>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</si>
  <si>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</si>
  <si>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</si>
  <si>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</si>
  <si>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</si>
  <si>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</si>
  <si>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</si>
  <si>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</si>
  <si>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</si>
  <si>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</si>
  <si>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</si>
  <si>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</si>
  <si>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</si>
  <si>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</si>
  <si>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</si>
  <si>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</si>
  <si>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</si>
  <si>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</si>
  <si>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</si>
  <si>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</si>
  <si>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</si>
  <si>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</si>
  <si>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</si>
  <si>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</si>
  <si>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</si>
  <si>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</si>
  <si>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</si>
  <si>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</si>
  <si>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</si>
  <si>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</si>
  <si>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</si>
  <si>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</si>
  <si>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</si>
  <si>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</si>
  <si>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</si>
  <si>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</si>
  <si>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</si>
  <si>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</si>
  <si>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</si>
  <si>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</si>
  <si>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</si>
  <si>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</si>
  <si>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</si>
  <si>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</si>
  <si>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</si>
  <si>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</si>
  <si>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</si>
  <si>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</si>
  <si>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</si>
  <si>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</si>
  <si>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</si>
  <si>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</si>
  <si>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</si>
  <si>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</si>
  <si>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</si>
  <si>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</si>
  <si>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</si>
  <si>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</si>
  <si>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</si>
  <si>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</si>
  <si>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</si>
  <si>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</si>
  <si>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</si>
  <si>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</si>
  <si>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</si>
  <si>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</si>
  <si>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</si>
  <si>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</si>
  <si>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</si>
  <si>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</si>
  <si>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</si>
  <si>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</si>
  <si>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</si>
  <si>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</si>
  <si>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</si>
  <si>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</si>
  <si>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</si>
  <si>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</si>
  <si>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</si>
  <si>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</si>
  <si>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</si>
  <si>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</si>
  <si>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</si>
  <si>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</si>
  <si>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</si>
  <si>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</si>
  <si>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</si>
  <si>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</si>
  <si>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</si>
  <si>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</si>
  <si>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</si>
  <si>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</si>
  <si>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</si>
  <si>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</si>
  <si>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</si>
  <si>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</si>
  <si>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</si>
  <si>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</si>
  <si>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</si>
  <si>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</si>
  <si>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</si>
  <si>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</si>
  <si>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</si>
  <si>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</si>
  <si>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</si>
  <si>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</si>
  <si>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</si>
  <si>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</si>
  <si>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</si>
  <si>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</si>
  <si>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</si>
  <si>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</si>
  <si>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</si>
  <si>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</si>
  <si>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</si>
  <si>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</si>
  <si>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</si>
  <si>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</si>
  <si>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</si>
  <si>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</si>
  <si>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</si>
  <si>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</si>
  <si>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</si>
  <si>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</si>
  <si>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</si>
  <si>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</si>
  <si>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</si>
  <si>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</si>
  <si>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</si>
  <si>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</si>
  <si>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</si>
  <si>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</si>
  <si>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</si>
  <si>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</si>
  <si>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</si>
  <si>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</si>
  <si>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</si>
  <si>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</si>
  <si>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</si>
  <si>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</si>
  <si>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</si>
  <si>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</si>
  <si>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</si>
  <si>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</si>
  <si>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</si>
  <si>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</si>
  <si>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</si>
  <si>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</si>
  <si>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</si>
  <si>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</si>
  <si>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</si>
  <si>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</si>
  <si>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</si>
  <si>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</si>
  <si>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</si>
  <si>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</si>
  <si>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</si>
  <si>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</si>
  <si>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</si>
  <si>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</si>
  <si>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</si>
  <si>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</si>
  <si>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</si>
  <si>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</si>
  <si>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</si>
  <si>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</si>
  <si>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</si>
  <si>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</si>
  <si>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</si>
  <si>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</si>
  <si>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</si>
  <si>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</si>
  <si>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</si>
  <si>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</si>
  <si>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</si>
  <si>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</si>
  <si>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</si>
  <si>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</si>
  <si>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</si>
  <si>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</si>
  <si>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</si>
  <si>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</si>
  <si>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</si>
  <si>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</si>
  <si>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</si>
  <si>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</si>
  <si>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</si>
  <si>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</si>
  <si>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</si>
  <si>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</si>
  <si>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</si>
  <si>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</si>
  <si>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</si>
  <si>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</si>
  <si>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</si>
  <si>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</si>
  <si>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</si>
  <si>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</si>
  <si>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</si>
  <si>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</si>
  <si>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</si>
  <si>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</si>
  <si>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</si>
  <si>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</si>
  <si>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</si>
  <si>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</si>
  <si>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</si>
  <si>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</si>
  <si>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</si>
  <si>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</si>
  <si>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</si>
  <si>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</si>
  <si>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</si>
  <si>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</si>
  <si>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</si>
  <si>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</si>
  <si>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</si>
  <si>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</si>
  <si>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</si>
  <si>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</si>
  <si>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</si>
  <si>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</si>
  <si>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</si>
  <si>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</si>
  <si>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</si>
  <si>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</si>
  <si>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</si>
  <si>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</si>
  <si>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</si>
  <si>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</si>
  <si>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</si>
  <si>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</si>
  <si>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</si>
  <si>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</si>
  <si>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</si>
  <si>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</si>
  <si>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</si>
  <si>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</si>
  <si>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</si>
  <si>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</si>
  <si>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</si>
  <si>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</si>
  <si>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</si>
  <si>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</si>
  <si>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</si>
  <si>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</si>
  <si>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</si>
  <si>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</si>
  <si>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</si>
  <si>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</si>
  <si>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</si>
  <si>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</si>
  <si>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</si>
  <si>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</si>
  <si>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</si>
  <si>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</si>
  <si>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</si>
  <si>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</si>
  <si>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</si>
  <si>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</si>
  <si>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</si>
  <si>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</si>
  <si>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</si>
  <si>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</si>
  <si>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</si>
  <si>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</si>
  <si>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</si>
  <si>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</si>
  <si>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</si>
  <si>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</si>
  <si>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</si>
  <si>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</si>
  <si>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</si>
  <si>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</si>
  <si>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</si>
  <si>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</si>
  <si>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</si>
  <si>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</si>
  <si>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</si>
  <si>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</si>
  <si>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</si>
  <si>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</si>
  <si>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</si>
  <si>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</si>
  <si>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</si>
  <si>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</si>
  <si>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</si>
  <si>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</si>
  <si>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</si>
  <si>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</si>
  <si>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</si>
  <si>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</si>
  <si>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</si>
  <si>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</si>
  <si>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</si>
  <si>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</si>
  <si>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</si>
  <si>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</si>
  <si>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</si>
  <si>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</si>
  <si>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</si>
  <si>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</si>
  <si>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</si>
  <si>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</si>
  <si>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</si>
  <si>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</si>
  <si>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</si>
  <si>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</si>
  <si>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</si>
  <si>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</si>
  <si>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</si>
  <si>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</si>
  <si>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</si>
  <si>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</si>
  <si>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</si>
  <si>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</si>
  <si>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</si>
  <si>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</si>
  <si>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</si>
  <si>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</si>
  <si>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</si>
  <si>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</si>
  <si>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</si>
  <si>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</si>
  <si>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</si>
  <si>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</si>
  <si>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</si>
  <si>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</si>
  <si>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</si>
  <si>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</si>
  <si>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</si>
  <si>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</si>
  <si>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</si>
  <si>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</si>
  <si>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</si>
  <si>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</si>
  <si>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</si>
  <si>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</si>
  <si>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</si>
  <si>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</si>
  <si>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</si>
  <si>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</si>
  <si>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</si>
  <si>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</si>
  <si>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</si>
  <si>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</si>
  <si>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</si>
  <si>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</si>
  <si>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</si>
  <si>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</si>
  <si>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</si>
  <si>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</si>
  <si>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</si>
  <si>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</si>
  <si>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</si>
  <si>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</si>
  <si>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</si>
  <si>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</si>
  <si>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</si>
  <si>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</si>
  <si>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</si>
  <si>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</si>
  <si>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</si>
  <si>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</si>
  <si>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</si>
  <si>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</si>
  <si>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</si>
  <si>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</si>
  <si>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</si>
  <si>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</si>
  <si>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</si>
  <si>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</si>
  <si>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</si>
  <si>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</si>
  <si>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</si>
  <si>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</si>
  <si>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</si>
  <si>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</si>
  <si>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</si>
  <si>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</si>
  <si>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</si>
  <si>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</si>
  <si>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</si>
  <si>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</si>
  <si>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</si>
  <si>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</si>
  <si>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</si>
  <si>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</si>
  <si>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</si>
  <si>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</si>
  <si>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</si>
  <si>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</si>
  <si>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</si>
  <si>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</si>
  <si>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</si>
  <si>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</si>
  <si>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</si>
  <si>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</si>
  <si>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</si>
  <si>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</si>
  <si>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</si>
  <si>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</si>
  <si>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</si>
  <si>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</si>
  <si>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</si>
  <si>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</si>
  <si>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</si>
  <si>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</si>
  <si>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</si>
  <si>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</si>
  <si>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</si>
  <si>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</si>
  <si>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</si>
  <si>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</si>
  <si>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</si>
  <si>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</si>
  <si>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</si>
  <si>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</si>
  <si>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</si>
  <si>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</si>
  <si>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</si>
  <si>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</si>
  <si>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</si>
  <si>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</si>
  <si>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</si>
  <si>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</si>
  <si>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</si>
  <si>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</si>
  <si>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</si>
  <si>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</si>
  <si>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</si>
  <si>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</si>
  <si>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</si>
  <si>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</si>
  <si>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</si>
  <si>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</si>
  <si>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</si>
  <si>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</si>
  <si>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</si>
  <si>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</si>
  <si>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</si>
  <si>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</si>
  <si>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</si>
  <si>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</si>
  <si>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</si>
  <si>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</si>
  <si>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</si>
  <si>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</si>
  <si>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</si>
  <si>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</si>
  <si>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</si>
  <si>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</si>
  <si>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</si>
  <si>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</si>
  <si>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</si>
  <si>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</si>
  <si>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</si>
  <si>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</si>
  <si>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</si>
  <si>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</si>
  <si>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</si>
  <si>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</si>
  <si>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</si>
  <si>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</si>
  <si>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</si>
  <si>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</si>
  <si>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</si>
  <si>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</si>
  <si>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</si>
  <si>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</si>
  <si>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</si>
  <si>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</si>
  <si>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</si>
  <si>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</si>
  <si>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</si>
  <si>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</si>
  <si>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</si>
  <si>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</si>
  <si>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</si>
  <si>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</si>
  <si>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</si>
  <si>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</si>
  <si>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</si>
  <si>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</si>
  <si>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</si>
  <si>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</si>
  <si>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</si>
  <si>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</si>
  <si>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</si>
  <si>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</si>
  <si>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</si>
  <si>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</si>
  <si>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</si>
  <si>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</si>
  <si>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</si>
  <si>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</si>
  <si>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</si>
  <si>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</si>
  <si>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</si>
  <si>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</si>
  <si>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</si>
  <si>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</si>
  <si>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</si>
  <si>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</si>
  <si>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</si>
  <si>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</si>
  <si>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</si>
  <si>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</si>
  <si>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</si>
  <si>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</si>
  <si>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</si>
  <si>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</si>
  <si>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</si>
  <si>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</si>
  <si>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</si>
  <si>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</si>
  <si>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</si>
  <si>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</si>
  <si>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</si>
  <si>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</si>
  <si>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</si>
  <si>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</si>
  <si>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</si>
  <si>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</si>
  <si>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</si>
  <si>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</si>
  <si>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</si>
  <si>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</si>
  <si>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</si>
  <si>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</si>
  <si>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</si>
  <si>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</si>
  <si>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</si>
  <si>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</si>
  <si>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</si>
  <si>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</si>
  <si>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</si>
  <si>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</si>
  <si>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</si>
  <si>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</si>
  <si>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</si>
  <si>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</si>
  <si>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</si>
  <si>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</si>
  <si>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</si>
  <si>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</si>
  <si>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</si>
  <si>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</si>
  <si>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</si>
  <si>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</si>
  <si>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</si>
  <si>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</si>
  <si>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</si>
  <si>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</si>
  <si>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</si>
  <si>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</si>
  <si>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</si>
  <si>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</si>
  <si>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</si>
  <si>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</si>
  <si>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</si>
  <si>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</si>
  <si>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</si>
  <si>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</si>
  <si>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</si>
  <si>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</si>
  <si>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</si>
  <si>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</si>
  <si>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</si>
  <si>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</si>
  <si>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</si>
  <si>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</si>
  <si>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</si>
  <si>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</si>
  <si>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</si>
  <si>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</si>
  <si>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</si>
  <si>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</si>
  <si>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</si>
  <si>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</si>
  <si>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</si>
  <si>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</si>
  <si>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</si>
  <si>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</si>
  <si>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</si>
  <si>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</si>
  <si>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</si>
  <si>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</si>
  <si>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</si>
  <si>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</si>
  <si>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</si>
  <si>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</si>
  <si>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</si>
  <si>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</si>
  <si>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</si>
  <si>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</si>
  <si>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</si>
  <si>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</si>
  <si>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</si>
  <si>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</si>
  <si>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</si>
  <si>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</si>
  <si>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</si>
  <si>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</si>
  <si>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</si>
  <si>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</si>
  <si>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</si>
  <si>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</si>
  <si>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</si>
  <si>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</si>
  <si>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</si>
  <si>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</si>
  <si>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</si>
  <si>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</si>
  <si>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</si>
  <si>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</si>
  <si>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</si>
  <si>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</si>
  <si>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</si>
  <si>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</si>
  <si>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</si>
  <si>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</si>
  <si>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</si>
  <si>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</si>
  <si>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</si>
  <si>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</si>
  <si>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</si>
  <si>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</si>
  <si>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</si>
  <si>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</si>
  <si>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</si>
  <si>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</si>
  <si>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</si>
  <si>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</si>
  <si>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</si>
  <si>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</si>
  <si>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</si>
  <si>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</si>
  <si>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</si>
  <si>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</si>
  <si>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</si>
  <si>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</si>
  <si>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</si>
  <si>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</si>
  <si>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</si>
  <si>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</si>
  <si>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</si>
  <si>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</si>
  <si>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</si>
  <si>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</si>
  <si>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</si>
  <si>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</si>
  <si>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</si>
  <si>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</si>
  <si>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</si>
  <si>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</si>
  <si>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</si>
  <si>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</si>
  <si>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</si>
  <si>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</si>
  <si>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</si>
  <si>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</si>
  <si>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</si>
  <si>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</si>
  <si>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</si>
  <si>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</si>
  <si>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</si>
  <si>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</si>
  <si>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</si>
  <si>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</si>
  <si>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</si>
  <si>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</si>
  <si>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</si>
  <si>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</si>
  <si>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</si>
  <si>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</si>
  <si>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</si>
  <si>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</si>
  <si>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</si>
  <si>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</si>
  <si>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</si>
  <si>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</si>
  <si>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</si>
  <si>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</si>
  <si>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</si>
  <si>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</si>
  <si>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</si>
  <si>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</si>
  <si>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</si>
  <si>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</si>
  <si>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</si>
  <si>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</si>
  <si>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</si>
  <si>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</si>
  <si>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</si>
  <si>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</si>
  <si>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</si>
  <si>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</si>
  <si>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</si>
  <si>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</si>
  <si>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</si>
  <si>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</si>
  <si>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</si>
  <si>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</si>
  <si>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</si>
  <si>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</si>
  <si>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</si>
  <si>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</si>
  <si>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</si>
  <si>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</si>
  <si>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</si>
  <si>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</si>
  <si>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</si>
  <si>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</si>
  <si>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</si>
  <si>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</si>
  <si>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</si>
  <si>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</si>
  <si>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</si>
  <si>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</si>
  <si>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</si>
  <si>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</si>
  <si>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</si>
  <si>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</si>
  <si>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</si>
  <si>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</si>
  <si>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</si>
  <si>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</si>
  <si>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</si>
  <si>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</si>
  <si>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</si>
  <si>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</si>
  <si>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</si>
  <si>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</si>
  <si>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</si>
  <si>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</si>
  <si>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</si>
  <si>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</si>
  <si>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</si>
  <si>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</si>
  <si>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</si>
  <si>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</si>
  <si>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</si>
  <si>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</si>
  <si>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</si>
  <si>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</si>
  <si>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</si>
  <si>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</si>
  <si>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</si>
  <si>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</si>
  <si>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</si>
  <si>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</si>
  <si>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</si>
  <si>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</si>
  <si>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</si>
  <si>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</si>
  <si>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</si>
  <si>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</si>
  <si>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</si>
  <si>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</si>
  <si>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</si>
  <si>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</si>
  <si>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</si>
  <si>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</si>
  <si>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</si>
  <si>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</si>
  <si>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</si>
  <si>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</si>
  <si>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</si>
  <si>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</si>
  <si>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</si>
  <si>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</si>
  <si>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</si>
  <si>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</si>
  <si>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</si>
  <si>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</si>
  <si>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</si>
  <si>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</si>
  <si>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</si>
  <si>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</si>
  <si>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</si>
  <si>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</si>
  <si>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</si>
  <si>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</si>
  <si>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</si>
  <si>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</si>
  <si>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</si>
  <si>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</si>
  <si>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</si>
  <si>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</si>
  <si>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</si>
  <si>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</si>
  <si>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</si>
  <si>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</si>
  <si>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</si>
  <si>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</si>
  <si>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</si>
  <si>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</si>
  <si>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</si>
  <si>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</si>
  <si>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</si>
  <si>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</si>
  <si>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</si>
  <si>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</si>
  <si>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</si>
  <si>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</si>
  <si>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</si>
  <si>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</si>
  <si>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</si>
  <si>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</si>
  <si>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</si>
  <si>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</si>
  <si>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</si>
  <si>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</si>
  <si>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</si>
  <si>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</si>
  <si>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</si>
  <si>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</si>
  <si>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</si>
  <si>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</si>
  <si>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</si>
  <si>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</si>
  <si>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</si>
  <si>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</si>
  <si>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</si>
  <si>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</si>
  <si>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</si>
  <si>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</si>
  <si>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</si>
  <si>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</si>
  <si>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</si>
  <si>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</si>
  <si>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</si>
  <si>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</si>
  <si>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</si>
  <si>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</si>
  <si>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</si>
  <si>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</si>
  <si>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</si>
  <si>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</si>
  <si>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</si>
  <si>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</si>
  <si>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</si>
  <si>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</si>
  <si>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</si>
  <si>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</si>
  <si>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</si>
  <si>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</si>
  <si>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</si>
  <si>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</si>
  <si>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</si>
  <si>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</si>
  <si>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</si>
  <si>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</si>
  <si>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</si>
  <si>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</si>
  <si>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</si>
  <si>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</si>
  <si>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</si>
  <si>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</si>
  <si>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</si>
  <si>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</si>
  <si>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</si>
  <si>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</si>
  <si>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</si>
  <si>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</si>
  <si>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</si>
  <si>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</si>
  <si>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</si>
  <si>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</si>
  <si>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</si>
  <si>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</si>
  <si>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</si>
  <si>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</si>
  <si>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</si>
  <si>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</si>
  <si>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</si>
  <si>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</si>
  <si>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</si>
  <si>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</si>
  <si>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</si>
  <si>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</si>
  <si>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</si>
  <si>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</si>
  <si>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</si>
  <si>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</si>
  <si>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</si>
  <si>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</si>
  <si>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</si>
  <si>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</si>
  <si>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</si>
  <si>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</si>
  <si>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</si>
  <si>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</si>
  <si>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</si>
  <si>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</si>
  <si>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</si>
  <si>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</si>
  <si>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</si>
  <si>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</si>
  <si>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</si>
  <si>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</si>
  <si>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</si>
  <si>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</si>
  <si>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</si>
  <si>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</si>
  <si>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</si>
  <si>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</si>
  <si>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</si>
  <si>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</si>
  <si>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</si>
  <si>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</si>
  <si>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</si>
  <si>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</si>
  <si>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</si>
  <si>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</si>
  <si>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</si>
  <si>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</si>
  <si>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</si>
  <si>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</si>
  <si>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</si>
  <si>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</si>
  <si>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</si>
  <si>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</si>
  <si>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</si>
  <si>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</si>
  <si>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</si>
  <si>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</si>
  <si>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</si>
  <si>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</si>
  <si>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</si>
  <si>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</si>
  <si>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</si>
  <si>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</si>
  <si>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</si>
  <si>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</si>
  <si>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</si>
  <si>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</si>
  <si>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</si>
  <si>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</si>
  <si>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</si>
  <si>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</si>
  <si>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</si>
  <si>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</si>
  <si>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</si>
  <si>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</si>
  <si>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</si>
  <si>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</si>
  <si>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</si>
  <si>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</si>
  <si>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</si>
  <si>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</si>
  <si>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</si>
  <si>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</si>
  <si>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</si>
  <si>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</si>
  <si>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</si>
  <si>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</si>
  <si>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</si>
  <si>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</si>
  <si>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</si>
  <si>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</si>
  <si>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</si>
  <si>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</si>
  <si>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</si>
  <si>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</si>
  <si>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</si>
  <si>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</si>
  <si>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</si>
  <si>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</si>
  <si>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</si>
  <si>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</si>
  <si>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</si>
  <si>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</si>
  <si>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</si>
  <si>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</si>
  <si>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</si>
  <si>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</si>
  <si>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</si>
  <si>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</si>
  <si>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</si>
  <si>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</si>
  <si>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</si>
  <si>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</si>
  <si>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</si>
  <si>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</si>
  <si>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</si>
  <si>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</si>
  <si>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</si>
  <si>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</si>
  <si>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</si>
  <si>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</si>
  <si>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</si>
  <si>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</si>
  <si>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</si>
  <si>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</si>
  <si>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</si>
  <si>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</si>
  <si>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</si>
  <si>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</si>
  <si>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</si>
  <si>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</si>
  <si>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</si>
  <si>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</si>
  <si>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</si>
  <si>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</si>
  <si>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</si>
  <si>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</si>
  <si>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</si>
  <si>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</si>
  <si>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</si>
  <si>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</si>
  <si>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</si>
  <si>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</si>
  <si>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</si>
  <si>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</si>
  <si>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</si>
  <si>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</si>
  <si>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</si>
  <si>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</si>
  <si>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</si>
  <si>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</si>
  <si>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</si>
  <si>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</si>
  <si>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</si>
  <si>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</si>
  <si>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</si>
  <si>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</si>
  <si>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</si>
  <si>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</si>
  <si>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</si>
  <si>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</si>
  <si>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</si>
  <si>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</si>
  <si>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</si>
  <si>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</si>
  <si>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</si>
  <si>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</si>
  <si>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</si>
  <si>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</si>
  <si>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</si>
  <si>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</si>
  <si>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</si>
  <si>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</si>
  <si>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</si>
  <si>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</si>
  <si>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</si>
  <si>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</si>
  <si>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</si>
  <si>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</si>
  <si>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</si>
  <si>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</si>
  <si>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</si>
  <si>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</si>
  <si>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</si>
  <si>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</si>
  <si>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</si>
  <si>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</si>
  <si>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</si>
  <si>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</si>
  <si>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</si>
  <si>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</si>
  <si>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</si>
  <si>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</si>
  <si>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</si>
  <si>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</si>
  <si>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</si>
  <si>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</si>
  <si>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</si>
  <si>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</si>
  <si>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</si>
  <si>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</si>
  <si>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</si>
  <si>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</si>
  <si>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</si>
  <si>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</si>
  <si>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</si>
  <si>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</si>
  <si>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</si>
  <si>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</si>
  <si>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</si>
  <si>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</si>
  <si>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</si>
  <si>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</si>
  <si>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</si>
  <si>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</si>
  <si>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</si>
  <si>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</si>
  <si>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</si>
  <si>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</si>
  <si>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</si>
  <si>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</si>
  <si>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</si>
  <si>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</si>
  <si>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</si>
  <si>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</si>
  <si>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</si>
  <si>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</si>
  <si>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</si>
  <si>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</si>
  <si>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</si>
  <si>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</si>
  <si>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</si>
  <si>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</si>
  <si>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</si>
  <si>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</si>
  <si>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</si>
  <si>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</si>
  <si>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</si>
  <si>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</si>
  <si>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</si>
  <si>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</si>
  <si>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</si>
  <si>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</si>
  <si>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</si>
  <si>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</si>
  <si>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</si>
  <si>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</si>
  <si>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</si>
  <si>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</si>
  <si>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</si>
  <si>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</si>
  <si>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</si>
  <si>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</si>
  <si>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</si>
  <si>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</si>
  <si>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</si>
  <si>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</si>
  <si>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</si>
  <si>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</si>
  <si>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</si>
  <si>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</si>
  <si>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</si>
  <si>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</si>
  <si>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</si>
  <si>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</si>
  <si>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</si>
  <si>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</si>
  <si>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</si>
  <si>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</si>
  <si>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</si>
  <si>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</si>
  <si>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</si>
  <si>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</si>
  <si>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</si>
  <si>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</si>
  <si>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</si>
  <si>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</si>
  <si>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</si>
  <si>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</si>
  <si>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</si>
  <si>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</si>
  <si>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</si>
  <si>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</si>
  <si>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</si>
  <si>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</si>
  <si>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</si>
  <si>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</si>
  <si>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</si>
  <si>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</si>
  <si>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</si>
  <si>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</si>
  <si>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</si>
  <si>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</si>
  <si>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</si>
  <si>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</si>
  <si>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</si>
  <si>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</si>
  <si>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</si>
  <si>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</si>
  <si>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</si>
  <si>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</si>
  <si>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</si>
  <si>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</si>
  <si>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</si>
  <si>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</si>
  <si>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</si>
  <si>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</si>
  <si>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</si>
  <si>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</si>
  <si>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</si>
  <si>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</si>
  <si>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</si>
  <si>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</si>
  <si>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</si>
  <si>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</si>
  <si>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</si>
  <si>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</si>
  <si>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</si>
  <si>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</si>
  <si>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</si>
  <si>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</si>
  <si>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</si>
  <si>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</si>
  <si>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</si>
  <si>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</si>
  <si>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</si>
  <si>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</si>
  <si>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</si>
  <si>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</si>
  <si>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</si>
  <si>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</si>
  <si>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</si>
  <si>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</si>
  <si>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</si>
  <si>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</si>
  <si>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</si>
  <si>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</si>
  <si>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</si>
  <si>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</si>
  <si>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</si>
  <si>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</si>
  <si>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</si>
  <si>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</si>
  <si>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</si>
  <si>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</si>
  <si>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</si>
  <si>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</si>
  <si>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</si>
  <si>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</si>
  <si>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</si>
  <si>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</si>
  <si>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</si>
  <si>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</si>
  <si>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</si>
  <si>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</si>
  <si>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</si>
  <si>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</si>
  <si>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</si>
  <si>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</si>
  <si>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</si>
  <si>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</si>
  <si>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</si>
  <si>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</si>
  <si>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</si>
  <si>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</si>
  <si>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</si>
  <si>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</si>
  <si>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</si>
  <si>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</si>
  <si>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</si>
  <si>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</si>
  <si>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</si>
  <si>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</si>
  <si>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</si>
  <si>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</si>
  <si>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</si>
  <si>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</si>
  <si>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</si>
  <si>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</si>
  <si>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</si>
  <si>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</si>
  <si>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</si>
  <si>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</si>
  <si>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</si>
  <si>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</si>
  <si>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</si>
  <si>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</si>
  <si>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</si>
  <si>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</si>
  <si>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</si>
  <si>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</si>
  <si>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</si>
  <si>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</si>
  <si>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</si>
  <si>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</si>
  <si>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</si>
  <si>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</si>
  <si>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</si>
  <si>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</si>
  <si>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</si>
  <si>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</si>
  <si>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</si>
  <si>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</si>
  <si>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</si>
  <si>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</si>
  <si>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</si>
  <si>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</si>
  <si>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</si>
  <si>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</si>
  <si>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</si>
  <si>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</si>
  <si>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</si>
  <si>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</si>
  <si>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</si>
  <si>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</si>
  <si>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</si>
  <si>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</si>
  <si>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</si>
  <si>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</si>
  <si>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</si>
  <si>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</si>
  <si>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</si>
  <si>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</si>
  <si>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</si>
  <si>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</si>
  <si>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</si>
  <si>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</si>
  <si>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</si>
  <si>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</si>
  <si>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</si>
  <si>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</si>
  <si>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</si>
  <si>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</si>
  <si>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</si>
  <si>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</si>
  <si>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</si>
  <si>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</si>
  <si>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</si>
  <si>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</si>
  <si>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</si>
  <si>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</si>
  <si>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</si>
  <si>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</si>
  <si>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</si>
  <si>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</si>
  <si>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</si>
  <si>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</si>
  <si>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</si>
  <si>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</si>
  <si>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</si>
  <si>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</si>
  <si>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</si>
  <si>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</si>
  <si>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</si>
  <si>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</si>
  <si>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</si>
  <si>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</si>
  <si>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</si>
  <si>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</si>
  <si>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</si>
  <si>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</si>
  <si>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</si>
  <si>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</si>
  <si>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</si>
  <si>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</si>
  <si>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</si>
  <si>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</si>
  <si>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</si>
  <si>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</si>
  <si>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</si>
  <si>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</si>
  <si>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</si>
  <si>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</si>
  <si>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</si>
  <si>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</si>
  <si>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</si>
  <si>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</si>
  <si>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</si>
  <si>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</si>
  <si>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</si>
  <si>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</si>
  <si>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</si>
  <si>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</si>
  <si>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</si>
  <si>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</si>
  <si>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</si>
  <si>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</si>
  <si>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</si>
  <si>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</si>
  <si>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</si>
  <si>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</si>
  <si>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</si>
  <si>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</si>
  <si>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</si>
  <si>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</si>
  <si>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</si>
  <si>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</si>
  <si>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</si>
  <si>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</si>
  <si>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</si>
  <si>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</si>
  <si>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</si>
  <si>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</si>
  <si>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</si>
  <si>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</si>
  <si>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</si>
  <si>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</si>
  <si>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</si>
  <si>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</si>
  <si>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</si>
  <si>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</si>
  <si>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</si>
  <si>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</si>
  <si>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</si>
  <si>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</si>
  <si>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</si>
  <si>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</si>
  <si>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</si>
  <si>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</si>
  <si>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</si>
  <si>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</si>
  <si>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</si>
  <si>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</si>
  <si>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</si>
  <si>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</si>
  <si>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</si>
  <si>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</si>
  <si>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</si>
  <si>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</si>
  <si>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</si>
  <si>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</si>
  <si>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</si>
  <si>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</si>
  <si>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</si>
  <si>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</si>
  <si>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</si>
  <si>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</si>
  <si>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</si>
  <si>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</si>
  <si>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</si>
  <si>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</si>
  <si>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</si>
  <si>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</si>
  <si>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</si>
  <si>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</si>
  <si>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</si>
  <si>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</si>
  <si>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</si>
  <si>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</si>
  <si>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</si>
  <si>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</si>
  <si>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</si>
  <si>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</si>
  <si>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</si>
  <si>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</si>
  <si>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</si>
  <si>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</si>
  <si>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</si>
  <si>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</si>
  <si>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</si>
  <si>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</si>
  <si>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</si>
  <si>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</si>
  <si>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</si>
  <si>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</si>
  <si>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</si>
  <si>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</si>
  <si>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</si>
  <si>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</si>
  <si>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</si>
  <si>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</si>
  <si>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</si>
  <si>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</si>
  <si>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</si>
  <si>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</si>
  <si>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</si>
  <si>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</si>
  <si>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</si>
  <si>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</si>
  <si>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</si>
  <si>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</si>
  <si>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</si>
  <si>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</si>
  <si>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</si>
  <si>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</si>
  <si>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</si>
  <si>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</si>
  <si>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</si>
  <si>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</si>
  <si>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</si>
  <si>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</si>
  <si>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</si>
  <si>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</si>
  <si>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</si>
  <si>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</si>
  <si>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</si>
  <si>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</si>
  <si>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</si>
  <si>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</si>
  <si>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</si>
  <si>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</si>
  <si>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</si>
  <si>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</si>
  <si>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</si>
  <si>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</si>
  <si>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</si>
  <si>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</si>
  <si>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</si>
  <si>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</si>
  <si>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</si>
  <si>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</si>
  <si>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</si>
  <si>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</si>
  <si>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</si>
  <si>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</si>
  <si>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</si>
  <si>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</si>
  <si>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</si>
  <si>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</si>
  <si>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</si>
  <si>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</si>
  <si>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</si>
  <si>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</si>
  <si>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</si>
  <si>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</si>
  <si>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</si>
  <si>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</si>
  <si>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</si>
  <si>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</si>
  <si>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</si>
  <si>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</si>
  <si>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</si>
  <si>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</si>
  <si>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</si>
  <si>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</si>
  <si>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</si>
  <si>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</si>
  <si>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</si>
  <si>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</si>
  <si>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</si>
  <si>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</si>
  <si>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</si>
  <si>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</si>
  <si>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</si>
  <si>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</si>
  <si>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</si>
  <si>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</si>
  <si>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</si>
  <si>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</si>
  <si>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</si>
  <si>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</si>
  <si>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</si>
  <si>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</si>
  <si>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</si>
  <si>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</si>
  <si>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</si>
  <si>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</si>
  <si>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</si>
  <si>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</si>
  <si>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</si>
  <si>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</si>
  <si>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</si>
  <si>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</si>
  <si>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</si>
  <si>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</si>
  <si>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</si>
  <si>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</si>
  <si>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</si>
  <si>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</si>
  <si>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</si>
  <si>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</si>
  <si>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</si>
  <si>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</si>
  <si>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</si>
  <si>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</si>
  <si>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</si>
  <si>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</si>
  <si>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</si>
  <si>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</si>
  <si>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</si>
  <si>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</si>
  <si>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</si>
  <si>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</si>
  <si>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</si>
  <si>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</si>
  <si>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</si>
  <si>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</si>
  <si>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</si>
  <si>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</si>
  <si>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</si>
  <si>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</si>
  <si>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</si>
  <si>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</si>
  <si>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</si>
  <si>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</si>
  <si>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</si>
  <si>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</si>
  <si>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</si>
  <si>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</si>
  <si>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</si>
  <si>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</si>
  <si>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</si>
  <si>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</si>
  <si>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</si>
  <si>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</si>
  <si>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</si>
  <si>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</si>
  <si>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</si>
  <si>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</si>
  <si>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</si>
  <si>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</si>
  <si>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</si>
  <si>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</si>
  <si>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</si>
  <si>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</si>
  <si>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</si>
  <si>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</si>
  <si>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</si>
  <si>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</si>
  <si>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</si>
  <si>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</si>
  <si>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</si>
  <si>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</si>
  <si>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</si>
  <si>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</si>
  <si>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</si>
  <si>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</si>
  <si>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</si>
  <si>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</si>
  <si>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</si>
  <si>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</si>
  <si>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</si>
  <si>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</si>
  <si>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</si>
  <si>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</si>
  <si>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</si>
  <si>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</si>
  <si>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</si>
  <si>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</si>
  <si>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</si>
  <si>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</si>
  <si>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</si>
  <si>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</si>
  <si>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</si>
  <si>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</si>
  <si>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</si>
  <si>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</si>
  <si>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</si>
  <si>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</si>
  <si>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</si>
  <si>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</si>
  <si>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</si>
  <si>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</si>
  <si>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</si>
  <si>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</si>
  <si>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</si>
  <si>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</si>
  <si>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</si>
  <si>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</si>
  <si>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</si>
  <si>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</si>
  <si>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</si>
  <si>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</si>
  <si>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</si>
  <si>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</si>
  <si>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</si>
  <si>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</si>
  <si>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</si>
  <si>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</si>
  <si>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</si>
  <si>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</si>
  <si>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</si>
  <si>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</si>
  <si>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</si>
  <si>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</si>
  <si>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</si>
  <si>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</si>
  <si>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</si>
  <si>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</si>
  <si>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</si>
  <si>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</si>
  <si>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</si>
  <si>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</si>
  <si>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</si>
  <si>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</si>
  <si>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</si>
  <si>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</si>
  <si>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</si>
  <si>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</si>
  <si>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</si>
  <si>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</si>
  <si>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</si>
  <si>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</si>
  <si>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</si>
  <si>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</si>
  <si>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</si>
  <si>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</si>
  <si>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</si>
  <si>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</si>
  <si>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</si>
  <si>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</si>
  <si>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</si>
  <si>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</si>
  <si>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</si>
  <si>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</si>
  <si>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</si>
  <si>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</si>
  <si>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</si>
  <si>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</si>
  <si>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</si>
  <si>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</si>
  <si>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</si>
  <si>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</si>
  <si>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</si>
  <si>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</si>
  <si>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</si>
  <si>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</si>
  <si>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</si>
  <si>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</si>
  <si>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</si>
  <si>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</si>
  <si>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</si>
  <si>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</si>
  <si>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</si>
  <si>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</si>
  <si>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</si>
  <si>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</si>
  <si>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</si>
  <si>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</si>
  <si>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</si>
  <si>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</si>
  <si>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</si>
  <si>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</si>
  <si>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</si>
  <si>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</si>
  <si>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</si>
  <si>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</si>
  <si>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</si>
  <si>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</si>
  <si>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</si>
  <si>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</si>
  <si>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</si>
  <si>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</si>
  <si>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</si>
  <si>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</si>
  <si>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</si>
  <si>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</si>
  <si>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</si>
  <si>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</si>
  <si>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</si>
  <si>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</si>
  <si>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</si>
  <si>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</si>
  <si>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</si>
  <si>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</si>
  <si>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</si>
  <si>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</si>
  <si>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</si>
  <si>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</si>
  <si>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</si>
  <si>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</si>
  <si>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</si>
  <si>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</si>
  <si>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</si>
  <si>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</si>
  <si>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</si>
  <si>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</si>
  <si>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</si>
  <si>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</si>
  <si>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</si>
  <si>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</si>
  <si>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</si>
  <si>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</si>
  <si>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</si>
  <si>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</si>
  <si>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</si>
  <si>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</si>
  <si>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</si>
  <si>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</si>
  <si>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</si>
  <si>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</si>
  <si>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</si>
  <si>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</si>
  <si>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</si>
  <si>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</si>
  <si>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</si>
  <si>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</si>
  <si>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</si>
  <si>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</si>
  <si>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</si>
  <si>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</si>
  <si>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</si>
  <si>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</si>
  <si>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</si>
  <si>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</si>
  <si>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</si>
  <si>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</si>
  <si>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</si>
  <si>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</si>
  <si>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</si>
  <si>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</si>
  <si>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</si>
  <si>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</si>
  <si>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</si>
  <si>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</si>
  <si>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</si>
  <si>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</si>
  <si>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</si>
  <si>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</si>
  <si>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</si>
  <si>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</si>
  <si>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</si>
  <si>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</si>
  <si>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</si>
  <si>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</si>
  <si>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</si>
  <si>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</si>
  <si>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</si>
  <si>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</si>
  <si>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</si>
  <si>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</si>
  <si>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</si>
  <si>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</si>
  <si>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</si>
  <si>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</si>
  <si>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</si>
  <si>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</si>
  <si>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</si>
  <si>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</si>
  <si>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</si>
  <si>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</si>
  <si>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</si>
  <si>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</si>
  <si>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</si>
  <si>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</si>
  <si>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</si>
  <si>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</si>
  <si>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</si>
  <si>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</si>
  <si>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</si>
  <si>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</si>
  <si>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</si>
  <si>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</si>
  <si>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</si>
  <si>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</si>
  <si>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</si>
  <si>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</si>
  <si>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</si>
  <si>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</si>
  <si>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</si>
  <si>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</si>
  <si>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</si>
  <si>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</si>
  <si>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</si>
  <si>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</si>
  <si>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</si>
  <si>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</si>
  <si>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</si>
  <si>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</si>
  <si>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</si>
  <si>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</si>
  <si>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</si>
  <si>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</si>
  <si>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</si>
  <si>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</si>
  <si>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</si>
  <si>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</si>
  <si>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</si>
  <si>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</si>
  <si>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</si>
  <si>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</si>
  <si>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</si>
  <si>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</si>
  <si>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</si>
  <si>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</si>
  <si>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</si>
  <si>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</si>
  <si>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</si>
  <si>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</si>
  <si>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</si>
  <si>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</si>
  <si>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</si>
  <si>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</si>
  <si>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</si>
  <si>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</si>
  <si>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</si>
  <si>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</si>
  <si>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</si>
  <si>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</si>
  <si>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</si>
  <si>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</si>
  <si>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</si>
  <si>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</si>
  <si>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</si>
  <si>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</si>
  <si>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</si>
  <si>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</si>
  <si>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</si>
  <si>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</si>
  <si>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</si>
  <si>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</si>
  <si>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</si>
  <si>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</si>
  <si>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</si>
  <si>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</si>
  <si>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</si>
  <si>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</si>
  <si>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</si>
  <si>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</si>
  <si>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</si>
  <si>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</si>
  <si>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</si>
  <si>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</si>
  <si>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</si>
  <si>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</si>
  <si>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</si>
  <si>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</si>
  <si>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</si>
  <si>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</si>
  <si>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</si>
  <si>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</si>
  <si>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</si>
  <si>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</si>
  <si>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</si>
  <si>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</si>
  <si>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</si>
  <si>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</si>
  <si>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</si>
  <si>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</si>
  <si>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</si>
  <si>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</si>
  <si>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</si>
  <si>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</si>
  <si>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</si>
  <si>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</si>
  <si>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</si>
  <si>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</si>
  <si>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</si>
  <si>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</si>
  <si>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</si>
  <si>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</si>
  <si>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</si>
  <si>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</si>
  <si>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</si>
  <si>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</si>
  <si>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</si>
  <si>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</si>
  <si>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</si>
  <si>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</si>
  <si>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</si>
  <si>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</si>
  <si>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</si>
  <si>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</si>
  <si>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</si>
  <si>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</si>
  <si>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</si>
  <si>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</si>
  <si>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</si>
  <si>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</si>
  <si>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</si>
  <si>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</si>
  <si>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</si>
  <si>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</si>
  <si>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</si>
  <si>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</si>
  <si>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</si>
  <si>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</si>
  <si>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</si>
  <si>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</si>
  <si>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</si>
  <si>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</si>
  <si>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</si>
  <si>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</si>
  <si>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</si>
  <si>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</si>
  <si>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</si>
  <si>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</si>
  <si>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</si>
  <si>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</si>
  <si>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</si>
  <si>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</si>
  <si>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</si>
  <si>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</si>
  <si>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</si>
  <si>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</si>
  <si>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</si>
  <si>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</si>
  <si>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</si>
  <si>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</si>
  <si>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</si>
  <si>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</si>
  <si>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</si>
  <si>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</si>
  <si>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</si>
  <si>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</si>
  <si>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</si>
  <si>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</si>
  <si>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</si>
  <si>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</si>
  <si>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</si>
  <si>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</si>
  <si>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</si>
  <si>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</si>
  <si>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</si>
  <si>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</si>
  <si>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</si>
  <si>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</si>
  <si>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</si>
  <si>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</si>
  <si>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</si>
  <si>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</si>
  <si>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</si>
  <si>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</si>
  <si>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</si>
  <si>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</si>
  <si>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</si>
  <si>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</si>
  <si>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</si>
  <si>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</si>
  <si>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</si>
  <si>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</si>
  <si>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</si>
  <si>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</si>
  <si>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</si>
  <si>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</si>
  <si>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</si>
  <si>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</si>
  <si>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</si>
  <si>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</si>
  <si>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</si>
  <si>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</si>
  <si>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</si>
  <si>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</si>
  <si>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</si>
  <si>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</si>
  <si>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</si>
  <si>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</si>
  <si>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</si>
  <si>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</si>
  <si>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</si>
  <si>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</si>
  <si>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</si>
  <si>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</si>
  <si>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</si>
  <si>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</si>
  <si>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</si>
  <si>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</si>
  <si>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</si>
  <si>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</si>
  <si>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</si>
  <si>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</si>
  <si>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</si>
  <si>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</si>
  <si>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</si>
  <si>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</si>
  <si>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</si>
  <si>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</si>
  <si>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</si>
  <si>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</si>
  <si>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</si>
  <si>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</si>
  <si>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</si>
  <si>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</si>
  <si>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</si>
  <si>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</si>
  <si>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</si>
  <si>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</si>
  <si>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</si>
  <si>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</si>
  <si>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</si>
  <si>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</si>
  <si>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</si>
  <si>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</si>
  <si>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</si>
  <si>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</si>
  <si>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</si>
  <si>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</si>
  <si>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</si>
  <si>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</si>
  <si>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</si>
  <si>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</si>
  <si>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</si>
  <si>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</si>
  <si>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</si>
  <si>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</si>
  <si>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</si>
  <si>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</si>
  <si>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</si>
  <si>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</si>
  <si>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</si>
  <si>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</si>
  <si>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</si>
  <si>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</si>
  <si>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</si>
  <si>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</si>
  <si>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</si>
  <si>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</si>
  <si>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</si>
  <si>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</si>
  <si>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</si>
  <si>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</si>
  <si>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</si>
  <si>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</si>
  <si>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</si>
  <si>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</si>
  <si>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</si>
  <si>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</si>
  <si>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</si>
  <si>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</si>
  <si>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</si>
  <si>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</si>
  <si>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</si>
  <si>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</si>
  <si>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</si>
  <si>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</si>
  <si>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</si>
  <si>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</si>
  <si>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</si>
  <si>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</si>
  <si>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</si>
  <si>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</si>
  <si>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</si>
  <si>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</si>
  <si>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</si>
  <si>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</si>
  <si>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</si>
  <si>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</si>
  <si>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</si>
  <si>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</si>
  <si>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</si>
  <si>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</si>
  <si>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</si>
  <si>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</si>
  <si>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</si>
  <si>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</si>
  <si>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</si>
  <si>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</si>
  <si>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</si>
  <si>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</si>
  <si>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</si>
  <si>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</si>
  <si>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</si>
  <si>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</si>
  <si>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</si>
  <si>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</si>
  <si>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</si>
  <si>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</si>
  <si>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</si>
  <si>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</si>
  <si>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</si>
  <si>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</si>
  <si>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</si>
  <si>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</si>
  <si>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</si>
  <si>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</si>
  <si>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</si>
  <si>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</si>
  <si>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</si>
  <si>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</si>
  <si>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</si>
  <si>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</si>
  <si>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</si>
  <si>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</si>
  <si>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</si>
  <si>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</si>
  <si>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</si>
  <si>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</si>
  <si>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</si>
  <si>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</si>
  <si>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</si>
  <si>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</si>
  <si>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</si>
  <si>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</si>
  <si>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</si>
  <si>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</si>
  <si>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</si>
  <si>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</si>
  <si>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</si>
  <si>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</si>
  <si>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</si>
  <si>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</si>
  <si>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</si>
  <si>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</si>
  <si>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</si>
  <si>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</si>
  <si>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</si>
  <si>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</si>
  <si>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</si>
  <si>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</si>
  <si>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</si>
  <si>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</si>
  <si>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</si>
  <si>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</si>
  <si>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</si>
  <si>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</si>
  <si>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</si>
  <si>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</si>
  <si>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</si>
  <si>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</si>
  <si>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</si>
  <si>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</si>
  <si>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</si>
  <si>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</si>
  <si>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</si>
  <si>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</si>
  <si>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</si>
  <si>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</si>
  <si>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</si>
  <si>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</si>
  <si>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</si>
  <si>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</si>
  <si>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</si>
  <si>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</si>
  <si>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</si>
  <si>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</si>
  <si>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</si>
  <si>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</si>
  <si>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</si>
  <si>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</si>
  <si>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</si>
  <si>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</si>
  <si>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</si>
  <si>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</si>
  <si>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</si>
  <si>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</si>
  <si>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</si>
  <si>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</si>
  <si>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</si>
  <si>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</si>
  <si>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</si>
  <si>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</si>
  <si>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</si>
  <si>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</si>
  <si>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</si>
  <si>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</si>
  <si>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</si>
  <si>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</si>
  <si>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</si>
  <si>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</si>
  <si>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</si>
  <si>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</si>
  <si>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</si>
  <si>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</si>
  <si>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</si>
  <si>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</si>
  <si>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</si>
  <si>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</si>
  <si>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</si>
  <si>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</si>
  <si>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</si>
  <si>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</si>
  <si>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</si>
  <si>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</si>
  <si>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</si>
  <si>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</si>
  <si>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</si>
  <si>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</si>
  <si>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</si>
  <si>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</si>
  <si>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</si>
  <si>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</si>
  <si>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</si>
  <si>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</si>
  <si>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</si>
  <si>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</si>
  <si>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</si>
  <si>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</si>
  <si>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</si>
  <si>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</si>
  <si>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</si>
  <si>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</si>
  <si>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</si>
  <si>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</si>
  <si>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</si>
  <si>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</si>
  <si>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</si>
  <si>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</si>
  <si>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</si>
  <si>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</si>
  <si>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</si>
  <si>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</si>
  <si>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</si>
  <si>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</si>
  <si>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</si>
  <si>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</si>
  <si>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</si>
  <si>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</si>
  <si>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</si>
  <si>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</si>
  <si>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</si>
  <si>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</si>
  <si>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</si>
  <si>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</si>
  <si>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</si>
  <si>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</si>
  <si>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</si>
  <si>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</si>
  <si>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</si>
  <si>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</si>
  <si>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</si>
  <si>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</si>
  <si>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</si>
  <si>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</si>
  <si>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</si>
  <si>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</si>
  <si>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</si>
  <si>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</si>
  <si>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</si>
  <si>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</si>
  <si>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</si>
  <si>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</si>
  <si>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</si>
  <si>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</si>
  <si>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</si>
  <si>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</si>
  <si>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</si>
  <si>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</si>
  <si>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</si>
  <si>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</si>
  <si>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</si>
  <si>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</si>
  <si>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</si>
  <si>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</si>
  <si>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</si>
  <si>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</si>
  <si>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</si>
  <si>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</si>
  <si>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</si>
  <si>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</si>
  <si>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</si>
  <si>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</si>
  <si>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</si>
  <si>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</si>
  <si>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</si>
  <si>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</si>
  <si>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</si>
  <si>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</si>
  <si>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</si>
  <si>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</si>
  <si>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</si>
  <si>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</si>
  <si>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</si>
  <si>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</si>
  <si>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</si>
  <si>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</si>
  <si>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</si>
  <si>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</si>
  <si>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</si>
  <si>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</si>
  <si>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</si>
  <si>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</si>
  <si>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</si>
  <si>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</si>
  <si>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</si>
  <si>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</si>
  <si>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</si>
  <si>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</si>
  <si>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</si>
  <si>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</si>
  <si>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</si>
  <si>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</si>
  <si>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</si>
  <si>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</si>
  <si>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</si>
  <si>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</si>
  <si>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</si>
  <si>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</si>
  <si>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</si>
  <si>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</si>
  <si>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</si>
  <si>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</si>
  <si>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</si>
  <si>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</si>
  <si>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</si>
  <si>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</si>
  <si>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</si>
  <si>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</si>
  <si>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</si>
  <si>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</si>
  <si>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</si>
  <si>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</si>
  <si>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</si>
  <si>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</si>
  <si>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</si>
  <si>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</si>
  <si>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</si>
  <si>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</si>
  <si>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</si>
  <si>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</si>
  <si>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</si>
  <si>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</si>
  <si>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</si>
  <si>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</si>
  <si>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</si>
  <si>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</si>
  <si>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</si>
  <si>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</si>
  <si>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</si>
  <si>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</si>
  <si>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</si>
  <si>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</si>
  <si>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</si>
  <si>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</si>
  <si>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</si>
  <si>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</si>
  <si>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</si>
  <si>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</si>
  <si>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</si>
  <si>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</si>
  <si>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</si>
  <si>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</si>
  <si>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</si>
  <si>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</si>
  <si>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</si>
  <si>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</si>
  <si>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</si>
  <si>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</si>
  <si>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</si>
  <si>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</si>
  <si>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</si>
  <si>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</si>
  <si>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</si>
  <si>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</si>
  <si>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</si>
  <si>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</si>
  <si>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</si>
  <si>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</si>
  <si>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</si>
  <si>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</si>
  <si>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</si>
  <si>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</si>
  <si>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</si>
  <si>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</si>
  <si>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</si>
  <si>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</si>
  <si>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</si>
  <si>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</si>
  <si>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</si>
  <si>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</si>
  <si>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</si>
  <si>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</si>
  <si>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</si>
  <si>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</si>
  <si>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</si>
  <si>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</si>
  <si>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</si>
  <si>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</si>
  <si>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</si>
  <si>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</si>
  <si>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</si>
  <si>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</si>
  <si>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</si>
  <si>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</si>
  <si>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</si>
  <si>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</si>
  <si>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</si>
  <si>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</si>
  <si>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</si>
  <si>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</si>
  <si>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</si>
  <si>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</si>
  <si>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</si>
  <si>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</si>
  <si>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</si>
  <si>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</si>
  <si>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</si>
  <si>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</si>
  <si>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</si>
  <si>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</si>
  <si>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</si>
  <si>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</si>
  <si>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</si>
  <si>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</si>
  <si>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</si>
  <si>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</si>
  <si>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</si>
  <si>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</si>
  <si>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</si>
  <si>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</si>
  <si>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</si>
  <si>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</si>
  <si>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</si>
  <si>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</si>
  <si>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</si>
  <si>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</si>
  <si>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</si>
  <si>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</si>
  <si>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</si>
  <si>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</si>
  <si>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</si>
  <si>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</si>
  <si>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</si>
  <si>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</si>
  <si>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</si>
  <si>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</si>
  <si>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</si>
  <si>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</si>
  <si>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</si>
  <si>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</si>
  <si>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</si>
  <si>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</si>
  <si>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</si>
  <si>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</si>
  <si>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</si>
  <si>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</si>
  <si>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</si>
  <si>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</si>
  <si>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</si>
  <si>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</si>
  <si>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</si>
  <si>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</si>
  <si>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</si>
  <si>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</si>
  <si>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</si>
  <si>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</si>
  <si>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</si>
  <si>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</si>
  <si>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</si>
  <si>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</si>
  <si>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</si>
  <si>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</si>
  <si>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</si>
  <si>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</si>
  <si>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</si>
  <si>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</si>
  <si>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</si>
  <si>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</si>
  <si>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</si>
  <si>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</si>
  <si>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</si>
  <si>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</si>
  <si>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</si>
  <si>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</si>
  <si>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</si>
  <si>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</si>
  <si>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</si>
  <si>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</si>
  <si>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</si>
  <si>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</si>
  <si>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</si>
  <si>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</si>
  <si>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</si>
  <si>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</si>
  <si>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</si>
  <si>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</si>
  <si>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</si>
  <si>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</si>
  <si>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</si>
  <si>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</si>
  <si>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</si>
  <si>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</si>
  <si>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</si>
  <si>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</si>
  <si>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</si>
  <si>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</si>
  <si>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</si>
  <si>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</si>
  <si>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</si>
  <si>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</si>
  <si>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</si>
  <si>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</si>
  <si>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</si>
  <si>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</si>
  <si>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</si>
  <si>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</si>
  <si>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</si>
  <si>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</si>
  <si>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</si>
  <si>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</si>
  <si>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</si>
  <si>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</si>
  <si>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</si>
  <si>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</si>
  <si>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</si>
  <si>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</si>
  <si>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</si>
  <si>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</si>
  <si>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</si>
  <si>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</si>
  <si>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</si>
  <si>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</si>
  <si>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</si>
  <si>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</si>
  <si>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</si>
  <si>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</si>
  <si>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</si>
  <si>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</si>
  <si>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</si>
  <si>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</si>
  <si>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</si>
  <si>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</si>
  <si>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</si>
  <si>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</si>
  <si>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</si>
  <si>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</si>
  <si>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</si>
  <si>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</si>
  <si>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</si>
  <si>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</si>
  <si>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</si>
  <si>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</si>
  <si>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</si>
  <si>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</si>
  <si>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</si>
  <si>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</si>
  <si>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</si>
  <si>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</si>
  <si>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</si>
  <si>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</si>
  <si>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</si>
  <si>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</si>
  <si>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</si>
  <si>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</si>
  <si>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</si>
  <si>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</si>
  <si>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</si>
  <si>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</si>
  <si>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</si>
  <si>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</si>
  <si>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</si>
  <si>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</si>
  <si>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</si>
  <si>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</si>
  <si>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</si>
  <si>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</si>
  <si>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</si>
  <si>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</si>
  <si>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</si>
  <si>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</si>
  <si>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</si>
  <si>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</si>
  <si>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</si>
  <si>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</si>
  <si>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</si>
  <si>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</si>
  <si>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</si>
  <si>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</si>
  <si>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</si>
  <si>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</si>
  <si>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</si>
  <si>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</si>
  <si>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</si>
  <si>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</si>
  <si>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</si>
  <si>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</si>
  <si>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</si>
  <si>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</si>
  <si>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</si>
  <si>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</si>
  <si>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</si>
  <si>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</si>
  <si>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</si>
  <si>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</si>
  <si>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</si>
  <si>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</si>
  <si>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</si>
  <si>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</si>
  <si>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</si>
  <si>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</si>
  <si>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</si>
  <si>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</si>
  <si>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</si>
  <si>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</si>
  <si>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</si>
  <si>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</si>
  <si>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</si>
  <si>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</si>
  <si>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</si>
  <si>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</si>
  <si>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</si>
  <si>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</si>
  <si>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</si>
  <si>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</si>
  <si>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</si>
  <si>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</si>
  <si>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</si>
  <si>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</si>
  <si>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</si>
  <si>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</si>
  <si>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</si>
  <si>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</si>
  <si>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</si>
  <si>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</si>
  <si>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</si>
  <si>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</si>
  <si>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</si>
  <si>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</si>
  <si>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</si>
  <si>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</si>
  <si>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</si>
  <si>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</si>
  <si>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</si>
  <si>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</si>
  <si>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</si>
  <si>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</si>
  <si>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</si>
  <si>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</si>
  <si>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</si>
  <si>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</si>
  <si>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</si>
  <si>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</si>
  <si>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</si>
  <si>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</si>
  <si>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</si>
  <si>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</si>
  <si>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</si>
  <si>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</si>
  <si>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</si>
  <si>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</si>
  <si>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</si>
  <si>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</si>
  <si>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</si>
  <si>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</si>
  <si>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</si>
  <si>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</si>
  <si>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</si>
  <si>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</si>
  <si>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</si>
  <si>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</si>
  <si>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</si>
  <si>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</si>
  <si>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</si>
  <si>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</si>
  <si>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</si>
  <si>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</si>
  <si>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</si>
  <si>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</si>
  <si>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</si>
  <si>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</si>
  <si>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</si>
  <si>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</si>
  <si>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</si>
  <si>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</si>
  <si>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</si>
  <si>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</si>
  <si>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</si>
  <si>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</si>
  <si>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</si>
  <si>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</si>
  <si>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</si>
  <si>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</si>
  <si>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</si>
  <si>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</si>
  <si>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</si>
  <si>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</si>
  <si>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</si>
  <si>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</si>
  <si>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</si>
  <si>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</si>
  <si>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</si>
  <si>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</si>
  <si>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</si>
  <si>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</si>
  <si>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</si>
  <si>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</si>
  <si>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</si>
  <si>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</si>
  <si>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</si>
  <si>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</si>
  <si>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</si>
  <si>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</si>
  <si>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</si>
  <si>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</si>
  <si>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</si>
  <si>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</si>
  <si>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</si>
  <si>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</si>
  <si>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</si>
  <si>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</si>
  <si>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</si>
  <si>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</si>
  <si>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</si>
  <si>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</si>
  <si>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</si>
  <si>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</si>
  <si>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</si>
  <si>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</si>
  <si>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</si>
  <si>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</si>
  <si>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</si>
  <si>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</si>
  <si>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</si>
  <si>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</si>
  <si>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</si>
  <si>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</si>
  <si>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</si>
  <si>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</si>
  <si>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</si>
  <si>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</si>
  <si>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</si>
  <si>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</si>
  <si>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</si>
  <si>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</si>
  <si>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</si>
  <si>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</si>
  <si>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</si>
  <si>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</si>
  <si>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</si>
  <si>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</si>
  <si>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</si>
  <si>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</si>
  <si>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</si>
  <si>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</si>
  <si>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</si>
  <si>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</si>
  <si>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</si>
  <si>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</si>
  <si>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</si>
  <si>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</si>
  <si>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</si>
  <si>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</si>
  <si>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</si>
  <si>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</si>
  <si>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</si>
  <si>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</si>
  <si>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</si>
  <si>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</si>
  <si>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</si>
  <si>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</si>
  <si>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</si>
  <si>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</si>
  <si>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</si>
  <si>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</si>
  <si>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</si>
  <si>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</si>
  <si>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</si>
  <si>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</si>
  <si>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</si>
  <si>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</si>
  <si>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</si>
  <si>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</si>
  <si>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</si>
  <si>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</si>
  <si>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</si>
  <si>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</si>
  <si>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</si>
  <si>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</si>
  <si>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</si>
  <si>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</si>
  <si>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</si>
  <si>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</si>
  <si>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</si>
  <si>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</si>
  <si>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</si>
  <si>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</si>
  <si>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</si>
  <si>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</si>
  <si>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</si>
  <si>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</si>
  <si>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</si>
  <si>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</si>
  <si>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</si>
  <si>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</si>
  <si>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</si>
  <si>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</si>
  <si>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</si>
  <si>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</si>
  <si>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</si>
  <si>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</si>
  <si>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</si>
  <si>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</si>
  <si>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</si>
  <si>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</si>
  <si>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</si>
  <si>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</si>
  <si>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</si>
  <si>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</si>
  <si>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</si>
  <si>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</si>
  <si>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</si>
  <si>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</si>
  <si>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</si>
  <si>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</si>
  <si>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</si>
  <si>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</si>
  <si>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</si>
  <si>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</si>
  <si>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</si>
  <si>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</si>
  <si>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</si>
  <si>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</si>
  <si>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</si>
  <si>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</si>
  <si>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</si>
  <si>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</si>
  <si>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</si>
  <si>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</si>
  <si>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</si>
  <si>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</si>
  <si>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</si>
  <si>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</si>
  <si>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</si>
  <si>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</si>
  <si>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</si>
  <si>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</si>
  <si>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</si>
  <si>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</si>
  <si>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</si>
  <si>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</si>
  <si>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</si>
  <si>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</si>
  <si>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</si>
  <si>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</si>
  <si>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</si>
  <si>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</si>
  <si>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</si>
  <si>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</si>
  <si>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</si>
  <si>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</si>
  <si>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</si>
  <si>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</si>
  <si>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</si>
  <si>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</si>
  <si>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</si>
  <si>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</si>
  <si>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</si>
  <si>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</si>
  <si>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</si>
  <si>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</si>
  <si>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</si>
  <si>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</si>
  <si>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</si>
  <si>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</si>
  <si>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</si>
  <si>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</si>
  <si>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</si>
  <si>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</si>
  <si>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</si>
  <si>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</si>
  <si>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</si>
  <si>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</si>
  <si>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</si>
  <si>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</si>
  <si>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</si>
  <si>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</si>
  <si>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</si>
  <si>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</si>
  <si>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</si>
  <si>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</si>
  <si>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</si>
  <si>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</si>
  <si>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</si>
  <si>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</si>
  <si>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</si>
  <si>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</si>
  <si>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</si>
  <si>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</si>
  <si>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</si>
  <si>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</si>
  <si>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</si>
  <si>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</si>
  <si>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</si>
  <si>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</si>
  <si>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</si>
  <si>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</si>
  <si>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</si>
  <si>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</si>
  <si>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</si>
  <si>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</si>
  <si>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</si>
  <si>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</si>
  <si>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</si>
  <si>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</si>
  <si>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</si>
  <si>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</si>
  <si>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</si>
  <si>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</si>
  <si>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</si>
  <si>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</si>
  <si>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</si>
  <si>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</si>
  <si>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</si>
  <si>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</si>
  <si>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</si>
  <si>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</si>
  <si>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</si>
  <si>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</si>
  <si>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</si>
  <si>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</si>
  <si>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</si>
  <si>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</si>
  <si>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</si>
  <si>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</si>
  <si>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</si>
  <si>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</si>
  <si>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</si>
  <si>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</si>
  <si>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</si>
  <si>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</si>
  <si>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</si>
  <si>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</si>
  <si>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</si>
  <si>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</si>
  <si>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</si>
  <si>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</si>
  <si>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</si>
  <si>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</si>
  <si>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</si>
  <si>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</si>
  <si>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</si>
  <si>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</si>
  <si>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</si>
  <si>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</si>
  <si>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</si>
  <si>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</si>
  <si>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</si>
  <si>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</si>
  <si>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</si>
  <si>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</si>
  <si>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</si>
  <si>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</si>
  <si>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</si>
  <si>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</si>
  <si>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</si>
  <si>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</si>
  <si>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</si>
  <si>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</si>
  <si>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</si>
  <si>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</si>
  <si>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</si>
  <si>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</si>
  <si>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</si>
  <si>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</si>
  <si>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</si>
  <si>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</si>
  <si>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</si>
  <si>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</si>
  <si>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</si>
  <si>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</si>
  <si>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</si>
  <si>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</si>
  <si>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</si>
  <si>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</si>
  <si>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</si>
  <si>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</si>
  <si>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</si>
  <si>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</si>
  <si>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</si>
  <si>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</si>
  <si>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</si>
  <si>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</si>
  <si>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</si>
  <si>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</si>
  <si>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</si>
  <si>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</si>
  <si>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</si>
  <si>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</si>
  <si>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</si>
  <si>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</si>
  <si>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</si>
  <si>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</si>
  <si>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</si>
  <si>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</si>
  <si>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</si>
  <si>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</si>
  <si>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</si>
  <si>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</si>
  <si>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</si>
  <si>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</si>
  <si>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</si>
  <si>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</si>
  <si>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</si>
  <si>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</si>
  <si>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</si>
  <si>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</si>
  <si>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</si>
  <si>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</si>
  <si>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</si>
  <si>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</si>
  <si>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</si>
  <si>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</si>
  <si>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</si>
  <si>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</si>
  <si>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</si>
  <si>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</si>
  <si>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</si>
  <si>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</si>
  <si>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</si>
  <si>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</si>
  <si>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</si>
  <si>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</si>
  <si>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</si>
  <si>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</si>
  <si>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</si>
  <si>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</si>
  <si>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</si>
  <si>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</si>
  <si>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</si>
  <si>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</si>
  <si>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</si>
  <si>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</si>
  <si>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</si>
  <si>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</si>
  <si>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</si>
  <si>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</si>
  <si>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</si>
  <si>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</si>
  <si>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</si>
  <si>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</si>
  <si>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</si>
  <si>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</si>
  <si>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</si>
  <si>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</si>
  <si>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</si>
  <si>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</si>
  <si>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</si>
  <si>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</si>
  <si>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</si>
  <si>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</si>
  <si>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</si>
  <si>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</si>
  <si>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</si>
  <si>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</si>
  <si>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</si>
  <si>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</si>
  <si>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</si>
  <si>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</si>
  <si>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</si>
  <si>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</si>
  <si>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</si>
  <si>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</si>
  <si>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</si>
  <si>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</si>
  <si>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</si>
  <si>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</si>
  <si>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</si>
  <si>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</si>
  <si>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</si>
  <si>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</si>
  <si>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</si>
  <si>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</si>
  <si>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</si>
  <si>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</si>
  <si>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</si>
  <si>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</si>
  <si>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</si>
  <si>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</si>
  <si>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</si>
  <si>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</si>
  <si>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</si>
  <si>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</si>
  <si>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</si>
  <si>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</si>
  <si>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</si>
  <si>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</si>
  <si>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</si>
  <si>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</si>
  <si>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</si>
  <si>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</si>
  <si>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</si>
  <si>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</si>
  <si>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</si>
  <si>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</si>
  <si>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</si>
  <si>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</si>
  <si>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</si>
  <si>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</si>
  <si>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</si>
  <si>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</si>
  <si>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</si>
  <si>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</si>
  <si>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</si>
  <si>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</si>
  <si>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</si>
  <si>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</si>
  <si>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</si>
  <si>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</si>
  <si>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</si>
  <si>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</si>
  <si>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</si>
  <si>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</si>
  <si>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</si>
  <si>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</si>
  <si>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</si>
  <si>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</si>
  <si>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</si>
  <si>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</si>
  <si>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</si>
  <si>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</si>
  <si>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</si>
  <si>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</si>
  <si>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</si>
  <si>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</si>
  <si>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</si>
  <si>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</si>
  <si>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</si>
  <si>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</si>
  <si>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</si>
  <si>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</si>
  <si>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</si>
  <si>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</si>
  <si>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</si>
  <si>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</si>
  <si>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</si>
  <si>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</si>
  <si>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</si>
  <si>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</si>
  <si>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</si>
  <si>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</si>
  <si>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</si>
  <si>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</si>
  <si>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</si>
  <si>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</si>
  <si>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</si>
  <si>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</si>
  <si>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</si>
  <si>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</si>
  <si>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</si>
  <si>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</si>
  <si>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</si>
  <si>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</si>
  <si>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</si>
  <si>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</si>
  <si>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</si>
  <si>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</si>
  <si>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</si>
  <si>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</si>
  <si>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</si>
  <si>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</si>
  <si>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</si>
  <si>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</si>
  <si>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</si>
  <si>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</si>
  <si>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</si>
  <si>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</si>
  <si>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</si>
  <si>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</si>
  <si>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</si>
  <si>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</si>
  <si>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</si>
  <si>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</si>
  <si>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</si>
  <si>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</si>
  <si>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</si>
  <si>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</si>
  <si>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</si>
  <si>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</si>
  <si>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</si>
  <si>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</si>
  <si>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</si>
  <si>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</si>
  <si>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</si>
  <si>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</si>
  <si>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</si>
  <si>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</si>
  <si>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</si>
  <si>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</si>
  <si>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</si>
  <si>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</si>
  <si>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</si>
  <si>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</si>
  <si>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</si>
  <si>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</si>
  <si>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</si>
  <si>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</si>
  <si>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</si>
  <si>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</si>
  <si>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</si>
  <si>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</si>
  <si>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</si>
  <si>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</si>
  <si>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</si>
  <si>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</si>
  <si>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</si>
  <si>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</si>
  <si>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</si>
  <si>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</si>
  <si>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</si>
  <si>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</si>
  <si>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</si>
  <si>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</si>
  <si>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</si>
  <si>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</si>
  <si>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</si>
  <si>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</si>
  <si>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</si>
  <si>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</si>
  <si>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</si>
  <si>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</si>
  <si>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</si>
  <si>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</si>
  <si>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</si>
  <si>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</si>
  <si>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</si>
  <si>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</si>
  <si>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</si>
  <si>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</si>
  <si>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</si>
  <si>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</si>
  <si>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</si>
  <si>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</si>
  <si>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</si>
  <si>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</si>
  <si>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</si>
  <si>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</si>
  <si>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</si>
  <si>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</si>
  <si>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</si>
  <si>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</si>
  <si>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</si>
  <si>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</si>
  <si>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</si>
  <si>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</si>
  <si>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</si>
  <si>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</si>
  <si>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</si>
  <si>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</si>
  <si>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</si>
  <si>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</si>
  <si>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</si>
  <si>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</si>
  <si>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</si>
  <si>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</si>
  <si>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</si>
  <si>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</si>
  <si>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</si>
  <si>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</si>
  <si>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</si>
  <si>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</si>
  <si>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</si>
  <si>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</si>
  <si>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</si>
  <si>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</si>
  <si>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</si>
  <si>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</si>
  <si>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</si>
  <si>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</si>
  <si>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</si>
  <si>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</si>
  <si>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</si>
  <si>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</si>
  <si>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</si>
  <si>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</si>
  <si>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</si>
  <si>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</si>
  <si>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</si>
  <si>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</si>
  <si>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</si>
  <si>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</si>
  <si>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</si>
  <si>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</si>
  <si>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</si>
  <si>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</si>
  <si>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</si>
  <si>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</si>
  <si>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</si>
  <si>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</si>
  <si>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</si>
  <si>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</si>
  <si>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</si>
  <si>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</si>
  <si>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</si>
  <si>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</si>
  <si>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</si>
  <si>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</si>
  <si>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</si>
  <si>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</si>
  <si>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</si>
  <si>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</si>
  <si>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</si>
  <si>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</si>
  <si>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</si>
  <si>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</si>
  <si>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</si>
  <si>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</si>
  <si>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</si>
  <si>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</si>
  <si>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</si>
  <si>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</si>
  <si>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</si>
  <si>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</si>
  <si>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</si>
  <si>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</si>
  <si>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</si>
  <si>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</si>
  <si>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</si>
  <si>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</si>
  <si>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</si>
  <si>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</si>
  <si>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</si>
  <si>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</si>
  <si>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</si>
  <si>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</si>
  <si>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</si>
  <si>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</si>
  <si>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</si>
  <si>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</si>
  <si>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</si>
  <si>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</si>
  <si>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</si>
  <si>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</si>
  <si>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</si>
  <si>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</si>
  <si>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</si>
  <si>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</si>
  <si>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</si>
  <si>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</si>
  <si>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</si>
  <si>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</si>
  <si>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</si>
  <si>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</si>
  <si>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</si>
  <si>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</si>
  <si>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</si>
  <si>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</si>
  <si>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</si>
  <si>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</si>
  <si>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</si>
  <si>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</si>
  <si>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</si>
  <si>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</si>
  <si>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</si>
  <si>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</si>
  <si>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</si>
  <si>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</si>
  <si>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</si>
  <si>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</si>
  <si>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</si>
  <si>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</si>
  <si>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</si>
  <si>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</si>
  <si>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</si>
  <si>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</si>
  <si>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</si>
  <si>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</si>
  <si>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</si>
  <si>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</si>
  <si>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</si>
  <si>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</si>
  <si>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</si>
  <si>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</si>
  <si>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</si>
  <si>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</si>
  <si>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</si>
  <si>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</si>
  <si>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</si>
  <si>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</si>
  <si>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</si>
  <si>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</si>
  <si>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</si>
  <si>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</si>
  <si>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</si>
  <si>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</si>
  <si>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</si>
  <si>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</si>
  <si>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</si>
  <si>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</si>
  <si>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</si>
  <si>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</si>
  <si>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</si>
  <si>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</si>
  <si>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</si>
  <si>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</si>
  <si>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</si>
  <si>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</si>
  <si>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</si>
  <si>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</si>
  <si>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</si>
  <si>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</si>
  <si>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</si>
  <si>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</si>
  <si>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</si>
  <si>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</si>
  <si>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</si>
  <si>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</si>
  <si>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</si>
  <si>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</si>
  <si>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</si>
  <si>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</si>
  <si>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</si>
  <si>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</si>
  <si>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</si>
  <si>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</si>
  <si>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</si>
  <si>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</si>
  <si>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</si>
  <si>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</si>
  <si>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</si>
  <si>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</si>
  <si>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</si>
  <si>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</si>
  <si>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</si>
  <si>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</si>
  <si>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</si>
  <si>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</si>
  <si>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</si>
  <si>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</si>
  <si>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</si>
  <si>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</si>
  <si>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</si>
  <si>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</si>
  <si>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</si>
  <si>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</si>
  <si>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</si>
  <si>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</si>
  <si>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</si>
  <si>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</si>
  <si>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</si>
  <si>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</si>
  <si>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</si>
  <si>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</si>
  <si>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</si>
  <si>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</si>
  <si>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</si>
  <si>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</si>
  <si>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</si>
  <si>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</si>
  <si>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</si>
  <si>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</si>
  <si>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</si>
  <si>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</si>
  <si>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</si>
  <si>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</si>
  <si>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</si>
  <si>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</si>
  <si>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</si>
  <si>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</si>
  <si>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</si>
  <si>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</si>
  <si>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</si>
  <si>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</si>
  <si>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</si>
  <si>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</si>
  <si>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</si>
  <si>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</si>
  <si>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</si>
  <si>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</si>
  <si>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</si>
  <si>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</si>
  <si>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</si>
  <si>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</si>
  <si>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</si>
  <si>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</si>
  <si>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</si>
  <si>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</si>
  <si>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</si>
  <si>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</si>
  <si>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</si>
  <si>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</si>
  <si>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</si>
  <si>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</si>
  <si>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</si>
  <si>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</si>
  <si>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</si>
  <si>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</si>
  <si>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</si>
  <si>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</si>
  <si>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</si>
  <si>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</si>
  <si>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</si>
  <si>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</si>
  <si>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</si>
  <si>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</si>
  <si>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</si>
  <si>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</si>
  <si>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</si>
  <si>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</si>
  <si>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</si>
  <si>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</si>
  <si>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</si>
  <si>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</si>
  <si>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</si>
  <si>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</si>
  <si>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</si>
  <si>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</si>
  <si>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</si>
  <si>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</si>
  <si>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</si>
  <si>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</si>
  <si>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</si>
  <si>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</si>
  <si>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</si>
  <si>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</si>
  <si>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</si>
  <si>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</si>
  <si>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</si>
  <si>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</si>
  <si>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</si>
  <si>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</si>
  <si>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</si>
  <si>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</si>
  <si>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</si>
  <si>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</si>
  <si>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</si>
  <si>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</si>
  <si>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</si>
  <si>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</si>
  <si>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</si>
  <si>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</si>
  <si>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</si>
  <si>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</si>
  <si>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</si>
  <si>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</si>
  <si>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</si>
  <si>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</si>
  <si>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</si>
  <si>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</si>
  <si>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</si>
  <si>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</si>
  <si>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</si>
  <si>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</si>
  <si>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</si>
  <si>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</si>
  <si>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</si>
  <si>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</si>
  <si>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</si>
  <si>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</si>
  <si>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</si>
  <si>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</si>
  <si>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</si>
  <si>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</si>
  <si>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</si>
  <si>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</si>
  <si>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</si>
  <si>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</si>
  <si>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</si>
  <si>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</si>
  <si>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</si>
  <si>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</si>
  <si>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</si>
  <si>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</si>
  <si>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</si>
  <si>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</si>
  <si>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</si>
  <si>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</si>
  <si>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</si>
  <si>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</si>
  <si>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</si>
  <si>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</si>
  <si>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</si>
  <si>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</si>
  <si>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</si>
  <si>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</si>
  <si>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</si>
  <si>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</si>
  <si>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</si>
  <si>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</si>
  <si>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</si>
  <si>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</si>
  <si>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</si>
  <si>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</si>
  <si>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</si>
  <si>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</si>
  <si>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</si>
  <si>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</si>
  <si>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</si>
  <si>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</si>
  <si>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</si>
  <si>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</si>
  <si>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</si>
  <si>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</si>
  <si>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</si>
  <si>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</si>
  <si>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</si>
  <si>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</si>
  <si>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</si>
  <si>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</si>
  <si>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</si>
  <si>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</si>
  <si>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</si>
  <si>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</si>
  <si>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</si>
  <si>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</si>
  <si>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</si>
  <si>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</si>
  <si>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</si>
  <si>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</si>
  <si>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</si>
  <si>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</si>
  <si>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</si>
  <si>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</si>
  <si>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</si>
  <si>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</si>
  <si>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</si>
  <si>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</si>
  <si>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</si>
  <si>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</si>
  <si>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</si>
  <si>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</si>
  <si>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</si>
  <si>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</si>
  <si>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</si>
  <si>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</si>
  <si>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</si>
  <si>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</si>
  <si>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</si>
  <si>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</si>
  <si>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</si>
  <si>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</si>
  <si>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</si>
  <si>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</si>
  <si>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</si>
  <si>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</si>
  <si>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</si>
  <si>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</si>
  <si>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</si>
  <si>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</si>
  <si>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</si>
  <si>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</si>
  <si>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</si>
  <si>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</si>
  <si>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</si>
  <si>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</si>
  <si>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</si>
  <si>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</si>
  <si>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</si>
  <si>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</si>
  <si>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</si>
  <si>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</si>
  <si>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</si>
  <si>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</si>
  <si>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</si>
  <si>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</si>
  <si>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</si>
  <si>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</si>
  <si>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</si>
  <si>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</si>
  <si>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</si>
  <si>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</si>
  <si>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</si>
  <si>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</si>
  <si>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</si>
  <si>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</si>
  <si>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</si>
  <si>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</si>
  <si>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</si>
  <si>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</si>
  <si>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</si>
  <si>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</si>
  <si>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</si>
  <si>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</si>
  <si>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</si>
  <si>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</si>
  <si>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</si>
  <si>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</si>
  <si>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</si>
  <si>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</si>
  <si>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</si>
  <si>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</si>
  <si>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</si>
  <si>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</si>
  <si>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</si>
  <si>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</si>
  <si>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</si>
  <si>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</si>
  <si>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</si>
  <si>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</si>
  <si>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</si>
  <si>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</si>
  <si>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</si>
  <si>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</si>
  <si>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</si>
  <si>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</si>
  <si>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</si>
  <si>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</si>
  <si>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</si>
  <si>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</si>
  <si>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</si>
  <si>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</si>
  <si>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</si>
  <si>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</si>
  <si>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</si>
  <si>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</si>
  <si>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</si>
  <si>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</si>
  <si>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</si>
  <si>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</si>
  <si>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</si>
  <si>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</si>
  <si>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</si>
  <si>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</si>
  <si>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</si>
  <si>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</si>
  <si>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</si>
  <si>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</si>
  <si>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</si>
  <si>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</si>
  <si>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</si>
  <si>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</si>
  <si>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</si>
  <si>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</si>
  <si>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</si>
  <si>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</si>
  <si>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</si>
  <si>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</si>
  <si>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</si>
  <si>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</si>
  <si>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</si>
  <si>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</si>
  <si>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</si>
  <si>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</si>
  <si>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</si>
  <si>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</si>
  <si>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</si>
  <si>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</si>
  <si>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</si>
  <si>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</si>
  <si>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</si>
  <si>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</si>
  <si>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</si>
  <si>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</si>
  <si>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</si>
  <si>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</si>
  <si>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</si>
  <si>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</si>
  <si>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</si>
  <si>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</si>
  <si>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</si>
  <si>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</si>
  <si>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</si>
  <si>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</si>
  <si>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</si>
  <si>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</si>
  <si>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</si>
  <si>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</si>
  <si>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</si>
  <si>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</si>
  <si>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</si>
  <si>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</si>
  <si>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</si>
  <si>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</si>
  <si>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</si>
  <si>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</si>
  <si>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</si>
  <si>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</si>
  <si>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</si>
  <si>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</si>
  <si>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</si>
  <si>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</si>
  <si>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</si>
  <si>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</si>
  <si>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</si>
  <si>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</si>
  <si>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</si>
  <si>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</si>
  <si>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</si>
  <si>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</si>
  <si>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</si>
  <si>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</si>
  <si>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</si>
  <si>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</si>
  <si>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</si>
  <si>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</si>
  <si>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</si>
  <si>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</si>
  <si>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</si>
  <si>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</si>
  <si>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</si>
  <si>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</si>
  <si>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</si>
  <si>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</si>
  <si>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</si>
  <si>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</si>
  <si>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</si>
  <si>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</si>
  <si>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</si>
  <si>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</si>
  <si>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</si>
  <si>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</si>
  <si>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</si>
  <si>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</si>
  <si>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</si>
  <si>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</si>
  <si>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</si>
  <si>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</si>
  <si>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</si>
  <si>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</si>
  <si>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</si>
  <si>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</si>
  <si>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</si>
  <si>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</si>
  <si>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</si>
  <si>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</si>
  <si>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</si>
  <si>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</si>
  <si>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</si>
  <si>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</si>
  <si>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</si>
  <si>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</si>
  <si>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</si>
  <si>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</si>
  <si>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</si>
  <si>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</si>
  <si>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</si>
  <si>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</si>
  <si>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</si>
  <si>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</si>
  <si>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</si>
  <si>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</si>
  <si>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</si>
  <si>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</si>
  <si>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</si>
  <si>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</si>
  <si>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</si>
  <si>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</si>
  <si>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</si>
  <si>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</si>
  <si>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</si>
  <si>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</si>
  <si>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</si>
  <si>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</si>
  <si>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</si>
  <si>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</si>
  <si>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</si>
  <si>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</si>
  <si>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</si>
  <si>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</si>
  <si>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</si>
  <si>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</si>
  <si>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</si>
  <si>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</si>
  <si>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</si>
  <si>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</si>
  <si>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</si>
  <si>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</si>
  <si>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</si>
  <si>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</si>
  <si>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</si>
  <si>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</si>
  <si>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</si>
  <si>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</si>
  <si>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</si>
  <si>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</si>
  <si>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</si>
  <si>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</si>
  <si>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</si>
  <si>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</si>
  <si>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</si>
  <si>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</si>
  <si>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</si>
  <si>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</si>
  <si>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</si>
  <si>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</si>
  <si>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</si>
  <si>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</si>
  <si>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</si>
  <si>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</si>
  <si>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</si>
  <si>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</si>
  <si>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</si>
  <si>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</si>
  <si>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</si>
  <si>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</si>
  <si>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</si>
  <si>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</si>
  <si>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</si>
  <si>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</si>
  <si>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</si>
  <si>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</si>
  <si>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</si>
  <si>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</si>
  <si>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</si>
  <si>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</si>
  <si>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</si>
  <si>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</si>
  <si>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</si>
  <si>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</si>
  <si>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</si>
  <si>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</si>
  <si>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</si>
  <si>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</si>
  <si>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</si>
  <si>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</si>
  <si>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</si>
  <si>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</si>
  <si>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</si>
  <si>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</si>
  <si>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</si>
  <si>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</si>
  <si>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</si>
  <si>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</si>
  <si>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</si>
  <si>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</si>
  <si>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</si>
  <si>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</si>
  <si>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</si>
  <si>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</si>
  <si>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</si>
  <si>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</si>
  <si>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</si>
  <si>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</si>
  <si>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</si>
  <si>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</si>
  <si>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</si>
  <si>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</si>
  <si>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</si>
  <si>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</si>
  <si>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</si>
  <si>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</si>
  <si>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</si>
  <si>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</si>
  <si>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</si>
  <si>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</si>
  <si>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</si>
  <si>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</si>
  <si>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</si>
  <si>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</si>
  <si>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</si>
  <si>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</si>
  <si>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</si>
  <si>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</si>
  <si>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</si>
  <si>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</si>
  <si>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</si>
  <si>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</si>
  <si>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</si>
  <si>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</si>
  <si>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</si>
  <si>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</si>
  <si>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</si>
  <si>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</si>
  <si>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</si>
  <si>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</si>
  <si>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</si>
  <si>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</si>
  <si>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</si>
  <si>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</si>
  <si>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</si>
  <si>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</si>
  <si>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</si>
  <si>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</si>
  <si>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</si>
  <si>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</si>
  <si>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</si>
  <si>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</si>
  <si>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</si>
  <si>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</si>
  <si>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</si>
  <si>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</si>
  <si>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</si>
  <si>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</si>
  <si>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</si>
  <si>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</si>
  <si>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</si>
  <si>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</si>
  <si>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</si>
  <si>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</si>
  <si>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</si>
  <si>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</si>
  <si>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</si>
  <si>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</si>
  <si>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</si>
  <si>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</si>
  <si>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</si>
  <si>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</si>
  <si>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</si>
  <si>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</si>
  <si>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</si>
  <si>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</si>
  <si>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</si>
  <si>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</si>
  <si>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</si>
  <si>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</si>
  <si>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</si>
  <si>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</si>
  <si>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</si>
  <si>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</si>
  <si>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</si>
  <si>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</si>
  <si>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</si>
  <si>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</si>
  <si>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</si>
  <si>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</si>
  <si>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</si>
  <si>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</si>
  <si>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</si>
  <si>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</si>
  <si>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</si>
  <si>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</si>
  <si>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</si>
  <si>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</si>
  <si>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</si>
  <si>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</si>
  <si>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</si>
  <si>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</si>
  <si>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</si>
  <si>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</si>
  <si>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</si>
  <si>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</si>
  <si>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</si>
  <si>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</si>
  <si>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</si>
  <si>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</si>
  <si>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</si>
  <si>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</si>
  <si>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</si>
  <si>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</si>
  <si>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</si>
  <si>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</si>
  <si>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</si>
  <si>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</si>
  <si>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</si>
  <si>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</si>
  <si>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</si>
  <si>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</si>
  <si>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</si>
  <si>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</si>
  <si>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</si>
  <si>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</si>
  <si>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</si>
  <si>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</si>
  <si>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</si>
  <si>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</si>
  <si>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</si>
  <si>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</si>
  <si>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</si>
  <si>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</si>
  <si>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</si>
  <si>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</si>
  <si>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</si>
  <si>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</si>
  <si>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</si>
  <si>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</si>
  <si>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</si>
  <si>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</si>
  <si>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</si>
  <si>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</si>
  <si>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</si>
  <si>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</si>
  <si>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</si>
  <si>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</si>
  <si>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</si>
  <si>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</si>
  <si>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</si>
  <si>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</si>
  <si>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</si>
  <si>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</si>
  <si>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</si>
  <si>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</si>
  <si>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</si>
  <si>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</si>
  <si>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</si>
  <si>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</si>
  <si>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</si>
  <si>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</si>
  <si>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</si>
  <si>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</si>
  <si>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</si>
  <si>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</si>
  <si>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</si>
  <si>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</si>
  <si>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</si>
  <si>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</si>
  <si>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</si>
  <si>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</si>
  <si>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</si>
  <si>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</si>
  <si>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</si>
  <si>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</si>
  <si>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</si>
  <si>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</si>
  <si>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</si>
  <si>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</si>
  <si>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</si>
  <si>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</si>
  <si>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</si>
  <si>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</si>
  <si>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</si>
  <si>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</si>
  <si>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</si>
  <si>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</si>
  <si>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</si>
  <si>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</si>
  <si>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</si>
  <si>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</si>
  <si>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</si>
  <si>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</si>
  <si>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</si>
  <si>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</si>
  <si>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</si>
  <si>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</si>
  <si>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</si>
  <si>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</si>
  <si>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</si>
  <si>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</si>
  <si>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</si>
  <si>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</si>
  <si>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</si>
  <si>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</si>
  <si>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</si>
  <si>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</si>
  <si>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</si>
  <si>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</si>
  <si>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</si>
  <si>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</si>
  <si>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</si>
  <si>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</si>
  <si>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</si>
  <si>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</si>
  <si>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</si>
  <si>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</si>
  <si>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</si>
  <si>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</si>
  <si>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</si>
  <si>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</si>
  <si>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</si>
  <si>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</si>
  <si>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</si>
  <si>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</si>
  <si>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</si>
  <si>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</si>
  <si>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</si>
  <si>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</si>
  <si>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</si>
  <si>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</si>
  <si>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</si>
  <si>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</si>
  <si>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</si>
  <si>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</si>
  <si>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</si>
  <si>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</si>
  <si>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</si>
  <si>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</si>
  <si>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</si>
  <si>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</si>
  <si>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</si>
  <si>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</si>
  <si>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</si>
  <si>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</si>
  <si>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</si>
  <si>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</si>
  <si>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</si>
  <si>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</si>
  <si>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</si>
  <si>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</si>
  <si>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</si>
  <si>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</si>
  <si>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</si>
  <si>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</si>
  <si>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</si>
  <si>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</si>
  <si>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</si>
  <si>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</si>
  <si>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</si>
  <si>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</si>
  <si>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</si>
  <si>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</si>
  <si>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</si>
  <si>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</si>
  <si>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</si>
  <si>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</si>
  <si>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</si>
  <si>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</si>
  <si>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</si>
  <si>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</si>
  <si>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</si>
  <si>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</si>
  <si>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</si>
  <si>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</si>
  <si>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</si>
  <si>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</si>
  <si>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</si>
  <si>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</si>
  <si>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</si>
  <si>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</si>
  <si>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</si>
  <si>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</si>
  <si>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</si>
  <si>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</si>
  <si>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</si>
  <si>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</si>
  <si>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</si>
  <si>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</si>
  <si>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</si>
  <si>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</si>
  <si>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</si>
  <si>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</si>
  <si>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</si>
  <si>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</si>
  <si>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</si>
  <si>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</si>
  <si>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</si>
  <si>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</si>
  <si>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</si>
  <si>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</si>
  <si>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</si>
  <si>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</si>
  <si>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</si>
  <si>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</si>
  <si>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</si>
  <si>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</si>
  <si>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</si>
  <si>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</si>
  <si>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</si>
  <si>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</si>
  <si>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</si>
  <si>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</si>
  <si>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</si>
  <si>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</si>
  <si>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</si>
  <si>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</si>
  <si>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</si>
  <si>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</si>
  <si>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</si>
  <si>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</si>
  <si>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</si>
  <si>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</si>
  <si>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</si>
  <si>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</si>
  <si>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</si>
  <si>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</si>
  <si>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</si>
  <si>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</si>
  <si>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</si>
  <si>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</si>
  <si>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</si>
  <si>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</si>
  <si>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</si>
  <si>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</si>
  <si>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</si>
  <si>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</si>
  <si>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</si>
  <si>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</si>
  <si>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</si>
  <si>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</si>
  <si>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</si>
  <si>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</si>
  <si>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</si>
  <si>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</si>
  <si>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</si>
  <si>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</si>
  <si>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</si>
  <si>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</si>
  <si>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</si>
  <si>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</si>
  <si>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</si>
  <si>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</si>
  <si>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</si>
  <si>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</si>
  <si>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</si>
  <si>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</si>
  <si>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</si>
  <si>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</si>
  <si>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</si>
  <si>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</si>
  <si>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</si>
  <si>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</si>
  <si>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</si>
  <si>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</si>
  <si>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</si>
  <si>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</si>
  <si>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</si>
  <si>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</si>
  <si>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</si>
  <si>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</si>
  <si>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</si>
  <si>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</si>
  <si>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</si>
  <si>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</si>
  <si>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</si>
  <si>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</si>
  <si>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</si>
  <si>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</si>
  <si>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</si>
  <si>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</si>
  <si>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</si>
  <si>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</si>
  <si>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</si>
  <si>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</si>
  <si>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</si>
  <si>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</si>
  <si>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</si>
  <si>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</si>
  <si>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</si>
  <si>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</si>
  <si>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</si>
  <si>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</si>
  <si>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</si>
  <si>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</si>
  <si>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</si>
  <si>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</si>
  <si>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</si>
  <si>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</si>
  <si>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</si>
  <si>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</si>
  <si>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</si>
  <si>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</si>
  <si>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</si>
  <si>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</si>
  <si>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</si>
  <si>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</si>
  <si>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</si>
  <si>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</si>
  <si>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</si>
  <si>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</si>
  <si>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</si>
  <si>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</si>
  <si>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</si>
  <si>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</si>
  <si>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</si>
  <si>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</si>
  <si>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</si>
  <si>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</si>
  <si>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</si>
  <si>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</si>
  <si>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</si>
  <si>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</si>
  <si>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</si>
  <si>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</si>
  <si>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</si>
  <si>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</si>
  <si>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</si>
  <si>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</si>
  <si>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</si>
  <si>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</si>
  <si>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</si>
  <si>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</si>
  <si>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</si>
  <si>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</si>
  <si>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</si>
  <si>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</si>
  <si>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</si>
  <si>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</si>
  <si>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</si>
  <si>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</si>
  <si>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</si>
  <si>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</si>
  <si>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</si>
  <si>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</si>
  <si>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</si>
  <si>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</si>
  <si>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</si>
  <si>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</si>
  <si>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</si>
  <si>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</si>
  <si>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</si>
  <si>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</si>
  <si>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</si>
  <si>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</si>
  <si>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</si>
  <si>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</si>
  <si>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</si>
  <si>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</si>
  <si>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</si>
  <si>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</si>
  <si>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</si>
  <si>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</si>
  <si>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</si>
  <si>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</si>
  <si>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</si>
  <si>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</si>
  <si>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</si>
  <si>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</si>
  <si>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</si>
  <si>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</si>
  <si>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</si>
  <si>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</si>
  <si>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</si>
  <si>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</si>
  <si>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</si>
  <si>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</si>
  <si>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</si>
  <si>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</si>
  <si>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</si>
  <si>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</si>
  <si>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</si>
  <si>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</si>
  <si>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</si>
  <si>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</si>
  <si>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</si>
  <si>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</si>
  <si>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</si>
  <si>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</si>
  <si>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</si>
  <si>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</si>
  <si>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</si>
  <si>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</si>
  <si>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</si>
  <si>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</si>
  <si>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</si>
  <si>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</si>
  <si>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</si>
  <si>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</si>
  <si>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</si>
  <si>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</si>
  <si>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</si>
  <si>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</si>
  <si>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</si>
  <si>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</si>
  <si>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</si>
  <si>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</si>
  <si>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</si>
  <si>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</si>
  <si>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</si>
  <si>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</si>
  <si>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</si>
  <si>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</si>
  <si>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</si>
  <si>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</si>
  <si>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</si>
  <si>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</si>
  <si>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</si>
  <si>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</si>
  <si>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</si>
  <si>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</si>
  <si>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</si>
  <si>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</si>
  <si>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</si>
  <si>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</si>
  <si>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</si>
  <si>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</si>
  <si>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</si>
  <si>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</si>
  <si>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</si>
  <si>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</si>
  <si>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</si>
  <si>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</si>
  <si>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</si>
  <si>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</si>
  <si>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</si>
  <si>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</si>
  <si>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</si>
  <si>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</si>
  <si>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</si>
  <si>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</si>
  <si>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</si>
  <si>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</si>
  <si>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</si>
  <si>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</si>
  <si>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</si>
  <si>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</si>
  <si>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</si>
  <si>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</si>
  <si>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</si>
  <si>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</si>
  <si>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</si>
  <si>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</si>
  <si>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</si>
  <si>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</si>
  <si>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</si>
  <si>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</si>
  <si>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</si>
  <si>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</si>
  <si>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</si>
  <si>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</si>
  <si>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</si>
  <si>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</si>
  <si>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</si>
  <si>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</si>
  <si>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</si>
  <si>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</si>
  <si>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</si>
  <si>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</si>
  <si>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</si>
  <si>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</si>
  <si>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</si>
  <si>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</si>
  <si>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</si>
  <si>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</si>
  <si>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</si>
  <si>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</si>
  <si>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</si>
  <si>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</si>
  <si>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</si>
  <si>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</si>
  <si>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</si>
  <si>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</si>
  <si>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</si>
  <si>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</si>
  <si>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</si>
  <si>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</si>
  <si>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</si>
  <si>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</si>
  <si>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</si>
  <si>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</si>
  <si>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</si>
  <si>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</si>
  <si>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</si>
  <si>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</si>
  <si>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</si>
  <si>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</si>
  <si>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</si>
  <si>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</si>
  <si>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</si>
  <si>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</si>
  <si>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</si>
  <si>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</si>
  <si>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</si>
  <si>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</si>
  <si>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</si>
  <si>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</si>
  <si>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</si>
  <si>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</si>
  <si>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</si>
  <si>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</si>
  <si>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</si>
  <si>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</si>
  <si>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</si>
  <si>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</si>
  <si>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</si>
  <si>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</si>
  <si>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</si>
  <si>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</si>
  <si>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</si>
  <si>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</si>
  <si>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</si>
  <si>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</si>
  <si>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</si>
  <si>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</si>
  <si>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</si>
  <si>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</si>
  <si>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</si>
  <si>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</si>
  <si>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</si>
  <si>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</si>
  <si>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</si>
  <si>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</si>
  <si>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</si>
  <si>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</si>
  <si>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</si>
  <si>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</si>
  <si>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</si>
  <si>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</si>
  <si>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</si>
  <si>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</si>
  <si>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</si>
  <si>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</si>
  <si>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</si>
  <si>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</si>
  <si>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</si>
  <si>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</si>
  <si>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</si>
  <si>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</si>
  <si>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</si>
  <si>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</si>
  <si>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</si>
  <si>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</si>
  <si>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</si>
  <si>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</si>
  <si>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</si>
  <si>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</si>
  <si>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</si>
  <si>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</si>
  <si>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</si>
  <si>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</si>
  <si>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</si>
  <si>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</si>
  <si>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</si>
  <si>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</si>
  <si>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</si>
  <si>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</si>
  <si>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</si>
  <si>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</si>
  <si>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</si>
  <si>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</si>
  <si>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</si>
  <si>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</si>
  <si>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</si>
  <si>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</si>
  <si>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</si>
  <si>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</si>
  <si>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</si>
  <si>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</si>
  <si>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</si>
  <si>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</si>
  <si>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</si>
  <si>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</si>
  <si>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</si>
  <si>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</si>
  <si>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</si>
  <si>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</si>
  <si>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</si>
  <si>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</si>
  <si>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</si>
  <si>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</si>
  <si>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</si>
  <si>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</si>
  <si>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</si>
  <si>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</si>
  <si>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</si>
  <si>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</si>
  <si>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</si>
  <si>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</si>
  <si>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</si>
  <si>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</si>
  <si>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</si>
  <si>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</si>
  <si>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</si>
  <si>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</si>
  <si>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</si>
  <si>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</si>
  <si>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</si>
  <si>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</si>
  <si>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</si>
  <si>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</si>
  <si>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</si>
  <si>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</si>
  <si>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</si>
  <si>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</si>
  <si>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</si>
  <si>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</si>
  <si>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</si>
  <si>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</si>
  <si>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</si>
  <si>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</si>
  <si>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</si>
  <si>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</si>
  <si>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</si>
  <si>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</si>
  <si>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</si>
  <si>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</si>
  <si>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</si>
  <si>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</si>
  <si>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</si>
  <si>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</si>
  <si>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</si>
  <si>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</si>
  <si>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</si>
  <si>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</si>
  <si>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</si>
  <si>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</si>
  <si>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</si>
  <si>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</si>
  <si>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</si>
  <si>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</si>
  <si>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</si>
  <si>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</si>
  <si>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</si>
  <si>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</si>
  <si>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</si>
  <si>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</si>
  <si>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</si>
  <si>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</si>
  <si>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</si>
  <si>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</si>
  <si>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</si>
  <si>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</si>
  <si>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</si>
  <si>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</si>
  <si>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</si>
  <si>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</si>
  <si>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</si>
  <si>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</si>
  <si>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</si>
  <si>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</si>
  <si>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</si>
  <si>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</si>
  <si>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</si>
  <si>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</si>
  <si>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</si>
  <si>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</si>
  <si>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</si>
  <si>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</si>
  <si>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</si>
  <si>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</si>
  <si>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</si>
  <si>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</si>
  <si>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</si>
  <si>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</si>
  <si>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</si>
  <si>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</si>
  <si>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</si>
  <si>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</si>
  <si>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</si>
  <si>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</si>
  <si>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</si>
  <si>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</si>
  <si>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</si>
  <si>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</si>
  <si>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</si>
  <si>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</si>
  <si>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</si>
  <si>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</si>
  <si>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</si>
  <si>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</si>
  <si>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</si>
  <si>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</si>
  <si>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</si>
  <si>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</si>
  <si>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</si>
  <si>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</si>
  <si>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</si>
  <si>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</si>
  <si>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</si>
  <si>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</si>
  <si>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</si>
  <si>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</si>
  <si>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</si>
  <si>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</si>
  <si>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</si>
  <si>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</si>
  <si>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</si>
  <si>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</si>
  <si>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</si>
  <si>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</si>
  <si>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</si>
  <si>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</si>
  <si>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</si>
  <si>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</si>
  <si>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</si>
  <si>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</si>
  <si>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</si>
  <si>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</si>
  <si>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</si>
  <si>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</si>
  <si>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</si>
  <si>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</si>
  <si>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</si>
  <si>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</si>
  <si>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</si>
  <si>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</si>
  <si>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</si>
  <si>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</si>
  <si>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</si>
  <si>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</si>
  <si>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</si>
  <si>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</si>
  <si>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</si>
  <si>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</si>
  <si>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</si>
  <si>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</si>
  <si>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</si>
  <si>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</si>
  <si>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</si>
  <si>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</si>
  <si>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</si>
  <si>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</si>
  <si>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</si>
  <si>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</si>
  <si>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</si>
  <si>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</si>
  <si>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</si>
  <si>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</si>
  <si>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</si>
  <si>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</si>
  <si>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</si>
  <si>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</si>
  <si>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</si>
  <si>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</si>
  <si>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</si>
  <si>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</si>
  <si>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</si>
  <si>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</si>
  <si>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</si>
  <si>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</si>
  <si>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</si>
  <si>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</si>
  <si>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</si>
  <si>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</si>
  <si>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</si>
  <si>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</si>
  <si>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</si>
  <si>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</si>
  <si>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</si>
  <si>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</si>
  <si>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</si>
  <si>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</si>
  <si>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</si>
  <si>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</si>
  <si>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</si>
  <si>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</si>
  <si>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</si>
  <si>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</si>
  <si>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</si>
  <si>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</si>
  <si>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</si>
  <si>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</si>
  <si>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</si>
  <si>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</si>
  <si>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</si>
  <si>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</si>
  <si>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</si>
  <si>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</si>
  <si>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</si>
  <si>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</si>
  <si>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</si>
  <si>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</si>
  <si>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</si>
  <si>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</si>
  <si>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</si>
  <si>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</si>
  <si>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</si>
  <si>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</si>
  <si>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</si>
  <si>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</si>
  <si>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</si>
  <si>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</si>
  <si>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</si>
  <si>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</si>
  <si>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</si>
  <si>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</si>
  <si>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</si>
  <si>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</si>
  <si>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</si>
  <si>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</si>
  <si>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</si>
  <si>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</si>
  <si>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</si>
  <si>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</si>
  <si>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</si>
  <si>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</si>
  <si>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</si>
  <si>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</si>
  <si>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</si>
  <si>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</si>
  <si>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</si>
  <si>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</si>
  <si>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</si>
  <si>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</si>
  <si>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</si>
  <si>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</si>
  <si>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</si>
  <si>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</si>
  <si>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</si>
  <si>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</si>
  <si>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</si>
  <si>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</si>
  <si>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</si>
  <si>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</si>
  <si>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</si>
  <si>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</si>
  <si>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</si>
  <si>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</si>
  <si>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</si>
  <si>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</si>
  <si>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</si>
  <si>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</si>
  <si>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</si>
  <si>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</si>
  <si>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</si>
  <si>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</si>
  <si>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</si>
  <si>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</si>
  <si>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</si>
  <si>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</si>
  <si>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</si>
  <si>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</si>
  <si>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</si>
  <si>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</si>
  <si>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</si>
  <si>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</si>
  <si>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</si>
  <si>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</si>
  <si>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</si>
  <si>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</si>
  <si>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</si>
  <si>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</si>
  <si>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</si>
  <si>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</si>
  <si>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</si>
  <si>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</si>
  <si>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</si>
  <si>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</si>
  <si>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</si>
  <si>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</si>
  <si>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</si>
  <si>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</si>
  <si>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</si>
  <si>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</si>
  <si>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</si>
  <si>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</si>
  <si>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</si>
  <si>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</si>
  <si>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</si>
  <si>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</si>
  <si>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</si>
  <si>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</si>
  <si>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</si>
  <si>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</si>
  <si>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</si>
  <si>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</si>
  <si>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</si>
  <si>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</si>
  <si>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</si>
  <si>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</si>
  <si>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</si>
  <si>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</si>
  <si>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</si>
  <si>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</si>
  <si>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</si>
  <si>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</si>
  <si>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</si>
  <si>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</si>
  <si>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</si>
  <si>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</si>
  <si>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</si>
  <si>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</si>
  <si>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</si>
  <si>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</si>
  <si>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</si>
  <si>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</si>
  <si>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</si>
  <si>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</si>
  <si>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</si>
  <si>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</si>
  <si>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</si>
  <si>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</si>
  <si>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</si>
  <si>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</si>
  <si>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</si>
  <si>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</si>
  <si>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</si>
  <si>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</si>
  <si>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</si>
  <si>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</si>
  <si>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</si>
  <si>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</si>
  <si>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</si>
  <si>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</si>
  <si>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</si>
  <si>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</si>
  <si>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</si>
  <si>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</si>
  <si>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</si>
  <si>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</si>
  <si>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</si>
  <si>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</si>
  <si>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</si>
  <si>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</si>
  <si>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</si>
  <si>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</si>
  <si>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</si>
  <si>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</si>
  <si>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</si>
  <si>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</si>
  <si>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</si>
  <si>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</si>
  <si>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</si>
  <si>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</si>
  <si>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</si>
  <si>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</si>
  <si>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</si>
  <si>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</si>
  <si>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</si>
  <si>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</si>
  <si>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</si>
  <si>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</si>
  <si>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</si>
  <si>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</si>
  <si>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</si>
  <si>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</si>
  <si>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</si>
  <si>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</si>
  <si>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</si>
  <si>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</si>
  <si>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</si>
  <si>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</si>
  <si>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</si>
  <si>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</si>
  <si>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</si>
  <si>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</si>
  <si>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</si>
  <si>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</si>
  <si>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</si>
  <si>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</si>
  <si>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</si>
  <si>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</si>
  <si>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</si>
  <si>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</si>
  <si>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</si>
  <si>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</si>
  <si>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</si>
  <si>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</si>
  <si>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</si>
  <si>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</si>
  <si>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</si>
  <si>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</si>
  <si>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</si>
  <si>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</si>
  <si>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</si>
  <si>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</si>
  <si>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</si>
  <si>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</si>
  <si>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</si>
  <si>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</si>
  <si>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</si>
  <si>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</si>
  <si>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</si>
  <si>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</si>
  <si>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</si>
  <si>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</si>
  <si>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</si>
  <si>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</si>
  <si>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</si>
  <si>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</si>
  <si>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</si>
  <si>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</si>
  <si>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</si>
  <si>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</si>
  <si>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</si>
  <si>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</si>
  <si>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</si>
  <si>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</si>
  <si>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</si>
  <si>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</si>
  <si>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</si>
  <si>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</si>
  <si>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</si>
  <si>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</si>
  <si>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</si>
  <si>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</si>
  <si>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</si>
  <si>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</si>
  <si>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</si>
  <si>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</si>
  <si>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</si>
  <si>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</si>
  <si>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</si>
  <si>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</si>
  <si>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</si>
  <si>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</si>
  <si>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</si>
  <si>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</si>
  <si>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</si>
  <si>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</si>
  <si>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</si>
  <si>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</si>
  <si>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</si>
  <si>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</si>
  <si>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</si>
  <si>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</si>
  <si>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</si>
  <si>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</si>
  <si>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</si>
  <si>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</si>
  <si>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</si>
  <si>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</si>
  <si>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</si>
  <si>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</si>
  <si>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</si>
  <si>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</si>
  <si>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</si>
  <si>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</si>
  <si>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</si>
  <si>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</si>
  <si>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</si>
  <si>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</si>
  <si>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</si>
  <si>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</si>
  <si>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</si>
  <si>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</si>
  <si>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</si>
  <si>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</si>
  <si>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</si>
  <si>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</si>
  <si>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</si>
  <si>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</si>
  <si>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</si>
  <si>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</si>
  <si>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</si>
  <si>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</si>
  <si>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</si>
  <si>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</si>
  <si>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</si>
  <si>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</si>
  <si>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</si>
  <si>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</si>
  <si>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</si>
  <si>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</si>
  <si>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</si>
  <si>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</si>
  <si>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</si>
  <si>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</si>
  <si>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</si>
  <si>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</si>
  <si>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</si>
  <si>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</si>
  <si>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</si>
  <si>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</si>
  <si>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</si>
  <si>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</si>
  <si>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</si>
  <si>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</si>
  <si>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</si>
  <si>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</si>
  <si>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</si>
  <si>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</si>
  <si>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</si>
  <si>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</si>
  <si>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</si>
  <si>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</si>
  <si>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</si>
  <si>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</si>
  <si>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</si>
  <si>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</si>
  <si>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</si>
  <si>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</si>
  <si>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</si>
  <si>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</si>
  <si>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</si>
  <si>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</si>
  <si>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</si>
  <si>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</si>
  <si>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</si>
  <si>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</si>
  <si>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</si>
  <si>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</si>
  <si>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</si>
  <si>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</si>
  <si>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</si>
  <si>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</si>
  <si>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</si>
  <si>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</si>
  <si>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</si>
  <si>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</si>
  <si>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</si>
  <si>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</si>
  <si>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</si>
  <si>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</si>
  <si>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</si>
  <si>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</si>
  <si>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</si>
  <si>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</si>
  <si>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</si>
  <si>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</si>
  <si>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</si>
  <si>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</si>
  <si>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</si>
  <si>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</si>
  <si>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</si>
  <si>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</si>
  <si>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</si>
  <si>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</si>
  <si>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</si>
  <si>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</si>
  <si>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</si>
  <si>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</si>
  <si>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</si>
  <si>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</si>
  <si>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</si>
  <si>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</si>
  <si>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</si>
  <si>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</si>
  <si>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</si>
  <si>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</si>
  <si>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</si>
  <si>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</si>
  <si>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</si>
  <si>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</si>
  <si>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</si>
  <si>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</si>
  <si>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</si>
  <si>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</si>
  <si>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</si>
  <si>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</si>
  <si>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</si>
  <si>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</si>
  <si>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</si>
  <si>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</si>
  <si>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</si>
  <si>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</si>
  <si>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</si>
  <si>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</si>
  <si>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</si>
  <si>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</si>
  <si>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</si>
  <si>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</si>
  <si>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</si>
  <si>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</si>
  <si>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</si>
  <si>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</si>
  <si>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</si>
  <si>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</si>
  <si>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</si>
  <si>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</si>
  <si>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</si>
  <si>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</si>
  <si>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</si>
  <si>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</si>
  <si>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</si>
  <si>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</si>
  <si>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</si>
  <si>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</si>
  <si>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</si>
  <si>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</si>
  <si>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</si>
  <si>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</si>
  <si>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</si>
  <si>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</si>
  <si>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</si>
  <si>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</si>
  <si>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</si>
  <si>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</si>
  <si>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</si>
  <si>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</si>
  <si>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</si>
  <si>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</si>
  <si>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</si>
  <si>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</si>
  <si>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</si>
  <si>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</si>
  <si>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</si>
  <si>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</si>
  <si>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</si>
  <si>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</si>
  <si>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</si>
  <si>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</si>
  <si>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</si>
  <si>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</si>
  <si>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</si>
  <si>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</si>
  <si>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</si>
  <si>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</si>
  <si>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</si>
  <si>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</si>
  <si>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</si>
  <si>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</si>
  <si>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</si>
  <si>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</si>
  <si>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</si>
  <si>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</si>
  <si>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</si>
  <si>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</si>
  <si>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</si>
  <si>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</si>
  <si>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</si>
  <si>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</si>
  <si>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</si>
  <si>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</si>
  <si>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</si>
  <si>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</si>
  <si>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</si>
  <si>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</si>
  <si>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</si>
  <si>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</si>
  <si>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</si>
  <si>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</si>
  <si>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</si>
  <si>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</si>
  <si>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</si>
  <si>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</si>
  <si>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</si>
  <si>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</si>
  <si>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</si>
  <si>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</si>
  <si>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</si>
  <si>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</si>
  <si>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</si>
  <si>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</si>
  <si>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</si>
  <si>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</si>
  <si>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</si>
  <si>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</si>
  <si>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</si>
  <si>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</si>
  <si>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</si>
  <si>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</si>
  <si>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</si>
  <si>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</si>
  <si>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</si>
  <si>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</si>
  <si>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</si>
  <si>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</si>
  <si>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</si>
  <si>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</si>
  <si>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</si>
  <si>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</si>
  <si>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</si>
  <si>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</si>
  <si>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</si>
  <si>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</si>
  <si>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</si>
  <si>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</si>
  <si>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</si>
  <si>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</si>
  <si>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</si>
  <si>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</si>
  <si>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</si>
  <si>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</si>
  <si>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</si>
  <si>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</si>
  <si>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</si>
  <si>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</si>
  <si>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</si>
  <si>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</si>
  <si>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</si>
  <si>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</si>
  <si>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</si>
  <si>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</si>
  <si>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</si>
  <si>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</si>
  <si>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</si>
  <si>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</si>
  <si>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</si>
  <si>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</si>
  <si>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</si>
  <si>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</si>
  <si>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</si>
  <si>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</si>
  <si>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</si>
  <si>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</si>
  <si>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</si>
  <si>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</si>
  <si>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</si>
  <si>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</si>
  <si>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</si>
  <si>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</si>
  <si>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</si>
  <si>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</si>
  <si>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</si>
  <si>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</si>
  <si>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</si>
  <si>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</si>
  <si>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</si>
  <si>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</si>
  <si>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</si>
  <si>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</si>
  <si>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</si>
  <si>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</si>
  <si>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</si>
  <si>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</si>
  <si>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</si>
  <si>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</si>
  <si>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</si>
  <si>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</si>
  <si>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</si>
  <si>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</si>
  <si>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</si>
  <si>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</si>
  <si>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</si>
  <si>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</si>
  <si>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</si>
  <si>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</si>
  <si>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</si>
  <si>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</si>
  <si>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</si>
  <si>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</si>
  <si>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</si>
  <si>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</si>
  <si>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</si>
  <si>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</si>
  <si>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</si>
  <si>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</si>
  <si>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</si>
  <si>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</si>
  <si>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</si>
  <si>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</si>
  <si>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</si>
  <si>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</si>
  <si>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</si>
  <si>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</si>
  <si>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</si>
  <si>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</si>
  <si>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</si>
  <si>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</si>
  <si>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</si>
  <si>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</si>
  <si>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</si>
  <si>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</si>
  <si>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</si>
  <si>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</si>
  <si>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</si>
  <si>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</si>
  <si>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</si>
  <si>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</si>
  <si>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</si>
  <si>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</si>
  <si>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</si>
  <si>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</si>
  <si>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</si>
  <si>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</si>
  <si>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</si>
  <si>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</si>
  <si>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</si>
  <si>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</si>
  <si>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</si>
  <si>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</si>
  <si>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</si>
  <si>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</si>
  <si>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</si>
  <si>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</si>
  <si>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</si>
  <si>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</si>
  <si>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</si>
  <si>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</si>
  <si>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</si>
  <si>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</si>
  <si>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</si>
  <si>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</si>
  <si>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</si>
  <si>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</si>
  <si>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</si>
  <si>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</si>
  <si>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</si>
  <si>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</si>
  <si>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</si>
  <si>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</si>
  <si>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</si>
  <si>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</si>
  <si>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</si>
  <si>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</si>
  <si>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</si>
  <si>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</si>
  <si>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</si>
  <si>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</si>
  <si>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</si>
  <si>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</si>
  <si>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</si>
  <si>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</si>
  <si>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</si>
  <si>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</si>
  <si>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</si>
  <si>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</si>
  <si>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</si>
  <si>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</si>
  <si>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</si>
  <si>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</si>
  <si>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</si>
  <si>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</si>
  <si>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</si>
  <si>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</si>
  <si>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</si>
  <si>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</si>
  <si>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</si>
  <si>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</si>
  <si>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</si>
  <si>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</si>
  <si>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</si>
  <si>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</si>
  <si>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</si>
  <si>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</si>
  <si>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</si>
  <si>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</si>
  <si>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</si>
  <si>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</si>
  <si>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</si>
  <si>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</si>
  <si>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</si>
  <si>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</si>
  <si>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</si>
  <si>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</si>
  <si>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</si>
  <si>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</si>
  <si>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</si>
  <si>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</si>
  <si>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</si>
  <si>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</si>
  <si>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</si>
  <si>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</si>
  <si>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</si>
  <si>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</si>
  <si>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</si>
  <si>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</si>
  <si>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</si>
  <si>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</si>
  <si>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</si>
  <si>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</si>
  <si>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</si>
  <si>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</si>
  <si>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</si>
  <si>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</si>
  <si>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</si>
  <si>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</si>
  <si>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</si>
  <si>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</si>
  <si>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</si>
  <si>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</si>
  <si>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</si>
  <si>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</si>
  <si>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</si>
  <si>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</si>
  <si>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</si>
  <si>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</si>
  <si>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</si>
  <si>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</si>
  <si>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</si>
  <si>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</si>
  <si>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</si>
  <si>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</si>
  <si>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</si>
  <si>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</si>
  <si>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</si>
  <si>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</si>
  <si>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</si>
  <si>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</si>
  <si>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</si>
  <si>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</si>
  <si>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</si>
  <si>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</si>
  <si>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</si>
  <si>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</si>
  <si>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</si>
  <si>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</si>
  <si>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</si>
  <si>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</si>
  <si>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</si>
  <si>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</si>
  <si>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</si>
  <si>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</si>
  <si>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</si>
  <si>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</si>
  <si>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</si>
  <si>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</si>
  <si>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</si>
  <si>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</si>
  <si>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</si>
  <si>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</si>
  <si>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</si>
  <si>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</si>
  <si>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</si>
  <si>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</si>
  <si>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</si>
  <si>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</si>
  <si>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</si>
  <si>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</si>
  <si>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</si>
  <si>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</si>
  <si>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</si>
  <si>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</si>
  <si>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</si>
  <si>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</si>
  <si>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</si>
  <si>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</si>
  <si>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</si>
  <si>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</si>
  <si>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</si>
  <si>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</si>
  <si>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</si>
  <si>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</si>
  <si>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</si>
  <si>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</si>
  <si>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</si>
  <si>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</si>
  <si>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</si>
  <si>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</si>
  <si>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</si>
  <si>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</si>
  <si>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</si>
  <si>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</si>
  <si>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</si>
  <si>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</si>
  <si>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</si>
  <si>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</si>
  <si>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</si>
  <si>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</si>
  <si>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</si>
  <si>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</si>
  <si>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</si>
  <si>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</si>
  <si>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</si>
  <si>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</si>
  <si>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</si>
  <si>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</si>
  <si>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</si>
  <si>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</si>
  <si>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</si>
  <si>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</si>
  <si>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</si>
  <si>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</si>
  <si>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</si>
  <si>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</si>
  <si>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</si>
  <si>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</si>
  <si>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</si>
  <si>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</si>
  <si>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</si>
  <si>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</si>
  <si>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</si>
  <si>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</si>
  <si>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</si>
  <si>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</si>
  <si>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</si>
  <si>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</si>
  <si>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</si>
  <si>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</si>
  <si>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</si>
  <si>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</si>
  <si>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</si>
  <si>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</si>
  <si>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</si>
  <si>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</si>
  <si>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</si>
  <si>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</si>
  <si>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</si>
  <si>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</si>
  <si>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</si>
  <si>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</si>
  <si>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</si>
  <si>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</si>
  <si>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</si>
  <si>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</si>
  <si>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</si>
  <si>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</si>
  <si>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</si>
  <si>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</si>
  <si>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</si>
  <si>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</si>
  <si>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</si>
  <si>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</si>
  <si>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</si>
  <si>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</si>
  <si>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</si>
  <si>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</si>
  <si>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</si>
  <si>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</si>
  <si>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</si>
  <si>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</si>
  <si>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</si>
  <si>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</si>
  <si>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</si>
  <si>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</si>
  <si>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</si>
  <si>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</si>
  <si>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</si>
  <si>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</si>
  <si>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</si>
  <si>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</si>
  <si>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</si>
  <si>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</si>
  <si>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</si>
  <si>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</si>
  <si>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</si>
  <si>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</si>
  <si>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</si>
  <si>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</si>
  <si>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</si>
  <si>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</si>
  <si>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</si>
  <si>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</si>
  <si>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</si>
  <si>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</si>
  <si>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</si>
  <si>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</si>
  <si>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</si>
  <si>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</si>
  <si>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</si>
  <si>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</si>
  <si>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</si>
  <si>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</si>
  <si>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</si>
  <si>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</si>
  <si>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</si>
  <si>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</si>
  <si>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</si>
  <si>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</si>
  <si>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</si>
  <si>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</si>
  <si>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</si>
  <si>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</si>
  <si>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</si>
  <si>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</si>
  <si>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</si>
  <si>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</si>
  <si>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</si>
  <si>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</si>
  <si>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</si>
  <si>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</si>
  <si>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</si>
  <si>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</si>
  <si>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</si>
  <si>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</si>
  <si>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</si>
  <si>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</si>
  <si>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</si>
  <si>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</si>
  <si>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</si>
  <si>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</si>
  <si>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</si>
  <si>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</si>
  <si>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</si>
  <si>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</si>
  <si>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</si>
  <si>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</si>
  <si>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</si>
  <si>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</si>
  <si>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</si>
  <si>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</si>
  <si>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</si>
  <si>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</si>
  <si>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</si>
  <si>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</si>
  <si>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</si>
  <si>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</si>
  <si>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</si>
  <si>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</si>
  <si>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</si>
  <si>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</si>
  <si>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</si>
  <si>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</si>
  <si>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</si>
  <si>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</si>
  <si>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</si>
  <si>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</si>
  <si>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</si>
  <si>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</si>
  <si>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</si>
  <si>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</si>
  <si>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</si>
  <si>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</si>
  <si>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</si>
  <si>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</si>
  <si>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</si>
  <si>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</si>
  <si>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</si>
  <si>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</si>
  <si>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</si>
  <si>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</si>
  <si>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</si>
  <si>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</si>
  <si>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</si>
  <si>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</si>
  <si>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</si>
  <si>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</si>
  <si>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</si>
  <si>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</si>
  <si>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</si>
  <si>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</si>
  <si>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</si>
  <si>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</si>
  <si>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</si>
  <si>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</si>
  <si>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</si>
  <si>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</si>
  <si>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</si>
  <si>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</si>
  <si>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</si>
  <si>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</si>
  <si>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</si>
  <si>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</si>
  <si>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</si>
  <si>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</si>
  <si>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</si>
  <si>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</si>
  <si>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</si>
  <si>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</si>
  <si>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</si>
  <si>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</si>
  <si>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</si>
  <si>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</si>
  <si>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</si>
  <si>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</si>
  <si>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</si>
  <si>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</si>
  <si>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</si>
  <si>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</si>
  <si>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</si>
  <si>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</si>
  <si>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</si>
  <si>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</si>
  <si>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</si>
  <si>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</si>
  <si>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</si>
  <si>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</si>
  <si>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</si>
  <si>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</si>
  <si>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</si>
  <si>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</si>
  <si>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</si>
  <si>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</si>
  <si>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</si>
  <si>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</si>
  <si>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</si>
  <si>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</si>
  <si>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</si>
  <si>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</si>
  <si>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</si>
  <si>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</si>
  <si>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</si>
  <si>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</si>
  <si>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</si>
  <si>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</si>
  <si>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</si>
  <si>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</si>
  <si>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</si>
  <si>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</si>
  <si>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</si>
  <si>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</si>
  <si>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</si>
  <si>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</si>
  <si>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</si>
  <si>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</si>
  <si>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</si>
  <si>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</si>
  <si>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</si>
  <si>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</si>
  <si>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</si>
  <si>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</si>
  <si>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</si>
  <si>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</si>
  <si>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</si>
  <si>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</si>
  <si>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</si>
  <si>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</si>
  <si>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</si>
  <si>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</si>
  <si>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</si>
  <si>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</si>
  <si>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</si>
  <si>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</si>
  <si>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</si>
  <si>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</si>
  <si>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</si>
  <si>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</si>
  <si>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</si>
  <si>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</si>
  <si>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</si>
  <si>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</si>
  <si>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</si>
  <si>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</si>
  <si>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</si>
  <si>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</si>
  <si>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</si>
  <si>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</si>
  <si>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</si>
  <si>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</si>
  <si>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</si>
  <si>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</si>
  <si>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</si>
  <si>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</si>
  <si>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</si>
  <si>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</si>
  <si>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</si>
  <si>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</si>
  <si>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</si>
  <si>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</si>
  <si>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</si>
  <si>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</si>
  <si>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</si>
  <si>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</si>
  <si>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</si>
  <si>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</si>
  <si>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</si>
  <si>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</si>
  <si>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</si>
  <si>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</si>
  <si>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</si>
  <si>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</si>
  <si>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</si>
  <si>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</si>
  <si>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</si>
  <si>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</si>
  <si>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</si>
  <si>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</si>
  <si>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</si>
  <si>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</si>
  <si>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</si>
  <si>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</si>
  <si>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</si>
  <si>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</si>
  <si>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</si>
  <si>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</si>
  <si>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</si>
  <si>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</si>
  <si>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</si>
  <si>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</si>
  <si>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</si>
  <si>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</si>
  <si>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</si>
  <si>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</si>
  <si>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</si>
  <si>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</si>
  <si>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</si>
  <si>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</si>
  <si>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</si>
  <si>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</si>
  <si>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</si>
  <si>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</si>
  <si>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</si>
  <si>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</si>
  <si>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</si>
  <si>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</si>
  <si>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</si>
  <si>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</si>
  <si>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</si>
  <si>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</si>
  <si>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</si>
  <si>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</si>
  <si>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</si>
  <si>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</si>
  <si>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</si>
  <si>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</si>
  <si>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</si>
  <si>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</si>
  <si>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</si>
  <si>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</si>
  <si>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</si>
  <si>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</si>
  <si>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</si>
  <si>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</si>
  <si>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</si>
  <si>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</si>
  <si>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</si>
  <si>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</si>
  <si>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</si>
  <si>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</si>
  <si>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</si>
  <si>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</si>
  <si>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</si>
  <si>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</si>
  <si>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</si>
  <si>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</si>
  <si>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</si>
  <si>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</si>
  <si>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</si>
  <si>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</si>
  <si>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</si>
  <si>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</si>
  <si>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</si>
  <si>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</si>
  <si>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</si>
  <si>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</si>
  <si>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</si>
  <si>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</si>
  <si>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</si>
  <si>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</si>
  <si>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</si>
  <si>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</si>
  <si>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</si>
  <si>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</si>
  <si>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</si>
  <si>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</si>
  <si>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</si>
  <si>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</si>
  <si>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</si>
  <si>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</si>
  <si>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</si>
  <si>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</si>
  <si>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</si>
  <si>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</si>
  <si>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</si>
  <si>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</si>
  <si>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</si>
  <si>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</si>
  <si>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</si>
  <si>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</si>
  <si>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</si>
  <si>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</si>
  <si>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</si>
  <si>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</si>
  <si>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</si>
  <si>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</si>
  <si>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</si>
  <si>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</si>
  <si>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</si>
  <si>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</si>
  <si>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</si>
  <si>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</si>
  <si>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</si>
  <si>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</si>
  <si>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</si>
  <si>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</si>
  <si>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</si>
  <si>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</si>
  <si>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</si>
  <si>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</si>
  <si>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</si>
  <si>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</si>
  <si>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</si>
  <si>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</si>
  <si>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</si>
  <si>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</si>
  <si>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</si>
  <si>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</si>
  <si>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</si>
  <si>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</si>
  <si>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</si>
  <si>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</si>
  <si>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</si>
  <si>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</si>
  <si>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</si>
  <si>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</si>
  <si>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</si>
  <si>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</si>
  <si>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</si>
  <si>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</si>
  <si>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</si>
  <si>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</si>
  <si>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</si>
  <si>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</si>
  <si>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</si>
  <si>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</si>
  <si>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</si>
  <si>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</si>
  <si>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</si>
  <si>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</si>
  <si>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</si>
  <si>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</si>
  <si>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</si>
  <si>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</si>
  <si>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</si>
  <si>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</si>
  <si>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</si>
  <si>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</si>
  <si>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</si>
  <si>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</si>
  <si>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</si>
  <si>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</si>
  <si>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</si>
  <si>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</si>
  <si>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</si>
  <si>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</si>
  <si>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</si>
  <si>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</si>
  <si>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</si>
  <si>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</si>
  <si>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</si>
  <si>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</si>
  <si>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</si>
  <si>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</si>
  <si>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</si>
  <si>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</si>
  <si>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</si>
  <si>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</si>
  <si>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</si>
  <si>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</si>
  <si>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</si>
  <si>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</si>
  <si>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</si>
  <si>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</si>
  <si>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</si>
  <si>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</si>
  <si>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</si>
  <si>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</si>
  <si>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</si>
  <si>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</si>
  <si>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</si>
  <si>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</si>
  <si>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</si>
  <si>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</si>
  <si>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</si>
  <si>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</si>
  <si>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</si>
  <si>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</si>
  <si>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</si>
  <si>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</si>
  <si>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</si>
  <si>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</si>
  <si>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</si>
  <si>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</si>
  <si>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</si>
  <si>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</si>
  <si>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</si>
  <si>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</si>
  <si>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</si>
  <si>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</si>
  <si>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</si>
  <si>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</si>
  <si>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</si>
  <si>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</si>
  <si>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</si>
  <si>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</si>
  <si>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</si>
  <si>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</si>
  <si>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</si>
  <si>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</si>
  <si>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</si>
  <si>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</si>
  <si>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</si>
  <si>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</si>
  <si>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</si>
  <si>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</si>
  <si>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</si>
  <si>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</si>
  <si>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</si>
  <si>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</si>
  <si>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</si>
  <si>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</si>
  <si>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</si>
  <si>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</si>
  <si>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</si>
  <si>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</si>
  <si>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</si>
  <si>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</si>
  <si>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</si>
  <si>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</si>
  <si>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</si>
  <si>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</si>
  <si>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</si>
  <si>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</si>
  <si>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</si>
  <si>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</si>
  <si>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</si>
  <si>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</si>
  <si>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</si>
  <si>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</si>
  <si>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</si>
  <si>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</si>
  <si>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</si>
  <si>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</si>
  <si>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</si>
  <si>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</si>
  <si>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</si>
  <si>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</si>
  <si>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</si>
  <si>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</si>
  <si>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</si>
  <si>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</si>
  <si>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</si>
  <si>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</si>
  <si>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</si>
  <si>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</si>
  <si>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</si>
  <si>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</si>
  <si>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</si>
  <si>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</si>
  <si>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</si>
  <si>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</si>
  <si>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</si>
  <si>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</si>
  <si>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</si>
  <si>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</si>
  <si>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</si>
  <si>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</si>
  <si>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</si>
  <si>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</si>
  <si>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</si>
  <si>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</si>
  <si>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</si>
  <si>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</si>
  <si>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</si>
  <si>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</si>
  <si>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</si>
  <si>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</si>
  <si>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</si>
  <si>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</si>
  <si>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</si>
  <si>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</si>
  <si>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</si>
  <si>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</si>
  <si>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</si>
  <si>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</si>
  <si>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</si>
  <si>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</si>
  <si>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</si>
  <si>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</si>
  <si>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</si>
  <si>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</si>
  <si>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</si>
  <si>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</si>
  <si>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</si>
  <si>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</si>
  <si>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</si>
  <si>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</si>
  <si>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</si>
  <si>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</si>
  <si>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</si>
  <si>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</si>
  <si>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</si>
  <si>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</si>
  <si>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</si>
  <si>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</si>
  <si>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</si>
  <si>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</si>
  <si>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</si>
  <si>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</si>
  <si>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</si>
  <si>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</si>
  <si>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</si>
  <si>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</si>
  <si>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</si>
  <si>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</si>
  <si>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</si>
  <si>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</si>
  <si>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</si>
  <si>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</si>
  <si>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</si>
  <si>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</si>
  <si>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</si>
  <si>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</si>
  <si>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</si>
  <si>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</si>
  <si>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</si>
  <si>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</si>
  <si>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</si>
  <si>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</si>
  <si>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</si>
  <si>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</si>
  <si>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</si>
  <si>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</si>
  <si>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</si>
  <si>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</si>
  <si>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</si>
  <si>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</si>
  <si>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</si>
  <si>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</si>
  <si>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</si>
  <si>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</si>
  <si>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</si>
  <si>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</si>
  <si>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</si>
  <si>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</si>
  <si>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</si>
  <si>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</si>
  <si>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</si>
  <si>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</si>
  <si>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</si>
  <si>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</si>
  <si>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</si>
  <si>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</si>
  <si>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</si>
  <si>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</si>
  <si>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</si>
  <si>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</si>
  <si>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</si>
  <si>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</si>
  <si>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</si>
  <si>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</si>
  <si>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</si>
  <si>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</si>
  <si>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</si>
  <si>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</si>
  <si>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</si>
  <si>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</si>
  <si>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</si>
  <si>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</si>
  <si>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</si>
  <si>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</si>
  <si>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</si>
  <si>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</si>
  <si>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</si>
  <si>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</si>
  <si>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</si>
  <si>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</si>
  <si>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</si>
  <si>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</si>
  <si>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</si>
  <si>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</si>
  <si>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</si>
  <si>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</si>
  <si>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</si>
  <si>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</si>
  <si>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</si>
  <si>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</si>
  <si>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</si>
  <si>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</si>
  <si>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</si>
  <si>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</si>
  <si>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</si>
  <si>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</si>
  <si>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</si>
  <si>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</si>
  <si>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</si>
  <si>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</si>
  <si>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</si>
  <si>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</si>
  <si>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</si>
  <si>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</si>
  <si>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</si>
  <si>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</si>
  <si>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</si>
  <si>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</si>
  <si>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</si>
  <si>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</si>
  <si>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</si>
  <si>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</si>
  <si>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</si>
  <si>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</si>
  <si>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</si>
  <si>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</si>
  <si>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</si>
  <si>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</si>
  <si>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</si>
  <si>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</si>
  <si>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</si>
  <si>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</si>
  <si>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</si>
  <si>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</si>
  <si>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</si>
  <si>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</si>
  <si>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</si>
  <si>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</si>
  <si>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</si>
  <si>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</si>
  <si>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</si>
  <si>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</si>
  <si>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</si>
  <si>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</si>
  <si>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</si>
  <si>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</si>
  <si>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</si>
  <si>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</si>
  <si>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</si>
  <si>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</si>
  <si>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</si>
  <si>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</si>
  <si>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</si>
  <si>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</si>
  <si>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</si>
  <si>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</si>
  <si>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</si>
  <si>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</si>
  <si>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</si>
  <si>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</si>
  <si>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</si>
  <si>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</si>
  <si>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</si>
  <si>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</si>
  <si>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</si>
  <si>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</si>
  <si>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</si>
  <si>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</si>
  <si>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</si>
  <si>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</si>
  <si>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</si>
  <si>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</si>
  <si>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</si>
  <si>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</si>
  <si>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</si>
  <si>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</si>
  <si>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</si>
  <si>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</si>
  <si>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</si>
  <si>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</si>
  <si>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</si>
  <si>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</si>
  <si>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</si>
  <si>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</si>
  <si>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</si>
  <si>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</si>
  <si>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</si>
  <si>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</si>
  <si>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</si>
  <si>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</si>
  <si>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</si>
  <si>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</si>
  <si>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</si>
  <si>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</si>
  <si>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</si>
  <si>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</si>
  <si>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</si>
  <si>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</si>
  <si>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</si>
  <si>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</si>
  <si>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</si>
  <si>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</si>
  <si>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</si>
  <si>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</si>
  <si>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</si>
  <si>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</si>
  <si>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</si>
  <si>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</si>
  <si>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</si>
  <si>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</si>
  <si>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</si>
  <si>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</si>
  <si>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</si>
  <si>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</si>
  <si>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</si>
  <si>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</si>
  <si>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</si>
  <si>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</si>
  <si>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</si>
  <si>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</si>
  <si>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</si>
  <si>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</si>
  <si>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</si>
  <si>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</si>
  <si>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</si>
  <si>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</si>
  <si>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</si>
  <si>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</si>
  <si>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</si>
  <si>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</si>
  <si>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</si>
  <si>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</si>
  <si>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</si>
  <si>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</si>
  <si>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</si>
  <si>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</si>
  <si>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</si>
  <si>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</si>
  <si>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</si>
  <si>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</si>
  <si>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</si>
  <si>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</si>
  <si>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</si>
  <si>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</si>
  <si>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</si>
  <si>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</si>
  <si>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</si>
  <si>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</si>
  <si>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</si>
  <si>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</si>
  <si>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</si>
  <si>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</si>
  <si>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</si>
  <si>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</si>
  <si>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</si>
  <si>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</si>
  <si>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</si>
  <si>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</si>
  <si>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</si>
  <si>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</si>
  <si>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</si>
  <si>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</si>
  <si>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</si>
  <si>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</si>
  <si>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</si>
  <si>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</si>
  <si>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</si>
  <si>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</si>
  <si>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</si>
  <si>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</si>
  <si>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</si>
  <si>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</si>
  <si>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</si>
  <si>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</si>
  <si>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</si>
  <si>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</si>
  <si>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</si>
  <si>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</si>
  <si>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</si>
  <si>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</si>
  <si>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</si>
  <si>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</si>
  <si>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</si>
  <si>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</si>
  <si>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</si>
  <si>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</si>
  <si>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</si>
  <si>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</si>
  <si>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</si>
  <si>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</si>
  <si>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</si>
  <si>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</si>
  <si>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</si>
  <si>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</si>
  <si>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</si>
  <si>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</si>
  <si>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</si>
  <si>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</si>
  <si>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</si>
  <si>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</si>
  <si>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</si>
  <si>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</si>
  <si>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</si>
  <si>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</si>
  <si>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</si>
  <si>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</si>
  <si>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</si>
  <si>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</si>
  <si>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</si>
  <si>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</si>
  <si>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</si>
  <si>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</si>
  <si>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</si>
  <si>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</si>
  <si>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</si>
  <si>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</si>
  <si>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</si>
  <si>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</si>
  <si>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</si>
  <si>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</si>
  <si>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</si>
  <si>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</si>
  <si>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</si>
  <si>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</si>
  <si>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</si>
  <si>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</si>
  <si>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</si>
  <si>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</si>
  <si>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</si>
  <si>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</si>
  <si>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</si>
  <si>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</si>
  <si>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</si>
  <si>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</si>
  <si>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</si>
  <si>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</si>
  <si>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</si>
  <si>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</si>
  <si>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</si>
  <si>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</si>
  <si>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</si>
  <si>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</si>
  <si>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</si>
  <si>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</si>
  <si>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</si>
  <si>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</si>
  <si>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</si>
  <si>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</si>
  <si>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</si>
  <si>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</si>
  <si>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</si>
  <si>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</si>
  <si>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</si>
  <si>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</si>
  <si>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</si>
  <si>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</si>
  <si>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</si>
  <si>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</si>
  <si>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</si>
  <si>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</si>
  <si>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</si>
  <si>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</si>
  <si>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</si>
  <si>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</si>
  <si>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</si>
  <si>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</si>
  <si>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</si>
  <si>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</si>
  <si>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</si>
  <si>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</si>
  <si>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</si>
  <si>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</si>
  <si>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</si>
  <si>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</si>
  <si>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</si>
  <si>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</si>
  <si>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</si>
  <si>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</si>
  <si>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</si>
  <si>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</si>
  <si>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</si>
  <si>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</si>
  <si>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</si>
  <si>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</si>
  <si>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</si>
  <si>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</si>
  <si>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</si>
  <si>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</si>
  <si>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</si>
  <si>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</si>
  <si>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</si>
  <si>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</si>
  <si>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</si>
  <si>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</si>
  <si>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</si>
  <si>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</si>
  <si>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</si>
  <si>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</si>
  <si>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</si>
  <si>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</si>
  <si>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</si>
  <si>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</si>
  <si>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</si>
  <si>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</si>
  <si>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</si>
  <si>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</si>
  <si>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</si>
  <si>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</si>
  <si>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</si>
  <si>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</si>
  <si>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</si>
  <si>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</si>
  <si>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</si>
  <si>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</si>
  <si>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</si>
  <si>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</si>
  <si>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</si>
  <si>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</si>
  <si>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</si>
  <si>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</si>
  <si>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</si>
  <si>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</si>
  <si>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</si>
  <si>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</si>
  <si>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</si>
  <si>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</si>
  <si>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</si>
  <si>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</si>
  <si>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</si>
  <si>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</si>
  <si>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</si>
  <si>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</si>
  <si>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</si>
  <si>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</si>
  <si>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</si>
  <si>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</si>
  <si>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</si>
  <si>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</si>
  <si>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</si>
  <si>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</si>
  <si>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</si>
  <si>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</si>
  <si>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</si>
  <si>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</si>
  <si>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</si>
  <si>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</si>
  <si>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</si>
  <si>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</si>
  <si>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</si>
  <si>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</si>
  <si>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</si>
  <si>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</si>
  <si>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</si>
  <si>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</si>
  <si>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</si>
  <si>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</si>
  <si>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</si>
  <si>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</si>
  <si>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</si>
  <si>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</si>
  <si>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</si>
  <si>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</si>
  <si>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</si>
  <si>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</si>
  <si>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</si>
  <si>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</si>
  <si>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</si>
  <si>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</si>
  <si>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</si>
  <si>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</si>
  <si>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</si>
  <si>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</si>
  <si>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</si>
  <si>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</si>
  <si>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</si>
  <si>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</si>
  <si>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</si>
  <si>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</si>
  <si>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</si>
  <si>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</si>
  <si>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</si>
  <si>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</si>
  <si>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</si>
  <si>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</si>
  <si>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</si>
  <si>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</si>
  <si>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</si>
  <si>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</si>
  <si>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</si>
  <si>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</si>
  <si>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</si>
  <si>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</si>
  <si>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</si>
  <si>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</si>
  <si>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</si>
  <si>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</si>
  <si>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</si>
  <si>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</si>
  <si>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</si>
  <si>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</si>
  <si>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</si>
  <si>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</si>
  <si>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</si>
  <si>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</si>
  <si>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</si>
  <si>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</si>
  <si>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</si>
  <si>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</si>
  <si>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</si>
  <si>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</si>
  <si>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</si>
  <si>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</si>
  <si>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</si>
  <si>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</si>
  <si>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</si>
  <si>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</si>
  <si>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</si>
  <si>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</si>
  <si>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</si>
  <si>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</si>
  <si>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</si>
  <si>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</si>
  <si>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</si>
  <si>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</si>
  <si>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</si>
  <si>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</si>
  <si>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</si>
  <si>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</si>
  <si>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</si>
  <si>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</si>
  <si>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</si>
  <si>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</si>
  <si>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</si>
  <si>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</si>
  <si>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</si>
  <si>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</si>
  <si>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</si>
  <si>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</si>
  <si>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</si>
  <si>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</si>
  <si>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</si>
  <si>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</si>
  <si>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</si>
  <si>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</si>
  <si>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</si>
  <si>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</si>
  <si>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</si>
  <si>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</si>
  <si>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</si>
  <si>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</si>
  <si>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</si>
  <si>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</si>
  <si>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</si>
  <si>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</si>
  <si>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</si>
  <si>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</si>
  <si>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</si>
  <si>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</si>
  <si>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</si>
  <si>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</si>
  <si>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</si>
  <si>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</si>
  <si>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</si>
  <si>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</si>
  <si>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</si>
  <si>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</si>
  <si>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</si>
  <si>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</si>
  <si>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</si>
  <si>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</si>
  <si>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</si>
  <si>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</si>
  <si>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</si>
  <si>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</si>
  <si>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</si>
  <si>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</si>
  <si>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</si>
  <si>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</si>
  <si>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</si>
  <si>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</si>
  <si>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</si>
  <si>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</si>
  <si>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</si>
  <si>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</si>
  <si>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</si>
  <si>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</si>
  <si>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</si>
  <si>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</si>
  <si>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</si>
  <si>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</si>
  <si>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</si>
  <si>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</si>
  <si>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</si>
  <si>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</si>
  <si>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</si>
  <si>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</si>
  <si>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</si>
  <si>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</si>
  <si>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</si>
  <si>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</si>
  <si>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</si>
  <si>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</si>
  <si>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</si>
  <si>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</si>
  <si>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</si>
  <si>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</si>
  <si>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</si>
  <si>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</si>
  <si>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</si>
  <si>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</si>
  <si>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</si>
  <si>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</si>
  <si>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</si>
  <si>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</si>
  <si>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</si>
  <si>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</si>
  <si>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</si>
  <si>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</si>
  <si>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</si>
  <si>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</si>
  <si>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</si>
  <si>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</si>
  <si>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</si>
  <si>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</si>
  <si>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</si>
  <si>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</si>
  <si>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</si>
  <si>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</si>
  <si>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</si>
  <si>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</si>
  <si>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</si>
  <si>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</si>
  <si>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</si>
  <si>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</si>
  <si>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</si>
  <si>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</si>
  <si>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</si>
  <si>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</si>
  <si>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</si>
  <si>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</si>
  <si>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</si>
  <si>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</si>
  <si>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</si>
  <si>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</si>
  <si>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</si>
  <si>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</si>
  <si>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</si>
  <si>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</si>
  <si>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</si>
  <si>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</si>
  <si>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</si>
  <si>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</si>
  <si>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</si>
  <si>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</si>
  <si>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</si>
  <si>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</si>
  <si>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</si>
  <si>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</si>
  <si>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</si>
  <si>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</si>
  <si>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</si>
  <si>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</si>
  <si>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</si>
  <si>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</si>
  <si>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</si>
  <si>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</si>
  <si>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</si>
  <si>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</si>
  <si>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</si>
  <si>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</si>
  <si>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</si>
  <si>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</si>
  <si>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</si>
  <si>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</si>
  <si>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</si>
  <si>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</si>
  <si>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</si>
  <si>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</si>
  <si>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</si>
  <si>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</si>
  <si>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</si>
  <si>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</si>
  <si>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</si>
  <si>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</si>
  <si>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</si>
  <si>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</si>
  <si>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</si>
  <si>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</si>
  <si>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</si>
  <si>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</si>
  <si>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</si>
  <si>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</si>
  <si>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</si>
  <si>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</si>
  <si>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</si>
  <si>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</si>
  <si>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</si>
  <si>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</si>
  <si>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</si>
  <si>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</si>
  <si>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</si>
  <si>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</si>
  <si>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</si>
  <si>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</si>
  <si>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</si>
  <si>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</si>
  <si>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</si>
  <si>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</si>
  <si>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</si>
  <si>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</si>
  <si>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</si>
  <si>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</si>
  <si>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</si>
  <si>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</si>
  <si>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</si>
  <si>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</si>
  <si>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</si>
  <si>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</si>
  <si>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</si>
  <si>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</si>
  <si>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</si>
  <si>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</si>
  <si>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</si>
  <si>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</si>
  <si>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</si>
  <si>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</si>
  <si>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</si>
  <si>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</si>
  <si>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</si>
  <si>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</si>
  <si>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</si>
  <si>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</si>
  <si>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</si>
  <si>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</si>
  <si>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</si>
  <si>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</si>
  <si>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</si>
  <si>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</si>
  <si>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</si>
  <si>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</si>
  <si>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</si>
  <si>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</si>
  <si>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</si>
  <si>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</si>
  <si>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</si>
  <si>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</si>
  <si>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</si>
  <si>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</si>
  <si>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</si>
  <si>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</si>
  <si>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</si>
  <si>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</si>
  <si>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</si>
  <si>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</si>
  <si>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</si>
  <si>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</si>
  <si>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</si>
  <si>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</si>
  <si>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</si>
  <si>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</si>
  <si>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</si>
  <si>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</si>
  <si>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</si>
  <si>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</si>
  <si>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</si>
  <si>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</si>
  <si>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</si>
  <si>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</si>
  <si>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</si>
  <si>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</si>
  <si>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</si>
  <si>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</si>
  <si>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</si>
  <si>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</si>
  <si>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</si>
  <si>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</si>
  <si>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</si>
  <si>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</si>
  <si>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</si>
  <si>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</si>
  <si>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</si>
  <si>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</si>
  <si>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</si>
  <si>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</si>
  <si>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</si>
  <si>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</si>
  <si>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</si>
  <si>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</si>
  <si>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</si>
  <si>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</si>
  <si>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</si>
  <si>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</si>
  <si>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</si>
  <si>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</si>
  <si>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</si>
  <si>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</si>
  <si>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</si>
  <si>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</si>
  <si>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</si>
  <si>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</si>
  <si>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</si>
  <si>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</si>
  <si>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</si>
  <si>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</si>
  <si>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</si>
  <si>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</si>
  <si>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</si>
  <si>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</si>
  <si>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</si>
  <si>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</si>
  <si>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</si>
  <si>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</si>
  <si>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</si>
  <si>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</si>
  <si>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</si>
  <si>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</si>
  <si>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</si>
  <si>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</si>
  <si>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</si>
  <si>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</si>
  <si>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</si>
  <si>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</si>
  <si>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</si>
  <si>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</si>
  <si>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</si>
  <si>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</si>
  <si>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</si>
  <si>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</si>
  <si>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</si>
  <si>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</si>
  <si>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</si>
  <si>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</si>
  <si>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</si>
  <si>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</si>
  <si>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</si>
  <si>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</si>
  <si>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</si>
  <si>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</si>
  <si>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</si>
  <si>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</si>
  <si>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</si>
  <si>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</si>
  <si>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</si>
  <si>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</si>
  <si>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</si>
  <si>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</si>
  <si>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</si>
  <si>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</si>
  <si>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</si>
  <si>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</si>
  <si>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</si>
  <si>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</si>
  <si>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</si>
  <si>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</si>
  <si>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</si>
  <si>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</si>
  <si>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</si>
  <si>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</si>
  <si>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</si>
  <si>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</si>
  <si>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</si>
  <si>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</si>
  <si>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</si>
  <si>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</si>
  <si>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</si>
  <si>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</si>
  <si>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</si>
  <si>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</si>
  <si>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</si>
  <si>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</si>
  <si>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</si>
  <si>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</si>
  <si>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</si>
  <si>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</si>
  <si>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</si>
  <si>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</si>
  <si>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</si>
  <si>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</si>
  <si>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</si>
  <si>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</si>
  <si>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</si>
  <si>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</si>
  <si>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</si>
  <si>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</si>
  <si>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</si>
  <si>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</si>
  <si>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</si>
  <si>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</si>
  <si>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</si>
  <si>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</si>
  <si>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</si>
  <si>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</si>
  <si>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</si>
  <si>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</si>
  <si>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</si>
  <si>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</si>
  <si>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</si>
  <si>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</si>
  <si>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</si>
  <si>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</si>
  <si>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</si>
  <si>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</si>
  <si>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</si>
  <si>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</si>
  <si>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</si>
  <si>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</si>
  <si>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</si>
  <si>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</si>
  <si>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</si>
  <si>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</si>
  <si>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</si>
  <si>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</si>
  <si>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</si>
  <si>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</si>
  <si>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</si>
  <si>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</si>
  <si>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</si>
  <si>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</si>
  <si>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</si>
  <si>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</si>
  <si>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</si>
  <si>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</si>
  <si>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</si>
  <si>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</si>
  <si>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</si>
  <si>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</si>
  <si>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</si>
  <si>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</si>
  <si>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</si>
  <si>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</si>
  <si>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</si>
  <si>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</si>
  <si>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</si>
  <si>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</si>
  <si>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</si>
  <si>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</si>
  <si>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</si>
  <si>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</si>
  <si>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</si>
  <si>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</si>
  <si>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</si>
  <si>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</si>
  <si>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</si>
  <si>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</si>
  <si>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</si>
  <si>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</si>
  <si>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</si>
  <si>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</si>
  <si>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</si>
  <si>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</si>
  <si>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</si>
  <si>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</si>
  <si>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</si>
  <si>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</si>
  <si>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</si>
  <si>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</si>
  <si>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</si>
  <si>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</si>
  <si>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</si>
  <si>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</si>
  <si>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</si>
  <si>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</si>
  <si>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</si>
  <si>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</si>
  <si>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</si>
  <si>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</si>
  <si>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</si>
  <si>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</si>
  <si>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</si>
  <si>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</si>
  <si>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</si>
  <si>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</si>
  <si>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</si>
  <si>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</si>
  <si>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</si>
  <si>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</si>
  <si>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</si>
  <si>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</si>
  <si>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</si>
  <si>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</si>
  <si>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</si>
  <si>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</si>
  <si>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</si>
  <si>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</si>
  <si>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</si>
  <si>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</si>
  <si>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</si>
  <si>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</si>
  <si>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</si>
  <si>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</si>
  <si>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</si>
  <si>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</si>
  <si>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</si>
  <si>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</si>
  <si>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</si>
  <si>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</si>
  <si>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</si>
  <si>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</si>
  <si>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</si>
  <si>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</si>
  <si>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</si>
  <si>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</si>
  <si>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</si>
  <si>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</si>
  <si>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</si>
  <si>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</si>
  <si>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</si>
  <si>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</si>
  <si>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</si>
  <si>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</si>
  <si>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</si>
  <si>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</si>
  <si>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</si>
  <si>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</si>
  <si>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</si>
  <si>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</si>
  <si>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</si>
  <si>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</si>
  <si>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</si>
  <si>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</si>
  <si>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</si>
  <si>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</si>
  <si>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</si>
  <si>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</si>
  <si>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</si>
  <si>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</si>
  <si>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</si>
  <si>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</si>
  <si>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</si>
  <si>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</si>
  <si>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</si>
  <si>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</si>
  <si>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</si>
  <si>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</si>
  <si>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</si>
  <si>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</si>
  <si>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</si>
  <si>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</si>
  <si>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</si>
  <si>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</si>
  <si>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</si>
  <si>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</si>
  <si>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</si>
  <si>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</si>
  <si>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</si>
  <si>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</si>
  <si>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</si>
  <si>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</si>
  <si>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</si>
  <si>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</si>
  <si>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</si>
  <si>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</si>
  <si>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</si>
  <si>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</si>
  <si>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</si>
  <si>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</si>
  <si>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</si>
  <si>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</si>
  <si>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</si>
  <si>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</si>
  <si>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</si>
  <si>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</si>
  <si>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</si>
  <si>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</si>
  <si>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</si>
  <si>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</si>
  <si>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</si>
  <si>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</si>
  <si>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</si>
  <si>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</si>
  <si>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</si>
  <si>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</si>
  <si>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</si>
  <si>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</si>
  <si>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</si>
  <si>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</si>
  <si>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</si>
  <si>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</si>
  <si>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</si>
  <si>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</si>
  <si>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</si>
  <si>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</si>
  <si>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</si>
  <si>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</si>
  <si>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</si>
  <si>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</si>
  <si>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</si>
  <si>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</si>
  <si>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</si>
  <si>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</si>
  <si>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</si>
  <si>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</si>
  <si>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</si>
  <si>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</si>
  <si>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</si>
  <si>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</si>
  <si>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</si>
  <si>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</si>
  <si>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</si>
  <si>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</si>
  <si>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</si>
  <si>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</si>
  <si>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</si>
  <si>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</si>
  <si>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</si>
  <si>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</si>
  <si>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</si>
  <si>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</si>
  <si>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</si>
  <si>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</si>
  <si>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</si>
  <si>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</si>
  <si>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</si>
  <si>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</si>
  <si>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</si>
  <si>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</si>
  <si>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</si>
  <si>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</si>
  <si>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</si>
  <si>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</si>
  <si>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</si>
  <si>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</si>
  <si>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</si>
  <si>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</si>
  <si>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</si>
  <si>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</si>
  <si>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</si>
  <si>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</si>
  <si>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</si>
  <si>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</si>
  <si>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</si>
  <si>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</si>
  <si>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</si>
  <si>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</si>
  <si>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</si>
  <si>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</si>
  <si>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</si>
  <si>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</si>
  <si>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</si>
  <si>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</si>
  <si>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</si>
  <si>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</si>
  <si>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</si>
  <si>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</si>
  <si>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</si>
  <si>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</si>
  <si>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</si>
  <si>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</si>
  <si>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</si>
  <si>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</si>
  <si>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</si>
  <si>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</si>
  <si>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</si>
  <si>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</si>
  <si>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</si>
  <si>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</si>
  <si>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</si>
  <si>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</si>
  <si>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</si>
  <si>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</si>
  <si>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</si>
  <si>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</si>
  <si>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</si>
  <si>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</si>
  <si>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</si>
  <si>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</si>
  <si>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</si>
  <si>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</si>
  <si>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</si>
  <si>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</si>
  <si>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</si>
  <si>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</si>
  <si>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</si>
  <si>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</si>
  <si>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</si>
  <si>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</si>
  <si>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</si>
  <si>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</si>
  <si>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</si>
  <si>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</si>
  <si>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</si>
  <si>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</si>
  <si>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</si>
  <si>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</si>
  <si>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</si>
  <si>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</si>
  <si>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</si>
  <si>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</si>
  <si>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</si>
  <si>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</si>
  <si>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</si>
  <si>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</si>
  <si>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</si>
  <si>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</si>
  <si>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</si>
  <si>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</si>
  <si>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</si>
  <si>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</si>
  <si>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</si>
  <si>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</si>
  <si>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</si>
  <si>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</si>
  <si>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</si>
  <si>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</si>
  <si>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</si>
  <si>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</si>
  <si>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</si>
  <si>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</si>
  <si>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</si>
  <si>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</si>
  <si>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</si>
  <si>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</si>
  <si>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</si>
  <si>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</si>
  <si>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</si>
  <si>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</si>
  <si>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</si>
  <si>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</si>
  <si>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</si>
  <si>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</si>
  <si>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</si>
  <si>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</si>
  <si>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</si>
  <si>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</si>
  <si>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</si>
  <si>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</si>
  <si>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</si>
  <si>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</si>
  <si>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</si>
  <si>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</si>
  <si>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</si>
  <si>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</si>
  <si>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</si>
  <si>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</si>
  <si>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</si>
  <si>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</si>
  <si>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</si>
  <si>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</si>
  <si>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</si>
  <si>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</si>
  <si>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</si>
  <si>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</si>
  <si>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</si>
  <si>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</si>
  <si>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</si>
  <si>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</si>
  <si>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</si>
  <si>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</si>
  <si>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</si>
  <si>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</si>
  <si>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</si>
  <si>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</si>
  <si>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</si>
  <si>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</si>
  <si>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</si>
  <si>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</si>
  <si>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</si>
  <si>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</si>
  <si>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</si>
  <si>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</si>
  <si>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</si>
  <si>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</si>
  <si>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</si>
  <si>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</si>
  <si>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</si>
  <si>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</si>
  <si>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</si>
  <si>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</si>
  <si>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</si>
  <si>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</si>
  <si>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</si>
  <si>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</si>
  <si>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</si>
  <si>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</si>
  <si>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</si>
  <si>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</si>
  <si>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</si>
  <si>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</si>
  <si>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</si>
  <si>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</si>
  <si>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</si>
  <si>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</si>
  <si>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</si>
  <si>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</si>
  <si>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</si>
  <si>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</si>
  <si>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</si>
  <si>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</si>
  <si>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</si>
  <si>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</si>
  <si>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</si>
  <si>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</si>
  <si>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</si>
  <si>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</si>
  <si>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</si>
  <si>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</si>
  <si>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</si>
  <si>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</si>
  <si>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</si>
  <si>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</si>
  <si>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</si>
  <si>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</si>
  <si>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</si>
  <si>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</si>
  <si>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</si>
  <si>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</si>
  <si>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</si>
  <si>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</si>
  <si>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</si>
  <si>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</si>
  <si>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</si>
  <si>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</si>
  <si>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</si>
  <si>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</si>
  <si>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</si>
  <si>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</si>
  <si>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</si>
  <si>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</si>
  <si>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</si>
  <si>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</si>
  <si>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</si>
  <si>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</si>
  <si>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</si>
  <si>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</si>
  <si>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</si>
  <si>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</si>
  <si>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</si>
  <si>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</si>
  <si>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</si>
  <si>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</si>
  <si>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</si>
  <si>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</si>
  <si>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</si>
  <si>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</si>
  <si>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</si>
  <si>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</si>
  <si>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</si>
  <si>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</si>
  <si>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</si>
  <si>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</si>
  <si>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</si>
  <si>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</si>
  <si>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</si>
  <si>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</si>
  <si>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</si>
  <si>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</si>
  <si>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</si>
  <si>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</si>
  <si>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</si>
  <si>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</si>
  <si>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</si>
  <si>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</si>
  <si>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</si>
  <si>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</si>
  <si>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</si>
  <si>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</si>
  <si>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</si>
  <si>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</si>
  <si>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</si>
  <si>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</si>
  <si>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</si>
  <si>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</si>
  <si>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</si>
  <si>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</si>
  <si>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</si>
  <si>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</si>
  <si>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</si>
  <si>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</si>
  <si>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</si>
  <si>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</si>
  <si>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</si>
  <si>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</si>
  <si>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</si>
  <si>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</si>
  <si>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</si>
  <si>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</si>
  <si>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</si>
  <si>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</si>
  <si>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</si>
  <si>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</si>
  <si>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</si>
  <si>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</si>
  <si>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</si>
  <si>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</si>
  <si>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</si>
  <si>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</si>
  <si>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</si>
  <si>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</si>
  <si>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</si>
  <si>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</si>
  <si>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</si>
  <si>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</si>
  <si>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</si>
  <si>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</si>
  <si>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</si>
  <si>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</si>
  <si>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</si>
  <si>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</si>
  <si>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</si>
  <si>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</si>
  <si>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</si>
  <si>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</si>
  <si>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</si>
  <si>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</si>
  <si>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</si>
  <si>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</si>
  <si>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</si>
  <si>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</si>
  <si>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</si>
  <si>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</si>
  <si>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</si>
  <si>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</si>
  <si>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</si>
  <si>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</si>
  <si>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</si>
  <si>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</si>
  <si>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</si>
  <si>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</si>
  <si>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</si>
  <si>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</si>
  <si>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</si>
  <si>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</si>
  <si>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</si>
  <si>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</si>
  <si>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</si>
  <si>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</si>
  <si>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</si>
  <si>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</si>
  <si>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</si>
  <si>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</si>
  <si>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</si>
  <si>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</si>
  <si>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</si>
  <si>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</si>
  <si>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</si>
  <si>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</si>
  <si>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</si>
  <si>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</si>
  <si>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</si>
  <si>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</si>
  <si>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</si>
  <si>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</si>
  <si>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</si>
  <si>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</si>
  <si>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</si>
  <si>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</si>
  <si>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</si>
  <si>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</si>
  <si>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</si>
  <si>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</si>
  <si>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</si>
  <si>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</si>
  <si>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</si>
  <si>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</si>
  <si>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</si>
  <si>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</si>
  <si>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</si>
  <si>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</si>
  <si>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</si>
  <si>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</si>
  <si>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</si>
  <si>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</si>
  <si>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</si>
  <si>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</si>
  <si>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</si>
  <si>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</si>
  <si>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</si>
  <si>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</si>
  <si>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</si>
  <si>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</si>
  <si>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</si>
  <si>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</si>
  <si>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</si>
  <si>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</si>
  <si>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</si>
  <si>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</si>
  <si>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</si>
  <si>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</si>
  <si>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</si>
  <si>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</si>
  <si>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</si>
  <si>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</si>
  <si>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</si>
  <si>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</si>
  <si>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</si>
  <si>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</si>
  <si>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</si>
  <si>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</si>
  <si>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</si>
  <si>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</si>
  <si>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</si>
  <si>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</si>
  <si>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</si>
  <si>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</si>
  <si>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</si>
  <si>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</si>
  <si>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</si>
  <si>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</si>
  <si>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</si>
  <si>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</si>
  <si>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</si>
  <si>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</si>
  <si>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</si>
  <si>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</si>
  <si>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</si>
  <si>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</si>
  <si>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</si>
  <si>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</si>
  <si>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</si>
  <si>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</si>
  <si>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</si>
  <si>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</si>
  <si>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</si>
  <si>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</si>
  <si>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</si>
  <si>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</si>
  <si>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</si>
  <si>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</si>
  <si>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</si>
  <si>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</si>
  <si>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</si>
  <si>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</si>
  <si>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</si>
  <si>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</si>
  <si>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</si>
  <si>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</si>
  <si>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</si>
  <si>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</si>
  <si>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</si>
  <si>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</si>
  <si>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</si>
  <si>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</si>
  <si>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</si>
  <si>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</si>
  <si>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</si>
  <si>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</si>
  <si>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</si>
  <si>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</si>
  <si>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</si>
  <si>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</si>
  <si>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</si>
  <si>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</si>
  <si>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</si>
  <si>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</si>
  <si>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</si>
  <si>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</si>
  <si>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</si>
  <si>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</si>
  <si>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</si>
  <si>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</si>
  <si>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</si>
  <si>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</si>
  <si>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</si>
  <si>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</si>
  <si>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</si>
  <si>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</si>
  <si>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</si>
  <si>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</si>
  <si>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</si>
  <si>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</si>
  <si>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</si>
  <si>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</si>
  <si>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</si>
  <si>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</si>
  <si>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</si>
  <si>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</si>
  <si>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</si>
  <si>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</si>
  <si>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</si>
  <si>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</si>
  <si>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</si>
  <si>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</si>
  <si>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</si>
  <si>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</si>
  <si>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</si>
  <si>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</si>
  <si>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</si>
  <si>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</si>
  <si>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</si>
  <si>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</si>
  <si>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</si>
  <si>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</si>
  <si>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</si>
  <si>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</si>
  <si>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</si>
  <si>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</si>
  <si>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</si>
  <si>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</si>
  <si>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</si>
  <si>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</si>
  <si>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</si>
  <si>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</si>
  <si>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</si>
  <si>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</si>
  <si>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</si>
  <si>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</si>
  <si>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</si>
  <si>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</si>
  <si>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</si>
  <si>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</si>
  <si>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</si>
  <si>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</si>
  <si>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</si>
  <si>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</si>
  <si>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</si>
  <si>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</si>
  <si>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</si>
  <si>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</si>
  <si>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</si>
  <si>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</si>
  <si>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</si>
  <si>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</si>
  <si>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</si>
  <si>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</si>
  <si>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</si>
  <si>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</si>
  <si>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</si>
  <si>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</si>
  <si>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</si>
  <si>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</si>
  <si>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</si>
  <si>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</si>
  <si>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</si>
  <si>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</si>
  <si>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</si>
  <si>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</si>
  <si>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</si>
  <si>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</si>
  <si>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</si>
  <si>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</si>
  <si>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</si>
  <si>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</si>
  <si>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</si>
  <si>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</si>
  <si>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</si>
  <si>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</si>
  <si>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</si>
  <si>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</si>
  <si>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</si>
  <si>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</si>
  <si>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</si>
  <si>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</si>
  <si>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</si>
  <si>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</si>
  <si>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</si>
  <si>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</si>
  <si>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</si>
  <si>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</si>
  <si>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</si>
  <si>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</si>
  <si>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</si>
  <si>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</si>
  <si>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</si>
  <si>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</si>
  <si>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</si>
  <si>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</si>
  <si>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</si>
  <si>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</si>
  <si>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</si>
  <si>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</si>
  <si>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</si>
  <si>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</si>
  <si>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</si>
  <si>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</si>
  <si>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</si>
  <si>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</si>
  <si>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</si>
  <si>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</si>
  <si>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</si>
  <si>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</si>
  <si>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</si>
  <si>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</si>
  <si>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</si>
  <si>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</si>
  <si>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</si>
  <si>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</si>
  <si>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</si>
  <si>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</si>
  <si>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</si>
  <si>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</si>
  <si>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</si>
  <si>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</si>
  <si>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</si>
  <si>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</si>
  <si>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</si>
  <si>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</si>
  <si>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</si>
  <si>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</si>
  <si>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</si>
  <si>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</si>
  <si>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</si>
  <si>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</si>
  <si>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</si>
  <si>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</si>
  <si>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</si>
  <si>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</si>
  <si>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</si>
  <si>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</si>
  <si>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</si>
  <si>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</si>
  <si>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</si>
  <si>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</si>
  <si>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</si>
  <si>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</si>
  <si>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</si>
  <si>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</si>
  <si>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</si>
  <si>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</si>
  <si>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</si>
  <si>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</si>
  <si>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</si>
  <si>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</si>
  <si>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</si>
  <si>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</si>
  <si>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</si>
  <si>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</si>
  <si>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</si>
  <si>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</si>
  <si>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</si>
  <si>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</si>
  <si>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</si>
  <si>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</si>
  <si>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</si>
  <si>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</si>
  <si>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</si>
  <si>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</si>
  <si>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</si>
  <si>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</si>
  <si>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</si>
  <si>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</si>
  <si>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</si>
  <si>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</si>
  <si>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</si>
  <si>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</si>
  <si>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</si>
  <si>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</si>
  <si>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</si>
  <si>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</si>
  <si>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</si>
  <si>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</si>
  <si>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</si>
  <si>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</si>
  <si>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</si>
  <si>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</si>
  <si>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</si>
  <si>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</si>
  <si>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</si>
  <si>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</si>
  <si>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</si>
  <si>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</si>
  <si>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</si>
  <si>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</si>
  <si>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</si>
  <si>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</si>
  <si>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</si>
  <si>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</si>
  <si>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</si>
  <si>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</si>
  <si>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</si>
  <si>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</si>
  <si>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</si>
  <si>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</si>
  <si>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</si>
  <si>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</si>
  <si>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</si>
  <si>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</si>
  <si>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</si>
  <si>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</si>
  <si>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</si>
  <si>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</si>
  <si>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</si>
  <si>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</si>
  <si>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</si>
  <si>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</si>
  <si>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</si>
  <si>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</si>
  <si>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</si>
  <si>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</si>
  <si>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</si>
  <si>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</si>
  <si>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</si>
  <si>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</si>
  <si>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</si>
  <si>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</si>
  <si>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</si>
  <si>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</si>
  <si>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</si>
  <si>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</si>
  <si>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</si>
  <si>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</si>
  <si>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</si>
  <si>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</si>
  <si>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</si>
  <si>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</si>
  <si>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</si>
  <si>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</si>
  <si>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</si>
  <si>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</si>
  <si>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</si>
  <si>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</si>
  <si>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</si>
  <si>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</si>
  <si>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</si>
  <si>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</si>
  <si>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</si>
  <si>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</si>
  <si>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</si>
  <si>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</si>
  <si>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</si>
  <si>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</si>
  <si>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</si>
  <si>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</si>
  <si>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</si>
  <si>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</si>
  <si>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</si>
  <si>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</si>
  <si>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</si>
  <si>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</si>
  <si>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</si>
  <si>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</si>
  <si>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</si>
  <si>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</si>
  <si>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</si>
  <si>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</si>
  <si>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</si>
  <si>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</si>
  <si>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</si>
  <si>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</si>
  <si>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</si>
  <si>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</si>
  <si>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</si>
  <si>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</si>
  <si>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</si>
  <si>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</si>
  <si>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</si>
  <si>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</si>
  <si>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</si>
  <si>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</si>
  <si>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</si>
  <si>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</si>
  <si>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</si>
  <si>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</si>
  <si>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</si>
  <si>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</si>
  <si>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</si>
  <si>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</si>
  <si>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</si>
  <si>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</si>
  <si>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</si>
  <si>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</si>
  <si>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</si>
  <si>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</si>
  <si>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</si>
  <si>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</si>
  <si>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</si>
  <si>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</si>
  <si>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</si>
  <si>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</si>
  <si>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</si>
  <si>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</si>
  <si>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</si>
  <si>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</si>
  <si>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</si>
  <si>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</si>
  <si>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</si>
  <si>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</si>
  <si>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</si>
  <si>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</si>
  <si>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</si>
  <si>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</si>
  <si>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</si>
  <si>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</si>
  <si>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</si>
  <si>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</si>
  <si>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</si>
  <si>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</si>
  <si>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</si>
  <si>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</si>
  <si>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</si>
  <si>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</si>
  <si>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</si>
  <si>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</si>
  <si>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</si>
  <si>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</si>
  <si>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</si>
  <si>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</si>
  <si>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</si>
  <si>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</si>
  <si>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</si>
  <si>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</si>
  <si>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</si>
  <si>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</si>
  <si>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</si>
  <si>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</si>
  <si>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</si>
  <si>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</si>
  <si>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</si>
  <si>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</si>
  <si>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</si>
  <si>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</si>
  <si>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</si>
  <si>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</si>
  <si>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</si>
  <si>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</si>
  <si>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</si>
  <si>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</si>
  <si>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</si>
  <si>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</si>
  <si>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</si>
  <si>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</si>
  <si>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</si>
  <si>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</si>
  <si>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</si>
  <si>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</si>
  <si>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</si>
  <si>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</si>
  <si>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</si>
  <si>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</si>
  <si>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</si>
  <si>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</si>
  <si>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</si>
  <si>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</si>
  <si>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</si>
  <si>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</si>
  <si>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</si>
  <si>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</si>
  <si>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</si>
  <si>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</si>
  <si>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</si>
  <si>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</si>
  <si>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</si>
  <si>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</si>
  <si>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</si>
  <si>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</si>
  <si>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</si>
  <si>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</si>
  <si>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</si>
  <si>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</si>
  <si>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</si>
  <si>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</si>
  <si>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</si>
  <si>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</si>
  <si>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</si>
  <si>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</si>
  <si>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</si>
  <si>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</si>
  <si>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</si>
  <si>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</si>
  <si>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</si>
  <si>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</si>
  <si>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</si>
  <si>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</si>
  <si>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</si>
  <si>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</si>
  <si>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</si>
  <si>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</si>
  <si>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</si>
  <si>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</si>
  <si>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</si>
  <si>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</si>
  <si>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</si>
  <si>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</si>
  <si>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</si>
  <si>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</si>
  <si>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</si>
  <si>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</si>
  <si>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</si>
  <si>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</si>
  <si>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</si>
  <si>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</si>
  <si>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</si>
  <si>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</si>
  <si>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</si>
  <si>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</si>
  <si>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</si>
  <si>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</si>
  <si>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</si>
  <si>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</si>
  <si>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</si>
  <si>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</si>
  <si>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</si>
  <si>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</si>
  <si>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</si>
  <si>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</si>
  <si>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</si>
  <si>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</si>
  <si>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</si>
  <si>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</si>
  <si>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</si>
  <si>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</si>
  <si>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</si>
  <si>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</si>
  <si>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</si>
  <si>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</si>
  <si>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</si>
  <si>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</si>
  <si>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</si>
  <si>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</si>
  <si>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</si>
  <si>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</si>
  <si>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</si>
  <si>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</si>
  <si>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</si>
  <si>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</si>
  <si>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</si>
  <si>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</si>
  <si>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</si>
  <si>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</si>
  <si>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</si>
  <si>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</si>
  <si>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</si>
  <si>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</si>
  <si>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</si>
  <si>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</si>
  <si>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</si>
  <si>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</si>
  <si>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</si>
  <si>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</si>
  <si>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</si>
  <si>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</si>
  <si>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</si>
  <si>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</si>
  <si>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</si>
  <si>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</si>
  <si>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</si>
  <si>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</si>
  <si>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</si>
  <si>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</si>
  <si>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</si>
  <si>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</si>
  <si>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</si>
  <si>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</si>
  <si>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</si>
  <si>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</si>
  <si>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</si>
  <si>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</si>
  <si>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</si>
  <si>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</si>
  <si>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</si>
  <si>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</si>
  <si>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</si>
  <si>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</si>
  <si>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</si>
  <si>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</si>
  <si>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</si>
  <si>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</si>
  <si>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</si>
  <si>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</si>
  <si>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</si>
  <si>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</si>
  <si>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</si>
  <si>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</si>
  <si>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</si>
  <si>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</si>
  <si>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</si>
  <si>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</si>
  <si>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</si>
  <si>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</si>
  <si>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</si>
  <si>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</si>
  <si>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</si>
  <si>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</si>
  <si>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</si>
  <si>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</si>
  <si>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</si>
  <si>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</si>
  <si>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</si>
  <si>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</si>
  <si>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</si>
  <si>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</si>
  <si>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</si>
  <si>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</si>
  <si>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</si>
  <si>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</si>
  <si>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</si>
  <si>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</si>
  <si>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</si>
  <si>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</si>
  <si>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</si>
  <si>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</si>
  <si>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</si>
  <si>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</si>
  <si>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</si>
  <si>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</si>
  <si>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</si>
  <si>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</si>
  <si>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</si>
  <si>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</si>
  <si>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</si>
  <si>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</si>
  <si>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</si>
  <si>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</si>
  <si>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</si>
  <si>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</si>
  <si>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</si>
  <si>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</si>
  <si>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</si>
  <si>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</si>
  <si>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</si>
  <si>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</si>
  <si>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</si>
  <si>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</si>
  <si>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</si>
  <si>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</si>
  <si>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</si>
  <si>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</si>
  <si>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</si>
  <si>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</si>
  <si>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</si>
  <si>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</si>
  <si>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</si>
  <si>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</si>
  <si>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</si>
  <si>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</si>
  <si>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</si>
  <si>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</si>
  <si>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</si>
  <si>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</si>
  <si>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</si>
  <si>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</si>
  <si>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</si>
  <si>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</si>
  <si>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</si>
  <si>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</si>
  <si>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</si>
  <si>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</si>
  <si>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</si>
  <si>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</si>
  <si>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</si>
  <si>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</si>
  <si>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</si>
  <si>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</si>
  <si>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</si>
  <si>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</si>
  <si>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</si>
  <si>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</si>
  <si>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</si>
  <si>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</si>
  <si>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</si>
  <si>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</si>
  <si>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</si>
  <si>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</si>
  <si>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</si>
  <si>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</si>
  <si>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</si>
  <si>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</si>
  <si>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</si>
  <si>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</si>
  <si>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</si>
  <si>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</si>
  <si>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</si>
  <si>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</si>
  <si>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</si>
  <si>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</si>
  <si>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</si>
  <si>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</si>
  <si>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</si>
  <si>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</si>
  <si>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</si>
  <si>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</si>
  <si>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</si>
  <si>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</si>
  <si>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</si>
  <si>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</si>
  <si>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</si>
  <si>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</si>
  <si>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</si>
  <si>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</si>
  <si>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</si>
  <si>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</si>
  <si>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</si>
  <si>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</si>
  <si>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</si>
  <si>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</si>
  <si>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</si>
  <si>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</si>
  <si>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</si>
  <si>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</si>
  <si>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</si>
  <si>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</si>
  <si>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</si>
  <si>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</si>
  <si>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</si>
  <si>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</si>
  <si>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</si>
  <si>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</si>
  <si>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</si>
  <si>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</si>
  <si>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</si>
  <si>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</si>
  <si>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</si>
  <si>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</si>
  <si>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</si>
  <si>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</si>
  <si>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</si>
  <si>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</si>
  <si>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</si>
  <si>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</si>
  <si>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</si>
  <si>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</si>
  <si>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</si>
  <si>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</si>
  <si>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</si>
  <si>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</si>
  <si>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</si>
  <si>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</si>
  <si>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</si>
  <si>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</si>
  <si>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</si>
  <si>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</si>
  <si>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</si>
  <si>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</si>
  <si>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</si>
  <si>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</si>
  <si>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</si>
  <si>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</si>
  <si>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</si>
  <si>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</si>
  <si>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</si>
  <si>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</si>
  <si>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</si>
  <si>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</si>
  <si>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</si>
  <si>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</si>
  <si>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</si>
  <si>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</si>
  <si>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</si>
  <si>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</si>
  <si>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</si>
  <si>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</si>
  <si>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</si>
  <si>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</si>
  <si>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</si>
  <si>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</si>
  <si>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</si>
  <si>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</si>
  <si>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</si>
  <si>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</si>
  <si>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</si>
  <si>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</si>
  <si>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</si>
  <si>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</si>
  <si>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</si>
  <si>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</si>
  <si>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</si>
  <si>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</si>
  <si>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</si>
  <si>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</si>
  <si>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</si>
  <si>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</si>
  <si>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</si>
  <si>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</si>
  <si>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</si>
  <si>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</si>
  <si>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</si>
  <si>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</si>
  <si>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</si>
  <si>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</si>
  <si>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</si>
  <si>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</si>
  <si>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</si>
  <si>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</si>
  <si>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</si>
  <si>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</si>
  <si>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</si>
  <si>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</si>
  <si>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</si>
  <si>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</si>
  <si>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</si>
  <si>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</si>
  <si>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</si>
  <si>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</si>
  <si>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</si>
  <si>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</si>
  <si>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</si>
  <si>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</si>
  <si>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</si>
  <si>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</si>
  <si>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</si>
  <si>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</si>
  <si>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</si>
  <si>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</si>
  <si>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</si>
  <si>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</si>
  <si>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</si>
  <si>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</si>
  <si>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</si>
  <si>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</si>
  <si>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</si>
  <si>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</si>
  <si>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</si>
  <si>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</si>
  <si>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</si>
  <si>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</si>
  <si>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</si>
  <si>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</si>
  <si>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</si>
  <si>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</si>
  <si>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</si>
  <si>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</si>
  <si>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</si>
  <si>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</si>
  <si>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</si>
  <si>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</si>
  <si>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</si>
  <si>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</si>
  <si>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</si>
  <si>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</si>
  <si>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</si>
  <si>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</si>
  <si>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</si>
  <si>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</si>
  <si>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</si>
  <si>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</si>
  <si>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</si>
  <si>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</si>
  <si>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</si>
  <si>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</si>
  <si>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</si>
  <si>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</si>
  <si>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</si>
  <si>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</si>
  <si>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</si>
  <si>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</si>
  <si>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</si>
  <si>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</si>
  <si>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</si>
  <si>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</si>
  <si>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</si>
  <si>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</si>
  <si>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</si>
  <si>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</si>
  <si>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</si>
  <si>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</si>
  <si>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</si>
  <si>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</si>
  <si>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</si>
  <si>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</si>
  <si>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</si>
  <si>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</si>
  <si>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</si>
  <si>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</si>
  <si>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</si>
  <si>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</si>
  <si>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</si>
  <si>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</si>
  <si>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</si>
  <si>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</si>
  <si>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</si>
  <si>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</si>
  <si>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</si>
  <si>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</si>
  <si>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</si>
  <si>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</si>
  <si>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</si>
  <si>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</si>
  <si>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</si>
  <si>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</si>
  <si>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</si>
  <si>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</si>
  <si>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</si>
  <si>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</si>
  <si>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</si>
  <si>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</si>
  <si>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</si>
  <si>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</si>
  <si>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</si>
  <si>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</si>
  <si>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</si>
  <si>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</si>
  <si>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</si>
  <si>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</si>
  <si>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</si>
  <si>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</si>
  <si>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</si>
  <si>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</si>
  <si>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</si>
  <si>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</si>
  <si>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</si>
  <si>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</si>
  <si>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</si>
  <si>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</si>
  <si>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</si>
  <si>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</si>
  <si>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</si>
  <si>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</si>
  <si>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</si>
  <si>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</si>
  <si>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</si>
  <si>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</si>
  <si>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</si>
  <si>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</si>
  <si>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</si>
  <si>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</si>
  <si>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</si>
  <si>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</si>
  <si>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</si>
  <si>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</si>
  <si>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</si>
  <si>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</si>
  <si>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</si>
  <si>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</si>
  <si>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</si>
  <si>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</si>
  <si>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</si>
  <si>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</si>
  <si>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</si>
  <si>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</si>
  <si>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</si>
  <si>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</si>
  <si>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</si>
  <si>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</si>
  <si>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</si>
  <si>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</si>
  <si>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</si>
  <si>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</si>
  <si>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</si>
  <si>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</si>
  <si>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</si>
  <si>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</si>
  <si>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</si>
  <si>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</si>
  <si>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</si>
  <si>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</si>
  <si>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</si>
  <si>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</si>
  <si>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</si>
  <si>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</si>
  <si>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</si>
  <si>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</si>
  <si>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</si>
  <si>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</si>
  <si>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</si>
  <si>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</si>
  <si>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</si>
  <si>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</si>
  <si>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</si>
  <si>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</si>
  <si>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</si>
  <si>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</si>
  <si>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</si>
  <si>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</si>
  <si>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</si>
  <si>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</si>
  <si>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</si>
  <si>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</si>
  <si>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</si>
  <si>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</si>
  <si>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</si>
  <si>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</si>
  <si>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</si>
  <si>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</si>
  <si>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</si>
  <si>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</si>
  <si>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</si>
  <si>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</si>
  <si>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</si>
  <si>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</si>
  <si>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</si>
  <si>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</si>
  <si>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</si>
  <si>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</si>
  <si>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</si>
  <si>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</si>
  <si>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</si>
  <si>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</si>
  <si>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</si>
  <si>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</si>
  <si>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</si>
  <si>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</si>
  <si>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</si>
  <si>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</si>
  <si>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</si>
  <si>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</si>
  <si>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</si>
  <si>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</si>
  <si>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</si>
  <si>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</si>
  <si>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</si>
  <si>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</si>
  <si>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</si>
  <si>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</si>
  <si>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</si>
  <si>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</si>
  <si>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</si>
  <si>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</si>
  <si>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</si>
  <si>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</si>
  <si>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</si>
  <si>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</si>
  <si>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</si>
  <si>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</si>
  <si>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</si>
  <si>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</si>
  <si>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</si>
  <si>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</si>
  <si>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</si>
  <si>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</si>
  <si>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</si>
  <si>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</si>
  <si>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</si>
  <si>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</si>
  <si>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</si>
  <si>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</si>
  <si>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</si>
  <si>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</si>
  <si>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</si>
  <si>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</si>
  <si>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</si>
  <si>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</si>
  <si>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</si>
  <si>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</si>
  <si>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</si>
  <si>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</si>
  <si>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</si>
  <si>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</si>
  <si>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</si>
  <si>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</si>
  <si>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</si>
  <si>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</si>
  <si>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</si>
  <si>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</si>
  <si>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</si>
  <si>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</si>
  <si>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</si>
  <si>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</si>
  <si>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</si>
  <si>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</si>
  <si>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</si>
  <si>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</si>
  <si>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</si>
  <si>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</si>
  <si>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</si>
  <si>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</si>
  <si>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</si>
  <si>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</si>
  <si>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</si>
  <si>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</si>
  <si>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</si>
  <si>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</si>
  <si>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</si>
  <si>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</si>
  <si>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</si>
  <si>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</si>
  <si>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</si>
  <si>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</si>
  <si>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癲狂三國：少年無雙</t>
    <phoneticPr fontId="2" type="noConversion"/>
  </si>
  <si>
    <t>藍色星原：旅謠</t>
    <phoneticPr fontId="2" type="noConversion"/>
  </si>
  <si>
    <t>鬥陣騎士 Knightica</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</si>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</sst>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printerSettings" Target="../printerSettings/printerSettings2.bin"/><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77" activePane="bottomRight" state="frozen"/>
      <selection pane="topRight" activeCell="B1" sqref="B1"/>
      <selection pane="bottomLeft" activeCell="A2" sqref="A2"/>
      <selection pane="bottomRight" activeCell="I588" sqref="I58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8.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8.5" customHeight="1" thickBot="1">
      <c r="A583" s="114" t="s">
        <v>9846</v>
      </c>
      <c r="C583" s="8" t="s">
        <v>8483</v>
      </c>
      <c r="E583" s="127" t="s">
        <v>9827</v>
      </c>
      <c r="F583" s="8" t="str">
        <f t="shared" si="23"/>
        <v>gift-codes.html?game=弓姬城塞：放置守城 RPG</v>
      </c>
      <c r="G583" s="9" t="s">
        <v>9828</v>
      </c>
      <c r="H583" s="9" t="str">
        <f t="shared" si="22"/>
        <v>https://www.ssbuy.tw/game-detail.html?game=弓姬城塞：放置守城 RPG</v>
      </c>
      <c r="I583" t="s">
        <v>9841</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8.5" customHeight="1" thickBot="1">
      <c r="A584" s="114" t="s">
        <v>9824</v>
      </c>
      <c r="C584" s="8" t="s">
        <v>9830</v>
      </c>
      <c r="D584" s="9" t="s">
        <v>9829</v>
      </c>
      <c r="E584" s="9" t="s">
        <v>9832</v>
      </c>
      <c r="F584" s="8" t="str">
        <f t="shared" si="23"/>
        <v>gift-codes.html?game=癲狂三國：少年無雙</v>
      </c>
      <c r="G584" s="9" t="s">
        <v>9831</v>
      </c>
      <c r="H584" s="9" t="str">
        <f t="shared" si="22"/>
        <v>https://www.ssbuy.tw/game-detail.html?game=癲狂三國：少年無雙</v>
      </c>
      <c r="I584" t="s">
        <v>9842</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8.5" customHeight="1" thickBot="1">
      <c r="A585" s="114" t="s">
        <v>9825</v>
      </c>
      <c r="C585" s="8" t="s">
        <v>9838</v>
      </c>
      <c r="D585" s="9" t="s">
        <v>9837</v>
      </c>
      <c r="E585" s="9" t="s">
        <v>9833</v>
      </c>
      <c r="F585" s="8" t="str">
        <f t="shared" si="23"/>
        <v>gift-codes.html?game=藍色星原：旅謠</v>
      </c>
      <c r="G585" s="9" t="s">
        <v>9836</v>
      </c>
      <c r="H585" s="9" t="str">
        <f t="shared" si="22"/>
        <v>https://www.ssbuy.tw/game-detail.html?game=藍色星原：旅謠</v>
      </c>
      <c r="I585" t="s">
        <v>9843</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8.5" customHeight="1" thickBot="1">
      <c r="A586" s="114" t="s">
        <v>9826</v>
      </c>
      <c r="E586" s="9" t="s">
        <v>9834</v>
      </c>
      <c r="F586" s="8" t="str">
        <f t="shared" si="23"/>
        <v>gift-codes.html?game=鬥陣騎士 Knightica</v>
      </c>
      <c r="G586" s="9" t="s">
        <v>9835</v>
      </c>
      <c r="H586" s="9" t="str">
        <f t="shared" si="22"/>
        <v>https://www.ssbuy.tw/game-detail.html?game=鬥陣騎士 Knightica</v>
      </c>
      <c r="I586" t="s">
        <v>9844</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8.5" customHeight="1" thickBot="1">
      <c r="A587" s="114" t="s">
        <v>9839</v>
      </c>
      <c r="E587" s="127" t="s">
        <v>9840</v>
      </c>
      <c r="F587" s="8" t="str">
        <f t="shared" si="23"/>
        <v>gift-codes.html?game=敖丙-頑強進化</v>
      </c>
      <c r="H587" s="9" t="str">
        <f t="shared" si="22"/>
        <v>https://www.ssbuy.tw/game-detail.html?game=敖丙-頑強進化</v>
      </c>
      <c r="I587" t="s">
        <v>9845</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8.5" customHeight="1">
      <c r="F588" s="8" t="str">
        <f t="shared" si="23"/>
        <v/>
      </c>
      <c r="H588" s="9" t="str">
        <f t="shared" si="22"/>
        <v/>
      </c>
    </row>
    <row r="589" spans="1:29" ht="28.5" customHeight="1">
      <c r="F589" s="8" t="str">
        <f t="shared" si="23"/>
        <v/>
      </c>
      <c r="H589" s="9" t="str">
        <f t="shared" si="22"/>
        <v/>
      </c>
    </row>
    <row r="590" spans="1:29" ht="28.5" customHeight="1">
      <c r="F590" s="8" t="str">
        <f t="shared" si="23"/>
        <v/>
      </c>
      <c r="H590" s="9" t="str">
        <f t="shared" si="22"/>
        <v/>
      </c>
    </row>
    <row r="591" spans="1:29" ht="28.5" customHeight="1">
      <c r="F591" s="8" t="str">
        <f t="shared" si="23"/>
        <v/>
      </c>
      <c r="H591" s="9" t="str">
        <f t="shared" si="22"/>
        <v/>
      </c>
    </row>
    <row r="592" spans="1:29" ht="28.5" customHeight="1">
      <c r="F592" s="8" t="str">
        <f t="shared" si="23"/>
        <v/>
      </c>
      <c r="H592" s="9" t="str">
        <f t="shared" si="22"/>
        <v/>
      </c>
    </row>
    <row r="593" spans="6:8" ht="28.5" customHeight="1">
      <c r="F593" s="8" t="str">
        <f t="shared" si="23"/>
        <v/>
      </c>
      <c r="H593" s="9" t="str">
        <f t="shared" si="22"/>
        <v/>
      </c>
    </row>
    <row r="594" spans="6:8">
      <c r="F594" s="8" t="str">
        <f t="shared" si="23"/>
        <v/>
      </c>
      <c r="H594" s="9" t="str">
        <f t="shared" si="22"/>
        <v/>
      </c>
    </row>
    <row r="595" spans="6:8">
      <c r="F595" s="8" t="str">
        <f t="shared" si="23"/>
        <v/>
      </c>
      <c r="H595" s="9" t="str">
        <f t="shared" si="22"/>
        <v/>
      </c>
    </row>
    <row r="596" spans="6:8">
      <c r="F596" s="8" t="str">
        <f t="shared" si="23"/>
        <v/>
      </c>
      <c r="H596" s="9" t="str">
        <f t="shared" si="22"/>
        <v/>
      </c>
    </row>
    <row r="597" spans="6:8">
      <c r="F597" s="8" t="str">
        <f t="shared" si="23"/>
        <v/>
      </c>
      <c r="H597" s="9" t="str">
        <f t="shared" si="22"/>
        <v/>
      </c>
    </row>
    <row r="598" spans="6:8">
      <c r="F598" s="8" t="str">
        <f t="shared" si="23"/>
        <v/>
      </c>
      <c r="H598" s="9" t="str">
        <f t="shared" si="22"/>
        <v/>
      </c>
    </row>
    <row r="599" spans="6:8">
      <c r="F599" s="8" t="str">
        <f t="shared" si="23"/>
        <v/>
      </c>
      <c r="H599" s="9" t="str">
        <f t="shared" si="22"/>
        <v/>
      </c>
    </row>
    <row r="600" spans="6:8">
      <c r="F600" s="8" t="str">
        <f t="shared" si="23"/>
        <v/>
      </c>
      <c r="H600" s="9" t="str">
        <f t="shared" si="22"/>
        <v/>
      </c>
    </row>
    <row r="601" spans="6:8">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zoomScale="85" zoomScaleNormal="85" workbookViewId="0">
      <pane xSplit="1" ySplit="1" topLeftCell="E571" activePane="bottomRight" state="frozen"/>
      <selection pane="topRight" activeCell="B1" sqref="B1"/>
      <selection pane="bottomLeft" activeCell="A2" sqref="A2"/>
      <selection pane="bottomRight" activeCell="K587" sqref="K587:L58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23"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23"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K578" s="100" t="s">
        <v>5495</v>
      </c>
      <c r="L578" s="51" t="s">
        <v>5496</v>
      </c>
    </row>
    <row r="579" spans="1:23"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23" ht="24.75" customHeight="1">
      <c r="A580" s="67" t="str">
        <f>IF(games!A580="", "", games!A580)</f>
        <v>永恆聖域</v>
      </c>
      <c r="C580" s="51" t="str">
        <f t="shared" ref="C580:C643" si="24">IF(A580="","", "giftcodesbanner/" &amp; A580 &amp; "-禮包碼.jpg")</f>
        <v>giftcodesbanner/永恆聖域-禮包碼.jpg</v>
      </c>
      <c r="D580" s="51" t="str">
        <f t="shared" ref="D580:D643"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23"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23"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23"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23"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5232</v>
      </c>
      <c r="K584" s="100" t="s">
        <v>5495</v>
      </c>
      <c r="L584" s="51" t="s">
        <v>5496</v>
      </c>
    </row>
    <row r="585" spans="1:23"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23"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23"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5232</v>
      </c>
      <c r="K587" s="100" t="s">
        <v>5495</v>
      </c>
      <c r="L587" s="51" t="s">
        <v>5496</v>
      </c>
    </row>
    <row r="588" spans="1:23" ht="24.75" customHeight="1">
      <c r="A588" s="67" t="str">
        <f>IF(games!A588="", "", games!A588)</f>
        <v/>
      </c>
      <c r="C588" s="51" t="str">
        <f t="shared" si="24"/>
        <v/>
      </c>
      <c r="D588" s="51" t="str">
        <f t="shared" si="25"/>
        <v/>
      </c>
      <c r="E588" s="91" t="str">
        <f>IF(games!I588&lt;&gt;"", games!I588, "")</f>
        <v/>
      </c>
    </row>
    <row r="589" spans="1:23" ht="24.75" customHeight="1">
      <c r="A589" s="67" t="str">
        <f>IF(games!A589="", "", games!A589)</f>
        <v/>
      </c>
      <c r="C589" s="51" t="str">
        <f t="shared" si="24"/>
        <v/>
      </c>
      <c r="D589" s="51" t="str">
        <f t="shared" si="25"/>
        <v/>
      </c>
      <c r="E589" s="91" t="str">
        <f>IF(games!I589&lt;&gt;"", games!I589, "")</f>
        <v/>
      </c>
    </row>
    <row r="590" spans="1:23" ht="24.75" customHeight="1">
      <c r="A590" s="67" t="str">
        <f>IF(games!A590="", "", games!A590)</f>
        <v/>
      </c>
      <c r="C590" s="51" t="str">
        <f t="shared" si="24"/>
        <v/>
      </c>
      <c r="D590" s="51" t="str">
        <f t="shared" si="25"/>
        <v/>
      </c>
      <c r="E590" s="91" t="str">
        <f>IF(games!I590&lt;&gt;"", games!I590, "")</f>
        <v/>
      </c>
    </row>
    <row r="591" spans="1:23" ht="24.75" customHeight="1">
      <c r="A591" s="67" t="str">
        <f>IF(games!A591="", "", games!A591)</f>
        <v/>
      </c>
      <c r="C591" s="51" t="str">
        <f t="shared" si="24"/>
        <v/>
      </c>
      <c r="D591" s="51" t="str">
        <f t="shared" si="25"/>
        <v/>
      </c>
      <c r="E591" s="91" t="str">
        <f>IF(games!I591&lt;&gt;"", games!I591, "")</f>
        <v/>
      </c>
    </row>
    <row r="592" spans="1:23" ht="24.75" customHeight="1">
      <c r="A592" s="67" t="str">
        <f>IF(games!A592="", "", games!A592)</f>
        <v/>
      </c>
      <c r="C592" s="51" t="str">
        <f t="shared" si="24"/>
        <v/>
      </c>
      <c r="D592" s="51" t="str">
        <f t="shared" si="25"/>
        <v/>
      </c>
      <c r="E592" s="91" t="str">
        <f>IF(games!I592&lt;&gt;"", games!I592, "")</f>
        <v/>
      </c>
    </row>
    <row r="593" spans="1:5" ht="24.75" customHeight="1">
      <c r="A593" s="67" t="str">
        <f>IF(games!A593="", "", games!A593)</f>
        <v/>
      </c>
      <c r="C593" s="51" t="str">
        <f t="shared" si="24"/>
        <v/>
      </c>
      <c r="D593" s="51" t="str">
        <f t="shared" si="25"/>
        <v/>
      </c>
      <c r="E593" s="91" t="str">
        <f>IF(games!I593&lt;&gt;"", games!I593, "")</f>
        <v/>
      </c>
    </row>
    <row r="594" spans="1:5" ht="24.75" customHeight="1">
      <c r="A594" s="67" t="str">
        <f>IF(games!A594="", "", games!A594)</f>
        <v/>
      </c>
      <c r="C594" s="51" t="str">
        <f t="shared" si="24"/>
        <v/>
      </c>
      <c r="D594" s="51" t="str">
        <f t="shared" si="25"/>
        <v/>
      </c>
      <c r="E594" s="91" t="str">
        <f>IF(games!I594&lt;&gt;"", games!I594, "")</f>
        <v/>
      </c>
    </row>
    <row r="595" spans="1:5" ht="24.75" customHeight="1">
      <c r="A595" s="67" t="str">
        <f>IF(games!A595="", "", games!A595)</f>
        <v/>
      </c>
      <c r="C595" s="51" t="str">
        <f t="shared" si="24"/>
        <v/>
      </c>
      <c r="D595" s="51" t="str">
        <f t="shared" si="25"/>
        <v/>
      </c>
      <c r="E595" s="91" t="str">
        <f>IF(games!I595&lt;&gt;"", games!I595, "")</f>
        <v/>
      </c>
    </row>
    <row r="596" spans="1:5" ht="24.75" customHeight="1">
      <c r="A596" s="67" t="str">
        <f>IF(games!A596="", "", games!A596)</f>
        <v/>
      </c>
      <c r="C596" s="51" t="str">
        <f t="shared" si="24"/>
        <v/>
      </c>
      <c r="D596" s="51" t="str">
        <f t="shared" si="25"/>
        <v/>
      </c>
      <c r="E596" s="91" t="str">
        <f>IF(games!I596&lt;&gt;"", games!I596, "")</f>
        <v/>
      </c>
    </row>
    <row r="597" spans="1:5" ht="24.75" customHeight="1">
      <c r="A597" s="67" t="str">
        <f>IF(games!A597="", "", games!A597)</f>
        <v/>
      </c>
      <c r="C597" s="51" t="str">
        <f t="shared" si="24"/>
        <v/>
      </c>
      <c r="D597" s="51" t="str">
        <f t="shared" si="25"/>
        <v/>
      </c>
      <c r="E597" s="91" t="str">
        <f>IF(games!I597&lt;&gt;"", games!I597, "")</f>
        <v/>
      </c>
    </row>
    <row r="598" spans="1:5" ht="24.75" customHeight="1">
      <c r="A598" s="67" t="str">
        <f>IF(games!A598="", "", games!A598)</f>
        <v/>
      </c>
      <c r="C598" s="51" t="str">
        <f t="shared" si="24"/>
        <v/>
      </c>
      <c r="D598" s="51" t="str">
        <f t="shared" si="25"/>
        <v/>
      </c>
      <c r="E598" s="91" t="str">
        <f>IF(games!I598&lt;&gt;"", games!I598, "")</f>
        <v/>
      </c>
    </row>
    <row r="599" spans="1:5" ht="24.75" customHeight="1">
      <c r="A599" s="67" t="str">
        <f>IF(games!A599="", "", games!A599)</f>
        <v/>
      </c>
      <c r="C599" s="51" t="str">
        <f t="shared" si="24"/>
        <v/>
      </c>
      <c r="D599" s="51" t="str">
        <f t="shared" si="25"/>
        <v/>
      </c>
      <c r="E599" s="91" t="str">
        <f>IF(games!I599&lt;&gt;"", games!I599, "")</f>
        <v/>
      </c>
    </row>
    <row r="600" spans="1:5" ht="24.75" customHeight="1">
      <c r="A600" s="67" t="str">
        <f>IF(games!A600="", "", games!A600)</f>
        <v/>
      </c>
      <c r="C600" s="51" t="str">
        <f t="shared" si="24"/>
        <v/>
      </c>
      <c r="D600" s="51" t="str">
        <f t="shared" si="25"/>
        <v/>
      </c>
      <c r="E600" s="91" t="str">
        <f>IF(games!I600&lt;&gt;"", games!I600, "")</f>
        <v/>
      </c>
    </row>
    <row r="601" spans="1:5" ht="24.75" customHeight="1">
      <c r="A601" s="67" t="str">
        <f>IF(games!A601="", "", games!A601)</f>
        <v/>
      </c>
      <c r="C601" s="51" t="str">
        <f t="shared" si="24"/>
        <v/>
      </c>
      <c r="D601" s="51" t="str">
        <f t="shared" si="25"/>
        <v/>
      </c>
      <c r="E601" s="91" t="str">
        <f>IF(games!I601&lt;&gt;"", games!I601, "")</f>
        <v/>
      </c>
    </row>
    <row r="602" spans="1:5" ht="24.75" customHeight="1">
      <c r="A602" s="67" t="str">
        <f>IF(games!A602="", "", games!A602)</f>
        <v/>
      </c>
      <c r="C602" s="51" t="str">
        <f t="shared" si="24"/>
        <v/>
      </c>
      <c r="D602" s="51" t="str">
        <f t="shared" si="25"/>
        <v/>
      </c>
      <c r="E602" s="91" t="str">
        <f>IF(games!I602&lt;&gt;"", games!I602, "")</f>
        <v/>
      </c>
    </row>
    <row r="603" spans="1:5" ht="24.75" customHeight="1">
      <c r="A603" s="67" t="str">
        <f>IF(games!A603="", "", games!A603)</f>
        <v/>
      </c>
      <c r="C603" s="51" t="str">
        <f t="shared" si="24"/>
        <v/>
      </c>
      <c r="D603" s="51" t="str">
        <f t="shared" si="25"/>
        <v/>
      </c>
      <c r="E603" s="91" t="str">
        <f>IF(games!I603&lt;&gt;"", games!I603, "")</f>
        <v/>
      </c>
    </row>
    <row r="604" spans="1:5" ht="24.75" customHeight="1">
      <c r="A604" s="67" t="str">
        <f>IF(games!A604="", "", games!A604)</f>
        <v/>
      </c>
      <c r="C604" s="51" t="str">
        <f t="shared" si="24"/>
        <v/>
      </c>
      <c r="D604" s="51" t="str">
        <f t="shared" si="25"/>
        <v/>
      </c>
      <c r="E604" s="91" t="str">
        <f>IF(games!I604&lt;&gt;"", games!I604, "")</f>
        <v/>
      </c>
    </row>
    <row r="605" spans="1:5" ht="24.75" customHeight="1">
      <c r="A605" s="67" t="str">
        <f>IF(games!A605="", "", games!A605)</f>
        <v/>
      </c>
      <c r="C605" s="51" t="str">
        <f t="shared" si="24"/>
        <v/>
      </c>
      <c r="D605" s="51" t="str">
        <f t="shared" si="25"/>
        <v/>
      </c>
      <c r="E605" s="91" t="str">
        <f>IF(games!I605&lt;&gt;"", games!I605, "")</f>
        <v/>
      </c>
    </row>
    <row r="606" spans="1:5" ht="24.75" customHeight="1">
      <c r="A606" s="67" t="str">
        <f>IF(games!A606="", "", games!A606)</f>
        <v/>
      </c>
      <c r="C606" s="51" t="str">
        <f t="shared" si="24"/>
        <v/>
      </c>
      <c r="D606" s="51" t="str">
        <f t="shared" si="25"/>
        <v/>
      </c>
      <c r="E606" s="91" t="str">
        <f>IF(games!I606&lt;&gt;"", games!I606, "")</f>
        <v/>
      </c>
    </row>
    <row r="607" spans="1:5" ht="24.75" customHeight="1">
      <c r="A607" s="67" t="str">
        <f>IF(games!A607="", "", games!A607)</f>
        <v/>
      </c>
      <c r="C607" s="51" t="str">
        <f t="shared" si="24"/>
        <v/>
      </c>
      <c r="D607" s="51" t="str">
        <f t="shared" si="25"/>
        <v/>
      </c>
      <c r="E607" s="91" t="str">
        <f>IF(games!I607&lt;&gt;"", games!I607, "")</f>
        <v/>
      </c>
    </row>
    <row r="608" spans="1:5" ht="24.75" customHeight="1">
      <c r="A608" s="67" t="str">
        <f>IF(games!A608="", "", games!A608)</f>
        <v/>
      </c>
      <c r="C608" s="51" t="str">
        <f t="shared" si="24"/>
        <v/>
      </c>
      <c r="D608" s="51" t="str">
        <f t="shared" si="25"/>
        <v/>
      </c>
      <c r="E608" s="91" t="str">
        <f>IF(games!I608&lt;&gt;"", games!I608, "")</f>
        <v/>
      </c>
    </row>
    <row r="609" spans="1:5" ht="24.75" customHeight="1">
      <c r="A609" s="67" t="str">
        <f>IF(games!A609="", "", games!A609)</f>
        <v/>
      </c>
      <c r="C609" s="51" t="str">
        <f t="shared" si="24"/>
        <v/>
      </c>
      <c r="D609" s="51" t="str">
        <f t="shared" si="25"/>
        <v/>
      </c>
      <c r="E609" s="91" t="str">
        <f>IF(games!I609&lt;&gt;"", games!I609, "")</f>
        <v/>
      </c>
    </row>
    <row r="610" spans="1:5" ht="24.75" customHeight="1">
      <c r="A610" s="67" t="str">
        <f>IF(games!A610="", "", games!A610)</f>
        <v/>
      </c>
      <c r="C610" s="51" t="str">
        <f t="shared" si="24"/>
        <v/>
      </c>
      <c r="D610" s="51" t="str">
        <f t="shared" si="25"/>
        <v/>
      </c>
      <c r="E610" s="91" t="str">
        <f>IF(games!I610&lt;&gt;"", games!I610, "")</f>
        <v/>
      </c>
    </row>
    <row r="611" spans="1:5" ht="24.75" customHeight="1">
      <c r="A611" s="67" t="str">
        <f>IF(games!A611="", "", games!A611)</f>
        <v/>
      </c>
      <c r="C611" s="51" t="str">
        <f t="shared" si="24"/>
        <v/>
      </c>
      <c r="D611" s="51" t="str">
        <f t="shared" si="25"/>
        <v/>
      </c>
      <c r="E611" s="91" t="str">
        <f>IF(games!I611&lt;&gt;"", games!I611, "")</f>
        <v/>
      </c>
    </row>
    <row r="612" spans="1:5" ht="24.75" customHeight="1">
      <c r="A612" s="67" t="str">
        <f>IF(games!A612="", "", games!A612)</f>
        <v/>
      </c>
      <c r="C612" s="51" t="str">
        <f t="shared" si="24"/>
        <v/>
      </c>
      <c r="D612" s="51" t="str">
        <f t="shared" si="25"/>
        <v/>
      </c>
      <c r="E612" s="91" t="str">
        <f>IF(games!I612&lt;&gt;"", games!I612, "")</f>
        <v/>
      </c>
    </row>
    <row r="613" spans="1:5" ht="24.75" customHeight="1">
      <c r="A613" s="67" t="str">
        <f>IF(games!A613="", "", games!A613)</f>
        <v/>
      </c>
      <c r="C613" s="51" t="str">
        <f t="shared" si="24"/>
        <v/>
      </c>
      <c r="D613" s="51" t="str">
        <f t="shared" si="25"/>
        <v/>
      </c>
      <c r="E613" s="91" t="str">
        <f>IF(games!I613&lt;&gt;"", games!I613, "")</f>
        <v/>
      </c>
    </row>
    <row r="614" spans="1:5" ht="24.75" customHeight="1">
      <c r="A614" s="67" t="str">
        <f>IF(games!A614="", "", games!A614)</f>
        <v/>
      </c>
      <c r="C614" s="51" t="str">
        <f t="shared" si="24"/>
        <v/>
      </c>
      <c r="D614" s="51" t="str">
        <f t="shared" si="25"/>
        <v/>
      </c>
      <c r="E614" s="91" t="str">
        <f>IF(games!I614&lt;&gt;"", games!I614, "")</f>
        <v/>
      </c>
    </row>
    <row r="615" spans="1:5" ht="24.75" customHeight="1">
      <c r="A615" s="67" t="str">
        <f>IF(games!A615="", "", games!A615)</f>
        <v/>
      </c>
      <c r="C615" s="51" t="str">
        <f t="shared" si="24"/>
        <v/>
      </c>
      <c r="D615" s="51" t="str">
        <f t="shared" si="25"/>
        <v/>
      </c>
      <c r="E615" s="91" t="str">
        <f>IF(games!I615&lt;&gt;"", games!I615, "")</f>
        <v/>
      </c>
    </row>
    <row r="616" spans="1:5" ht="24.75" customHeight="1">
      <c r="A616" s="67" t="str">
        <f>IF(games!A616="", "", games!A616)</f>
        <v/>
      </c>
      <c r="C616" s="51" t="str">
        <f t="shared" si="24"/>
        <v/>
      </c>
      <c r="D616" s="51" t="str">
        <f t="shared" si="25"/>
        <v/>
      </c>
      <c r="E616" s="91" t="str">
        <f>IF(games!I616&lt;&gt;"", games!I616, "")</f>
        <v/>
      </c>
    </row>
    <row r="617" spans="1:5" ht="24.75" customHeight="1">
      <c r="A617" s="67" t="str">
        <f>IF(games!A617="", "", games!A617)</f>
        <v/>
      </c>
      <c r="C617" s="51" t="str">
        <f t="shared" si="24"/>
        <v/>
      </c>
      <c r="D617" s="51" t="str">
        <f t="shared" si="25"/>
        <v/>
      </c>
      <c r="E617" s="91" t="str">
        <f>IF(games!I617&lt;&gt;"", games!I617, "")</f>
        <v/>
      </c>
    </row>
    <row r="618" spans="1:5" ht="24.75" customHeight="1">
      <c r="A618" s="67" t="str">
        <f>IF(games!A618="", "", games!A618)</f>
        <v/>
      </c>
      <c r="C618" s="51" t="str">
        <f t="shared" si="24"/>
        <v/>
      </c>
      <c r="D618" s="51" t="str">
        <f t="shared" si="25"/>
        <v/>
      </c>
      <c r="E618" s="91" t="str">
        <f>IF(games!I618&lt;&gt;"", games!I618, "")</f>
        <v/>
      </c>
    </row>
    <row r="619" spans="1:5" ht="24.75" customHeight="1">
      <c r="A619" s="67" t="str">
        <f>IF(games!A619="", "", games!A619)</f>
        <v/>
      </c>
      <c r="C619" s="51" t="str">
        <f t="shared" si="24"/>
        <v/>
      </c>
      <c r="D619" s="51" t="str">
        <f t="shared" si="25"/>
        <v/>
      </c>
      <c r="E619" s="91" t="str">
        <f>IF(games!I619&lt;&gt;"", games!I619, "")</f>
        <v/>
      </c>
    </row>
    <row r="620" spans="1:5" ht="24.75" customHeight="1">
      <c r="A620" s="67" t="str">
        <f>IF(games!A620="", "", games!A620)</f>
        <v/>
      </c>
      <c r="C620" s="51" t="str">
        <f t="shared" si="24"/>
        <v/>
      </c>
      <c r="D620" s="51" t="str">
        <f t="shared" si="25"/>
        <v/>
      </c>
      <c r="E620" s="91" t="str">
        <f>IF(games!I620&lt;&gt;"", games!I620, "")</f>
        <v/>
      </c>
    </row>
    <row r="621" spans="1:5" ht="24.75" customHeight="1">
      <c r="A621" s="67" t="str">
        <f>IF(games!A621="", "", games!A621)</f>
        <v/>
      </c>
      <c r="C621" s="51" t="str">
        <f t="shared" si="24"/>
        <v/>
      </c>
      <c r="D621" s="51" t="str">
        <f t="shared" si="25"/>
        <v/>
      </c>
      <c r="E621" s="91" t="str">
        <f>IF(games!I621&lt;&gt;"", games!I621, "")</f>
        <v/>
      </c>
    </row>
    <row r="622" spans="1:5" ht="24.75" customHeight="1">
      <c r="A622" s="67" t="str">
        <f>IF(games!A622="", "", games!A622)</f>
        <v/>
      </c>
      <c r="C622" s="51" t="str">
        <f t="shared" si="24"/>
        <v/>
      </c>
      <c r="D622" s="51" t="str">
        <f t="shared" si="25"/>
        <v/>
      </c>
      <c r="E622" s="91" t="str">
        <f>IF(games!I622&lt;&gt;"", games!I622, "")</f>
        <v/>
      </c>
    </row>
    <row r="623" spans="1:5" ht="24.75" customHeight="1">
      <c r="A623" s="67" t="str">
        <f>IF(games!A623="", "", games!A623)</f>
        <v/>
      </c>
      <c r="C623" s="51" t="str">
        <f t="shared" si="24"/>
        <v/>
      </c>
      <c r="D623" s="51" t="str">
        <f t="shared" si="25"/>
        <v/>
      </c>
      <c r="E623" s="91" t="str">
        <f>IF(games!I623&lt;&gt;"", games!I623, "")</f>
        <v/>
      </c>
    </row>
    <row r="624" spans="1:5"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si="24"/>
        <v/>
      </c>
      <c r="D643" s="51" t="str">
        <f t="shared" si="25"/>
        <v/>
      </c>
      <c r="E643" s="91" t="str">
        <f>IF(games!I643&lt;&gt;"", games!I643, "")</f>
        <v/>
      </c>
    </row>
    <row r="644" spans="1:5" ht="24.75" customHeight="1">
      <c r="A644" s="67" t="str">
        <f>IF(games!A644="", "", games!A644)</f>
        <v/>
      </c>
      <c r="C644" s="51" t="str">
        <f t="shared" ref="C644:C707" si="26">IF(A644="","", "giftcodesbanner/" &amp; A644 &amp; "-禮包碼.jpg")</f>
        <v/>
      </c>
      <c r="D644" s="51" t="str">
        <f t="shared" ref="D644:D707" si="27">IF(A644="","", "https://www.ssbuy.tw/gift-codes.html?game="&amp;A644)</f>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si="26"/>
        <v/>
      </c>
      <c r="D707" s="51" t="str">
        <f t="shared" si="27"/>
        <v/>
      </c>
      <c r="E707" s="91" t="str">
        <f>IF(games!I707&lt;&gt;"", games!I707, "")</f>
        <v/>
      </c>
    </row>
    <row r="708" spans="1:5" ht="24.75" customHeight="1">
      <c r="A708" s="67" t="str">
        <f>IF(games!A708="", "", games!A708)</f>
        <v/>
      </c>
      <c r="C708" s="51" t="str">
        <f t="shared" ref="C708:C726" si="28">IF(A708="","", "giftcodesbanner/" &amp; A708 &amp; "-禮包碼.jpg")</f>
        <v/>
      </c>
      <c r="D708" s="51" t="str">
        <f t="shared" ref="D708:D726" si="29">IF(A708="","", "https://www.ssbuy.tw/gift-codes.html?game="&amp;A708)</f>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c r="C726" s="51" t="str">
        <f t="shared" si="28"/>
        <v/>
      </c>
      <c r="D726" s="51" t="str">
        <f t="shared" si="29"/>
        <v/>
      </c>
      <c r="E726" s="91" t="str">
        <f>IF(games!I726&lt;&gt;"", games!I726, "")</f>
        <v/>
      </c>
    </row>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s>
  <pageMargins left="0.7" right="0.7" top="0.75" bottom="0.75" header="0.3" footer="0.3"/>
  <pageSetup paperSize="9" orientation="portrait" r:id="rId32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2026-09-07T02:18:09Z</dcterms:modified>
</cp:coreProperties>
</file>