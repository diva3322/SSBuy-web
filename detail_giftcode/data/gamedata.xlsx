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195" i="3" l="1"/>
  <c r="E196" i="3"/>
  <c r="E197" i="3"/>
  <c r="E198" i="3"/>
  <c r="E199" i="3"/>
  <c r="E200" i="3"/>
  <c r="E194" i="3"/>
  <c r="E192" i="3"/>
  <c r="E193" i="3"/>
  <c r="F191" i="1"/>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222" i="3"/>
  <c r="A223" i="3"/>
  <c r="A191" i="3"/>
  <c r="F192" i="1" l="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190" i="1"/>
  <c r="F190" i="1"/>
  <c r="C191" i="3"/>
  <c r="D191" i="3"/>
  <c r="C192" i="3"/>
  <c r="D192" i="3"/>
  <c r="C193" i="3"/>
  <c r="D193" i="3"/>
  <c r="C194" i="3"/>
  <c r="D194" i="3"/>
  <c r="C195" i="3"/>
  <c r="D195" i="3"/>
  <c r="C196" i="3"/>
  <c r="D196" i="3"/>
  <c r="C197" i="3"/>
  <c r="D197" i="3"/>
  <c r="C198" i="3"/>
  <c r="D198" i="3"/>
  <c r="C199" i="3"/>
  <c r="D199" i="3"/>
  <c r="C200" i="3"/>
  <c r="D200" i="3"/>
  <c r="C201" i="3"/>
  <c r="D201" i="3"/>
  <c r="C202" i="3"/>
  <c r="D202" i="3"/>
  <c r="C203" i="3"/>
  <c r="D203" i="3"/>
  <c r="C204" i="3"/>
  <c r="D204" i="3"/>
  <c r="C205" i="3"/>
  <c r="D205" i="3"/>
  <c r="C206" i="3"/>
  <c r="D206" i="3"/>
  <c r="C207" i="3"/>
  <c r="D207" i="3"/>
  <c r="C208" i="3"/>
  <c r="D208" i="3"/>
  <c r="C209" i="3"/>
  <c r="D209" i="3"/>
  <c r="C210" i="3"/>
  <c r="D210" i="3"/>
  <c r="C211" i="3"/>
  <c r="D211" i="3"/>
  <c r="C212" i="3"/>
  <c r="D212" i="3"/>
  <c r="C213" i="3"/>
  <c r="D213" i="3"/>
  <c r="C214" i="3"/>
  <c r="D214" i="3"/>
  <c r="C215" i="3"/>
  <c r="D215" i="3"/>
  <c r="C216" i="3"/>
  <c r="D216" i="3"/>
  <c r="C217" i="3"/>
  <c r="D217" i="3"/>
  <c r="C218" i="3"/>
  <c r="D218" i="3"/>
  <c r="C219" i="3"/>
  <c r="D219" i="3"/>
  <c r="C220" i="3"/>
  <c r="D220" i="3"/>
  <c r="C221" i="3"/>
  <c r="D221" i="3"/>
  <c r="C222" i="3"/>
  <c r="D222" i="3"/>
  <c r="C223" i="3"/>
  <c r="D223" i="3"/>
  <c r="C224" i="3"/>
  <c r="D224" i="3"/>
  <c r="C225" i="3"/>
  <c r="D225" i="3"/>
  <c r="C226" i="3"/>
  <c r="D226" i="3"/>
  <c r="C227" i="3"/>
  <c r="D227" i="3"/>
  <c r="C228" i="3"/>
  <c r="D228" i="3"/>
  <c r="C229" i="3"/>
  <c r="D229" i="3"/>
  <c r="C230" i="3"/>
  <c r="D230" i="3"/>
  <c r="C231" i="3"/>
  <c r="D231" i="3"/>
  <c r="C232" i="3"/>
  <c r="D232" i="3"/>
  <c r="C233" i="3"/>
  <c r="D233" i="3"/>
  <c r="C234" i="3"/>
  <c r="D234" i="3"/>
  <c r="C235" i="3"/>
  <c r="D235" i="3"/>
  <c r="C236" i="3"/>
  <c r="D236" i="3"/>
  <c r="C237" i="3"/>
  <c r="D237" i="3"/>
  <c r="C238" i="3"/>
  <c r="D238" i="3"/>
  <c r="C239" i="3"/>
  <c r="D239" i="3"/>
  <c r="C240" i="3"/>
  <c r="D240" i="3"/>
  <c r="C241" i="3"/>
  <c r="D241" i="3"/>
  <c r="C242" i="3"/>
  <c r="D242" i="3"/>
  <c r="C243" i="3"/>
  <c r="D243" i="3"/>
  <c r="C244" i="3"/>
  <c r="D244" i="3"/>
  <c r="C245" i="3"/>
  <c r="D245" i="3"/>
  <c r="C246" i="3"/>
  <c r="D246" i="3"/>
  <c r="C247" i="3"/>
  <c r="D247" i="3"/>
  <c r="C248" i="3"/>
  <c r="D248" i="3"/>
  <c r="C249" i="3"/>
  <c r="D249" i="3"/>
  <c r="C250" i="3"/>
  <c r="D250" i="3"/>
  <c r="C251" i="3"/>
  <c r="D251" i="3"/>
  <c r="C252" i="3"/>
  <c r="D252" i="3"/>
  <c r="C253" i="3"/>
  <c r="D253" i="3"/>
  <c r="C254" i="3"/>
  <c r="D254" i="3"/>
  <c r="C255" i="3"/>
  <c r="D255" i="3"/>
  <c r="C256" i="3"/>
  <c r="D256" i="3"/>
  <c r="C257" i="3"/>
  <c r="D257" i="3"/>
  <c r="C258" i="3"/>
  <c r="D258" i="3"/>
  <c r="C259" i="3"/>
  <c r="D259" i="3"/>
  <c r="C260" i="3"/>
  <c r="D260" i="3"/>
  <c r="C261" i="3"/>
  <c r="D261" i="3"/>
  <c r="C262" i="3"/>
  <c r="D262" i="3"/>
  <c r="C263" i="3"/>
  <c r="D263" i="3"/>
  <c r="C264" i="3"/>
  <c r="D264" i="3"/>
  <c r="C265" i="3"/>
  <c r="D265" i="3"/>
  <c r="C266" i="3"/>
  <c r="D266" i="3"/>
  <c r="C267" i="3"/>
  <c r="D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C437" i="3"/>
  <c r="D437" i="3"/>
  <c r="C438" i="3"/>
  <c r="D438" i="3"/>
  <c r="C439" i="3"/>
  <c r="D439" i="3"/>
  <c r="C440" i="3"/>
  <c r="D440" i="3"/>
  <c r="C441" i="3"/>
  <c r="D441" i="3"/>
  <c r="C190" i="3"/>
  <c r="E191" i="3"/>
  <c r="E190" i="3"/>
  <c r="A190" i="3"/>
  <c r="D190" i="3" s="1"/>
  <c r="D189" i="3" l="1"/>
  <c r="C189" i="3"/>
  <c r="D188" i="3"/>
  <c r="C188" i="3"/>
  <c r="D187" i="3"/>
  <c r="C187" i="3"/>
  <c r="D186" i="3"/>
  <c r="C186" i="3"/>
  <c r="D185" i="3"/>
  <c r="C185" i="3"/>
  <c r="D184" i="3"/>
  <c r="C184" i="3"/>
  <c r="D183" i="3"/>
  <c r="C183" i="3"/>
  <c r="D182" i="3"/>
  <c r="C182" i="3"/>
  <c r="D181" i="3"/>
  <c r="C181" i="3"/>
  <c r="D180" i="3"/>
  <c r="C180" i="3"/>
  <c r="D179" i="3"/>
  <c r="C179" i="3"/>
  <c r="D178" i="3"/>
  <c r="C178" i="3"/>
  <c r="D177" i="3"/>
  <c r="C177" i="3"/>
  <c r="D176" i="3"/>
  <c r="C176" i="3"/>
  <c r="D175" i="3"/>
  <c r="C175" i="3"/>
  <c r="D174" i="3"/>
  <c r="C174" i="3"/>
  <c r="D173" i="3"/>
  <c r="C173" i="3"/>
  <c r="D172" i="3"/>
  <c r="C172" i="3"/>
  <c r="D171" i="3"/>
  <c r="C171" i="3"/>
  <c r="D170" i="3"/>
  <c r="C170" i="3"/>
  <c r="D169" i="3"/>
  <c r="C169" i="3"/>
  <c r="D168" i="3"/>
  <c r="C168" i="3"/>
  <c r="D167" i="3"/>
  <c r="C167" i="3"/>
  <c r="D166" i="3"/>
  <c r="C166" i="3"/>
  <c r="D165" i="3"/>
  <c r="C165" i="3"/>
  <c r="D164" i="3"/>
  <c r="C164" i="3"/>
  <c r="D163" i="3"/>
  <c r="C163" i="3"/>
  <c r="D162" i="3"/>
  <c r="C162" i="3"/>
  <c r="D161" i="3"/>
  <c r="C161" i="3"/>
  <c r="D160" i="3"/>
  <c r="C160" i="3"/>
  <c r="D159" i="3"/>
  <c r="C159" i="3"/>
  <c r="D158" i="3"/>
  <c r="C158" i="3"/>
  <c r="D157" i="3"/>
  <c r="C157" i="3"/>
  <c r="D156" i="3"/>
  <c r="C156" i="3"/>
  <c r="D155" i="3"/>
  <c r="C155" i="3"/>
  <c r="D154" i="3"/>
  <c r="C154" i="3"/>
  <c r="D153" i="3"/>
  <c r="C153" i="3"/>
  <c r="D152" i="3"/>
  <c r="C152" i="3"/>
  <c r="D151" i="3"/>
  <c r="C151" i="3"/>
  <c r="D150" i="3"/>
  <c r="C150" i="3"/>
  <c r="D149" i="3"/>
  <c r="C149" i="3"/>
  <c r="D148" i="3"/>
  <c r="C148" i="3"/>
  <c r="D147" i="3"/>
  <c r="C147" i="3"/>
  <c r="D146" i="3"/>
  <c r="C146" i="3"/>
  <c r="D145" i="3"/>
  <c r="C145" i="3"/>
  <c r="D144" i="3"/>
  <c r="C144" i="3"/>
  <c r="D143" i="3"/>
  <c r="C143" i="3"/>
  <c r="D142" i="3"/>
  <c r="C142" i="3"/>
  <c r="D141" i="3"/>
  <c r="C141" i="3"/>
  <c r="D140" i="3"/>
  <c r="C140" i="3"/>
  <c r="D139" i="3"/>
  <c r="C139" i="3"/>
  <c r="D138" i="3"/>
  <c r="C138" i="3"/>
  <c r="D137" i="3"/>
  <c r="C137" i="3"/>
  <c r="D136" i="3"/>
  <c r="C136" i="3"/>
  <c r="D135" i="3"/>
  <c r="C135" i="3"/>
  <c r="D134" i="3"/>
  <c r="B134" i="3"/>
  <c r="D133" i="3"/>
  <c r="B133" i="3"/>
  <c r="D132" i="3"/>
  <c r="B132" i="3"/>
  <c r="D131" i="3"/>
  <c r="B131" i="3"/>
  <c r="D130" i="3"/>
  <c r="B130" i="3"/>
  <c r="D129" i="3"/>
  <c r="B129" i="3"/>
  <c r="D128" i="3"/>
  <c r="B128" i="3"/>
  <c r="D127" i="3"/>
  <c r="B127" i="3"/>
  <c r="D126" i="3"/>
  <c r="B126" i="3"/>
  <c r="D125" i="3"/>
  <c r="B125" i="3"/>
  <c r="D124" i="3"/>
  <c r="B124" i="3"/>
  <c r="D123" i="3"/>
  <c r="B123" i="3"/>
  <c r="D122" i="3"/>
  <c r="B122" i="3"/>
  <c r="D121" i="3"/>
  <c r="B121" i="3"/>
  <c r="D120" i="3"/>
  <c r="B120" i="3"/>
  <c r="D119" i="3"/>
  <c r="B119" i="3"/>
  <c r="D118" i="3"/>
  <c r="B118" i="3"/>
  <c r="D117" i="3"/>
  <c r="B117" i="3"/>
  <c r="D116" i="3"/>
  <c r="B116" i="3"/>
  <c r="D115" i="3"/>
  <c r="B115" i="3"/>
  <c r="D114" i="3"/>
  <c r="B114" i="3"/>
  <c r="D113" i="3"/>
  <c r="B113" i="3"/>
  <c r="D112" i="3"/>
  <c r="B112" i="3"/>
  <c r="D111" i="3"/>
  <c r="B111" i="3"/>
  <c r="D110" i="3"/>
  <c r="B110" i="3"/>
  <c r="D109" i="3"/>
  <c r="B109" i="3"/>
  <c r="D108" i="3"/>
  <c r="B108" i="3"/>
  <c r="D107" i="3"/>
  <c r="B107" i="3"/>
  <c r="D106" i="3"/>
  <c r="B106" i="3"/>
  <c r="D105" i="3"/>
  <c r="B105" i="3"/>
  <c r="D104" i="3"/>
  <c r="B104" i="3"/>
  <c r="D103" i="3"/>
  <c r="B103" i="3"/>
  <c r="D102" i="3"/>
  <c r="B102" i="3"/>
  <c r="D101" i="3"/>
  <c r="B101" i="3"/>
  <c r="D100" i="3"/>
  <c r="B100" i="3"/>
  <c r="D99" i="3"/>
  <c r="B99" i="3"/>
  <c r="D98" i="3"/>
  <c r="B98" i="3"/>
  <c r="D97" i="3"/>
  <c r="B97" i="3"/>
  <c r="D96" i="3"/>
  <c r="B96" i="3"/>
  <c r="D95" i="3"/>
  <c r="B95" i="3"/>
  <c r="D94" i="3"/>
  <c r="B94" i="3"/>
  <c r="D93" i="3"/>
  <c r="B93" i="3"/>
  <c r="D92" i="3"/>
  <c r="B92" i="3"/>
  <c r="D91" i="3"/>
  <c r="B91" i="3"/>
  <c r="D90" i="3"/>
  <c r="B90" i="3"/>
  <c r="D89" i="3"/>
  <c r="B89" i="3"/>
  <c r="D88" i="3"/>
  <c r="B88" i="3"/>
  <c r="D87" i="3"/>
  <c r="B87" i="3"/>
  <c r="D86" i="3"/>
  <c r="B86" i="3"/>
  <c r="D85" i="3"/>
  <c r="B85" i="3"/>
  <c r="D84" i="3"/>
  <c r="B84" i="3"/>
  <c r="D83" i="3"/>
  <c r="B83" i="3"/>
  <c r="D82" i="3"/>
  <c r="B82" i="3"/>
  <c r="D81" i="3"/>
  <c r="B81" i="3"/>
  <c r="D80" i="3"/>
  <c r="B80" i="3"/>
  <c r="D79" i="3"/>
  <c r="B79" i="3"/>
  <c r="D78" i="3"/>
  <c r="B78" i="3"/>
  <c r="D77" i="3"/>
  <c r="B77" i="3"/>
  <c r="D76" i="3"/>
  <c r="B76" i="3"/>
  <c r="D75" i="3"/>
  <c r="B75" i="3"/>
  <c r="D74" i="3"/>
  <c r="B74" i="3"/>
  <c r="D73" i="3"/>
  <c r="B73" i="3"/>
  <c r="D72" i="3"/>
  <c r="B72" i="3"/>
  <c r="D71" i="3"/>
  <c r="B71" i="3"/>
  <c r="D70" i="3"/>
  <c r="B70" i="3"/>
  <c r="D69" i="3"/>
  <c r="B69" i="3"/>
  <c r="D68" i="3"/>
  <c r="B68" i="3"/>
  <c r="D67" i="3"/>
  <c r="B67" i="3"/>
  <c r="D66" i="3"/>
  <c r="B66" i="3"/>
  <c r="D65" i="3"/>
  <c r="B65" i="3"/>
  <c r="D64" i="3"/>
  <c r="B64" i="3"/>
  <c r="D63" i="3"/>
  <c r="B63" i="3"/>
  <c r="D62" i="3"/>
  <c r="B62" i="3"/>
  <c r="D61" i="3"/>
  <c r="B61" i="3"/>
  <c r="D60" i="3"/>
  <c r="B60" i="3"/>
  <c r="D59" i="3"/>
  <c r="B59" i="3"/>
  <c r="D58" i="3"/>
  <c r="B58" i="3"/>
  <c r="D57" i="3"/>
  <c r="B57" i="3"/>
  <c r="D56" i="3"/>
  <c r="B56" i="3"/>
  <c r="D55" i="3"/>
  <c r="B55" i="3"/>
  <c r="D54" i="3"/>
  <c r="B54" i="3"/>
  <c r="D53" i="3"/>
  <c r="B53" i="3"/>
  <c r="D52" i="3"/>
  <c r="B52" i="3"/>
  <c r="D51" i="3"/>
  <c r="B51" i="3"/>
  <c r="D50" i="3"/>
  <c r="B50" i="3"/>
  <c r="D49" i="3"/>
  <c r="B49" i="3"/>
  <c r="D48" i="3"/>
  <c r="B48" i="3"/>
  <c r="D47" i="3"/>
  <c r="B47" i="3"/>
  <c r="D46" i="3"/>
  <c r="B46" i="3"/>
  <c r="D45" i="3"/>
  <c r="B45" i="3"/>
  <c r="D44" i="3"/>
  <c r="B44" i="3"/>
  <c r="D43" i="3"/>
  <c r="B43" i="3"/>
  <c r="D42" i="3"/>
  <c r="B42" i="3"/>
  <c r="D41" i="3"/>
  <c r="B41" i="3"/>
  <c r="D40" i="3"/>
  <c r="B40" i="3"/>
  <c r="D39" i="3"/>
  <c r="B39" i="3"/>
  <c r="D38" i="3"/>
  <c r="B38" i="3"/>
  <c r="D37" i="3"/>
  <c r="B37" i="3"/>
  <c r="D36" i="3"/>
  <c r="B36" i="3"/>
  <c r="D35" i="3"/>
  <c r="B35" i="3"/>
  <c r="D34" i="3"/>
  <c r="B34" i="3"/>
  <c r="D33" i="3"/>
  <c r="B33" i="3"/>
  <c r="D32" i="3"/>
  <c r="B32" i="3"/>
  <c r="D31" i="3"/>
  <c r="B31" i="3"/>
  <c r="D30" i="3"/>
  <c r="B30" i="3"/>
  <c r="D29" i="3"/>
  <c r="B29" i="3"/>
  <c r="D28" i="3"/>
  <c r="B28" i="3"/>
  <c r="D27" i="3"/>
  <c r="B27" i="3"/>
  <c r="D26" i="3"/>
  <c r="B26" i="3"/>
  <c r="D25" i="3"/>
  <c r="B25" i="3"/>
  <c r="D24" i="3"/>
  <c r="B24" i="3"/>
  <c r="D23" i="3"/>
  <c r="B23" i="3"/>
  <c r="D22" i="3"/>
  <c r="B22" i="3"/>
  <c r="D21" i="3"/>
  <c r="B21" i="3"/>
  <c r="D20" i="3"/>
  <c r="B20" i="3"/>
  <c r="D19" i="3"/>
  <c r="B19" i="3"/>
  <c r="D18" i="3"/>
  <c r="B18" i="3"/>
  <c r="D17" i="3"/>
  <c r="B17" i="3"/>
  <c r="D16" i="3"/>
  <c r="B16" i="3"/>
  <c r="D15" i="3"/>
  <c r="B15" i="3"/>
  <c r="D14" i="3"/>
  <c r="B14" i="3"/>
  <c r="D13" i="3"/>
  <c r="B13" i="3"/>
  <c r="D12" i="3"/>
  <c r="B12" i="3"/>
  <c r="D11" i="3"/>
  <c r="B11" i="3"/>
  <c r="D10" i="3"/>
  <c r="B10" i="3"/>
  <c r="D9" i="3"/>
  <c r="B9" i="3"/>
  <c r="D8" i="3"/>
  <c r="B8" i="3"/>
  <c r="D7" i="3"/>
  <c r="B7" i="3"/>
  <c r="D6" i="3"/>
  <c r="B6" i="3"/>
  <c r="D5" i="3"/>
  <c r="B5" i="3"/>
  <c r="D4" i="3"/>
  <c r="B4" i="3"/>
  <c r="D3" i="3"/>
  <c r="B3" i="3"/>
  <c r="D2" i="3"/>
  <c r="B2" i="3"/>
  <c r="H189" i="1" l="1"/>
  <c r="F189" i="1"/>
  <c r="F188" i="1" l="1"/>
  <c r="H188" i="1"/>
  <c r="H186" i="1"/>
  <c r="H187" i="1"/>
  <c r="F186" i="1"/>
  <c r="F187" i="1"/>
  <c r="H185" i="1"/>
  <c r="F185" i="1"/>
  <c r="H184" i="1"/>
  <c r="F184" i="1"/>
  <c r="H183" i="1"/>
  <c r="F183" i="1"/>
  <c r="F182" i="1"/>
  <c r="H182" i="1"/>
  <c r="H181" i="1"/>
  <c r="F181" i="1"/>
  <c r="F180" i="1"/>
  <c r="H180" i="1"/>
  <c r="H179" i="1" l="1"/>
  <c r="F179" i="1"/>
  <c r="F178" i="1" l="1"/>
  <c r="H178" i="1"/>
  <c r="H176" i="1"/>
  <c r="H177" i="1"/>
  <c r="F176" i="1"/>
  <c r="F177" i="1"/>
  <c r="H3" i="1" l="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2" i="1"/>
  <c r="F174" i="1"/>
  <c r="F175" i="1"/>
  <c r="F173" i="1"/>
  <c r="F172" i="1"/>
  <c r="F169" i="1" l="1"/>
  <c r="F170" i="1"/>
  <c r="F171" i="1"/>
  <c r="F168" i="1"/>
  <c r="F166" i="1"/>
  <c r="F167" i="1"/>
  <c r="F165" i="1"/>
  <c r="F164" i="1"/>
  <c r="F162" i="1"/>
  <c r="F163" i="1"/>
  <c r="F156" i="1" l="1"/>
  <c r="F157" i="1"/>
  <c r="F158" i="1"/>
  <c r="F159" i="1"/>
  <c r="F160" i="1"/>
  <c r="F161" i="1"/>
  <c r="F155" i="1" l="1"/>
  <c r="F154" i="1" l="1"/>
  <c r="F153" i="1" l="1"/>
  <c r="F152" i="1"/>
  <c r="F150" i="1" l="1"/>
  <c r="F151" i="1"/>
  <c r="F148" i="1" l="1"/>
  <c r="F149" i="1"/>
  <c r="F147" i="1" l="1"/>
  <c r="F144" i="1"/>
  <c r="F145" i="1"/>
  <c r="F146" i="1"/>
  <c r="F143" i="1" l="1"/>
  <c r="F140" i="1" l="1"/>
  <c r="F141" i="1"/>
  <c r="F142" i="1"/>
  <c r="F135" i="1" l="1"/>
  <c r="F136" i="1"/>
  <c r="F137" i="1"/>
  <c r="F138" i="1"/>
  <c r="F139" i="1"/>
  <c r="F132" i="1" l="1"/>
  <c r="F133" i="1"/>
  <c r="F134" i="1"/>
  <c r="F128" i="1" l="1"/>
  <c r="F129" i="1"/>
  <c r="F130" i="1"/>
  <c r="F131" i="1"/>
  <c r="F127" i="1" l="1"/>
  <c r="F122" i="1" l="1"/>
  <c r="F123" i="1"/>
  <c r="F124" i="1"/>
  <c r="F125" i="1"/>
  <c r="F126" i="1"/>
  <c r="F120" i="1" l="1"/>
  <c r="F121" i="1"/>
  <c r="F119" i="1" l="1"/>
  <c r="F115" i="1"/>
  <c r="F116" i="1"/>
  <c r="F117" i="1"/>
  <c r="F118" i="1"/>
  <c r="F112" i="1"/>
  <c r="F113" i="1"/>
  <c r="F114" i="1"/>
  <c r="F103" i="1" l="1"/>
  <c r="F104" i="1"/>
  <c r="F105" i="1"/>
  <c r="F106" i="1"/>
  <c r="F107" i="1"/>
  <c r="F108" i="1"/>
  <c r="F109" i="1"/>
  <c r="F110" i="1"/>
  <c r="F111" i="1"/>
  <c r="F100" i="1" l="1"/>
  <c r="F101" i="1"/>
  <c r="F102" i="1"/>
  <c r="F96" i="1"/>
  <c r="F97" i="1"/>
  <c r="F98" i="1"/>
  <c r="F99" i="1"/>
  <c r="F95" i="1"/>
  <c r="F94" i="1" l="1"/>
  <c r="F85" i="1"/>
  <c r="F86" i="1"/>
  <c r="F87" i="1"/>
  <c r="F88" i="1"/>
  <c r="F89" i="1"/>
  <c r="F90" i="1"/>
  <c r="F91" i="1"/>
  <c r="F92" i="1"/>
  <c r="F93" i="1"/>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2" i="1"/>
</calcChain>
</file>

<file path=xl/sharedStrings.xml><?xml version="1.0" encoding="utf-8"?>
<sst xmlns="http://schemas.openxmlformats.org/spreadsheetml/2006/main" count="5487" uniqueCount="3681">
  <si>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</si>
  <si>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</si>
  <si>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</si>
  <si>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</si>
  <si>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</si>
  <si>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</si>
  <si>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</si>
  <si>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</si>
  <si>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</si>
  <si>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</si>
  <si>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</si>
  <si>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</si>
  <si>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</si>
  <si>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</si>
  <si>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</si>
  <si>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</si>
  <si>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</si>
  <si>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</si>
  <si>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</si>
  <si>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</si>
  <si>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</si>
  <si>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</si>
  <si>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</si>
  <si>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</si>
  <si>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</si>
  <si>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</si>
  <si>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</si>
  <si>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</si>
  <si>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</si>
  <si>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</si>
  <si>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</si>
  <si>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</si>
  <si>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</si>
  <si>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</si>
  <si>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</si>
  <si>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</si>
  <si>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</si>
  <si>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</si>
  <si>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</si>
  <si>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</si>
  <si>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</si>
  <si>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</si>
  <si>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</si>
  <si>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</si>
  <si>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</si>
  <si>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</si>
  <si>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</si>
  <si>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</si>
  <si>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</si>
  <si>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</si>
  <si>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</si>
  <si>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</si>
  <si>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</si>
  <si>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</si>
  <si>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</si>
  <si>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</si>
  <si>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</si>
  <si>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</si>
  <si>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</si>
  <si>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</si>
  <si>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</si>
  <si>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</si>
  <si>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</si>
  <si>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</si>
  <si>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</si>
  <si>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</si>
  <si>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</si>
  <si>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</si>
  <si>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</si>
  <si>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</si>
  <si>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</si>
  <si>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</si>
  <si>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</si>
  <si>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</si>
  <si>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</si>
  <si>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</si>
  <si>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</si>
  <si>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</si>
  <si>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</si>
  <si>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</si>
  <si>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</si>
  <si>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</si>
  <si>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</si>
  <si>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</si>
  <si>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</si>
  <si>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</si>
  <si>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</si>
  <si>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</si>
  <si>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</si>
  <si>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</si>
  <si>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</si>
  <si>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</si>
  <si>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</si>
  <si>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</si>
  <si>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</si>
  <si>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</si>
  <si>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</si>
  <si>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</si>
  <si>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</si>
  <si>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</si>
  <si>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</si>
  <si>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</si>
  <si>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</si>
  <si>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</si>
  <si>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</si>
  <si>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</si>
  <si>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</si>
  <si>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</si>
  <si>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</si>
  <si>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</si>
  <si>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</si>
  <si>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</si>
  <si>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</si>
  <si>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</si>
  <si>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</si>
  <si>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</si>
  <si>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</si>
  <si>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</si>
  <si>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</si>
  <si>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</si>
  <si>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</si>
  <si>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</si>
  <si>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</si>
  <si>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</si>
  <si>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</si>
  <si>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</si>
  <si>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</si>
  <si>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</si>
  <si>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</si>
  <si>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</si>
  <si>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</si>
  <si>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</si>
  <si>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</si>
  <si>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</si>
  <si>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</si>
  <si>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</si>
  <si>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</si>
  <si>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</si>
  <si>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</si>
  <si>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</si>
  <si>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</si>
  <si>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</si>
  <si>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</si>
  <si>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</si>
  <si>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</si>
  <si>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</si>
  <si>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</si>
  <si>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</si>
  <si>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</si>
  <si>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</si>
  <si>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</si>
  <si>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</si>
  <si>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</si>
  <si>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</si>
  <si>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</si>
  <si>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</si>
  <si>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</si>
  <si>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</si>
  <si>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</si>
  <si>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</si>
  <si>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</si>
  <si>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</si>
  <si>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</si>
  <si>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</si>
  <si>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</si>
  <si>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</si>
  <si>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</si>
  <si>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</si>
  <si>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</si>
  <si>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</si>
  <si>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</si>
  <si>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</si>
  <si>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</si>
  <si>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</si>
  <si>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</si>
  <si>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</si>
  <si>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</si>
  <si>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</si>
  <si>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</si>
  <si>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</si>
  <si>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</si>
  <si>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</si>
  <si>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</si>
  <si>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</si>
  <si>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</si>
  <si>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</si>
  <si>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</si>
  <si>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</si>
  <si>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</si>
  <si>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</si>
  <si>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</si>
  <si>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</si>
  <si>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</si>
  <si>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</si>
  <si>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</si>
  <si>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</si>
  <si>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</si>
  <si>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</si>
  <si>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</si>
  <si>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</si>
  <si>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</si>
  <si>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</si>
  <si>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</si>
  <si>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</si>
  <si>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</si>
  <si>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</si>
  <si>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</si>
  <si>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</si>
  <si>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</si>
  <si>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</si>
  <si>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</si>
  <si>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</si>
  <si>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</si>
  <si>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</si>
  <si>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</si>
  <si>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</si>
  <si>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</si>
  <si>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</si>
  <si>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</si>
  <si>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</si>
  <si>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</si>
  <si>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</si>
  <si>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</si>
  <si>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</si>
  <si>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</si>
  <si>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</si>
  <si>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</si>
  <si>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</si>
  <si>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</si>
  <si>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</si>
  <si>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</si>
  <si>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</si>
  <si>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</si>
  <si>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</si>
  <si>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</si>
  <si>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</si>
  <si>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</si>
  <si>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</si>
  <si>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</si>
  <si>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</si>
  <si>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</si>
  <si>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</si>
  <si>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</si>
  <si>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</si>
  <si>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</si>
  <si>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</si>
  <si>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</si>
  <si>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</si>
  <si>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</si>
  <si>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</si>
  <si>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</si>
  <si>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</si>
  <si>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</si>
  <si>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</si>
  <si>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</si>
  <si>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</si>
  <si>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</si>
  <si>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</si>
  <si>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</si>
  <si>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</si>
  <si>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</si>
  <si>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</si>
  <si>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</si>
  <si>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</si>
  <si>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</si>
  <si>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</si>
  <si>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</si>
  <si>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</si>
  <si>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</si>
  <si>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</si>
  <si>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</si>
  <si>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</si>
  <si>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</si>
  <si>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</si>
  <si>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</si>
  <si>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</si>
  <si>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</si>
  <si>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</si>
  <si>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</si>
  <si>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</si>
  <si>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</si>
  <si>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</si>
  <si>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</si>
  <si>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</si>
  <si>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</si>
  <si>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</si>
  <si>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</si>
  <si>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</si>
  <si>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</si>
  <si>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</si>
  <si>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</si>
  <si>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</si>
  <si>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</si>
  <si>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</si>
  <si>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</si>
  <si>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</si>
  <si>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</si>
  <si>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</si>
  <si>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</si>
  <si>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</si>
  <si>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</si>
  <si>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</si>
  <si>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</si>
  <si>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</si>
  <si>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</si>
  <si>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</si>
  <si>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</si>
  <si>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</si>
  <si>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</si>
  <si>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</si>
  <si>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</si>
  <si>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</si>
  <si>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</si>
  <si>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</si>
  <si>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</si>
  <si>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</si>
  <si>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</si>
  <si>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</si>
  <si>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</si>
  <si>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</si>
  <si>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</si>
  <si>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</si>
  <si>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</si>
  <si>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</si>
  <si>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</si>
  <si>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</si>
  <si>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</si>
  <si>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</si>
  <si>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</si>
  <si>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</si>
  <si>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</si>
  <si>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</si>
  <si>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</si>
  <si>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</si>
  <si>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</si>
  <si>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</si>
  <si>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</si>
  <si>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</si>
  <si>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</si>
  <si>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</si>
  <si>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</si>
  <si>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</si>
  <si>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</si>
  <si>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</si>
  <si>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</si>
  <si>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</si>
  <si>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</si>
  <si>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</si>
  <si>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</si>
  <si>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</si>
  <si>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</si>
  <si>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</si>
  <si>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</si>
  <si>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</si>
  <si>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</si>
  <si>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</si>
  <si>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</si>
  <si>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</si>
  <si>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</si>
  <si>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</si>
  <si>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</si>
  <si>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</si>
  <si>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</si>
  <si>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</si>
  <si>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</si>
  <si>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</si>
  <si>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</si>
  <si>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</si>
  <si>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</si>
  <si>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</si>
  <si>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</si>
  <si>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</si>
  <si>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</si>
  <si>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</si>
  <si>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</si>
  <si>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</si>
  <si>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</si>
  <si>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</si>
  <si>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</si>
  <si>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</si>
  <si>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</si>
  <si>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</si>
  <si>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</si>
  <si>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</si>
  <si>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</si>
  <si>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</si>
  <si>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</si>
  <si>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</si>
  <si>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</si>
  <si>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</si>
  <si>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</si>
  <si>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</si>
  <si>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</si>
  <si>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</si>
  <si>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</si>
  <si>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</si>
  <si>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</si>
  <si>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</si>
  <si>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</si>
  <si>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</si>
  <si>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</si>
  <si>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</si>
  <si>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</si>
  <si>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</si>
  <si>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</si>
  <si>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</si>
  <si>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</si>
  <si>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</si>
  <si>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</si>
  <si>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</si>
  <si>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</si>
  <si>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</si>
  <si>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</si>
  <si>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</si>
  <si>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</si>
  <si>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</si>
  <si>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</si>
  <si>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</si>
  <si>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</si>
  <si>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</si>
  <si>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</si>
  <si>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</si>
  <si>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</si>
  <si>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</si>
  <si>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</si>
  <si>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</si>
  <si>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</si>
  <si>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</si>
  <si>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</si>
  <si>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</si>
  <si>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</si>
  <si>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</si>
  <si>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</si>
  <si>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</si>
  <si>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</si>
  <si>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</si>
  <si>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</si>
  <si>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</si>
  <si>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</si>
  <si>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</si>
  <si>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</si>
  <si>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</si>
  <si>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</si>
  <si>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</si>
  <si>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</si>
  <si>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</si>
  <si>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</si>
  <si>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</si>
  <si>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</si>
  <si>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</si>
  <si>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</si>
  <si>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</si>
  <si>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</si>
  <si>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</si>
  <si>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</si>
  <si>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</si>
  <si>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</si>
  <si>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</si>
  <si>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</si>
  <si>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</si>
  <si>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</si>
  <si>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</si>
  <si>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</si>
  <si>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</si>
  <si>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</si>
  <si>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</si>
  <si>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</si>
  <si>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</si>
  <si>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</si>
  <si>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</si>
  <si>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</si>
  <si>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</si>
  <si>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</si>
  <si>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</si>
  <si>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</si>
  <si>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</si>
  <si>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</si>
  <si>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</si>
  <si>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</si>
  <si>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</si>
  <si>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</si>
  <si>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</si>
  <si>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</si>
  <si>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</si>
  <si>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</si>
  <si>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</si>
  <si>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</si>
  <si>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</si>
  <si>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</si>
  <si>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</si>
  <si>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</si>
  <si>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</si>
  <si>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</si>
  <si>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</si>
  <si>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</si>
  <si>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</si>
  <si>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</si>
  <si>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</si>
  <si>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</si>
  <si>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</si>
  <si>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</si>
  <si>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</si>
  <si>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</si>
  <si>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</si>
  <si>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</si>
  <si>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</si>
  <si>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</si>
  <si>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</si>
  <si>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</si>
  <si>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</si>
  <si>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</si>
  <si>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</si>
  <si>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</si>
  <si>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</si>
  <si>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</si>
  <si>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</si>
  <si>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</si>
  <si>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</si>
  <si>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</si>
  <si>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</si>
  <si>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</si>
  <si>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</si>
  <si>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</si>
  <si>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</si>
  <si>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</si>
  <si>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</si>
  <si>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</si>
  <si>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</si>
  <si>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</si>
  <si>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</si>
  <si>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</si>
  <si>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</si>
  <si>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</si>
  <si>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</si>
  <si>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</si>
  <si>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</si>
  <si>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</si>
  <si>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</si>
  <si>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</si>
  <si>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</si>
  <si>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</si>
  <si>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</si>
  <si>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</si>
  <si>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</si>
  <si>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</si>
  <si>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</si>
  <si>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</si>
  <si>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</si>
  <si>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</si>
  <si>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</si>
  <si>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</si>
  <si>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</si>
  <si>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</si>
  <si>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</si>
  <si>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</si>
  <si>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</si>
  <si>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</si>
  <si>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</si>
  <si>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</si>
  <si>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</si>
  <si>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</si>
  <si>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</si>
  <si>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</si>
  <si>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</si>
  <si>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</si>
  <si>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</si>
  <si>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</si>
  <si>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</si>
  <si>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</si>
  <si>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</si>
  <si>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</si>
  <si>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</si>
  <si>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</si>
  <si>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</si>
  <si>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</si>
  <si>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</si>
  <si>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</si>
  <si>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</si>
  <si>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</si>
  <si>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</si>
  <si>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</si>
  <si>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</si>
  <si>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</si>
  <si>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</si>
  <si>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</si>
  <si>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</si>
  <si>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</si>
  <si>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</si>
  <si>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</si>
  <si>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</si>
  <si>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</si>
  <si>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</si>
  <si>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</si>
  <si>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</si>
  <si>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</si>
  <si>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</si>
  <si>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</si>
  <si>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</si>
  <si>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</si>
  <si>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</si>
  <si>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</si>
  <si>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</si>
  <si>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</si>
  <si>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</si>
  <si>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</si>
  <si>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</si>
  <si>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</si>
  <si>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</si>
  <si>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</si>
  <si>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</si>
  <si>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</si>
  <si>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</si>
  <si>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</si>
  <si>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</si>
  <si>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</si>
  <si>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</si>
  <si>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</si>
  <si>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</si>
  <si>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</si>
  <si>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</si>
  <si>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</si>
  <si>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</si>
  <si>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</si>
  <si>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</si>
  <si>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</si>
  <si>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</si>
  <si>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</si>
  <si>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</si>
  <si>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</si>
  <si>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</si>
  <si>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</si>
  <si>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</si>
  <si>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</si>
  <si>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</si>
  <si>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</si>
  <si>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</si>
  <si>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</si>
  <si>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</si>
  <si>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</si>
  <si>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</si>
  <si>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</si>
  <si>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</si>
  <si>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</si>
  <si>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</si>
  <si>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</si>
  <si>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</si>
  <si>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</si>
  <si>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</si>
  <si>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</si>
  <si>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</si>
  <si>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</si>
  <si>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</si>
  <si>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</si>
  <si>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</si>
  <si>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</si>
  <si>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</si>
  <si>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</si>
  <si>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</si>
  <si>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</si>
  <si>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</si>
  <si>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</si>
  <si>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</si>
  <si>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</si>
  <si>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</si>
  <si>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</si>
  <si>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</si>
  <si>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</si>
  <si>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</si>
  <si>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</si>
  <si>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</si>
  <si>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</si>
  <si>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</si>
  <si>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</si>
  <si>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</si>
  <si>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</si>
  <si>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</si>
  <si>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</si>
  <si>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</si>
  <si>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</si>
  <si>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</si>
  <si>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</si>
  <si>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</si>
  <si>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</si>
  <si>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</si>
  <si>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</si>
  <si>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</si>
  <si>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</si>
  <si>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</si>
  <si>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</si>
  <si>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</si>
  <si>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</si>
  <si>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</si>
  <si>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</si>
  <si>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</si>
  <si>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</si>
  <si>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</si>
  <si>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</si>
  <si>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</si>
  <si>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</si>
  <si>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</si>
  <si>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</si>
  <si>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</si>
  <si>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</si>
  <si>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</si>
  <si>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</si>
  <si>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</si>
  <si>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</si>
  <si>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</si>
  <si>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</si>
  <si>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</si>
  <si>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</si>
  <si>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</si>
  <si>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</si>
  <si>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</si>
  <si>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</si>
  <si>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</si>
  <si>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</si>
  <si>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</si>
  <si>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</si>
  <si>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</si>
  <si>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</si>
  <si>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</si>
  <si>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</si>
  <si>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</si>
  <si>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</si>
  <si>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</si>
  <si>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</si>
  <si>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</si>
  <si>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</si>
  <si>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</si>
  <si>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</si>
  <si>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</si>
  <si>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</si>
  <si>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</si>
  <si>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</si>
  <si>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</si>
  <si>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</si>
  <si>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</si>
  <si>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</si>
  <si>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</si>
  <si>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</si>
  <si>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</si>
  <si>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</si>
  <si>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</si>
  <si>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</si>
  <si>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</si>
  <si>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</si>
  <si>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</si>
  <si>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</si>
  <si>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</si>
  <si>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</si>
  <si>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</si>
  <si>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</si>
  <si>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</si>
  <si>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</si>
  <si>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</si>
  <si>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</si>
  <si>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</si>
  <si>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</si>
  <si>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</si>
  <si>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</si>
  <si>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</si>
  <si>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</si>
  <si>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</si>
  <si>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</si>
  <si>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</si>
  <si>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</si>
  <si>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</si>
  <si>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</si>
  <si>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</si>
  <si>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</si>
  <si>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</si>
  <si>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</si>
  <si>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</si>
  <si>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</si>
  <si>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</si>
  <si>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</si>
  <si>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</si>
  <si>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</si>
  <si>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</si>
  <si>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</si>
  <si>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</si>
  <si>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</si>
  <si>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</si>
  <si>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</si>
  <si>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</si>
  <si>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</si>
  <si>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</si>
  <si>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</si>
  <si>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</si>
  <si>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</si>
  <si>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</si>
  <si>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</si>
  <si>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</si>
  <si>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</si>
  <si>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</si>
  <si>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</si>
  <si>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</si>
  <si>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</si>
  <si>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</si>
  <si>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</si>
  <si>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</si>
  <si>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</si>
  <si>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</si>
  <si>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</si>
  <si>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</si>
  <si>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</si>
  <si>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</si>
  <si>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</si>
  <si>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</si>
  <si>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</si>
  <si>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</si>
  <si>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</si>
  <si>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</si>
  <si>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</si>
  <si>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</si>
  <si>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</si>
  <si>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</si>
  <si>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</si>
  <si>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</si>
  <si>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</si>
  <si>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</si>
  <si>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</si>
  <si>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</si>
  <si>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</si>
  <si>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</si>
  <si>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</si>
  <si>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</si>
  <si>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</si>
  <si>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</si>
  <si>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</si>
  <si>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</si>
  <si>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</si>
  <si>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</si>
  <si>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</si>
  <si>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</si>
  <si>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</si>
  <si>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</si>
  <si>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</si>
  <si>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</si>
  <si>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</si>
  <si>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</si>
  <si>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</si>
  <si>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</si>
  <si>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</si>
  <si>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</si>
  <si>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</si>
  <si>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</si>
  <si>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</si>
  <si>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</si>
  <si>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</si>
  <si>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</si>
  <si>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</si>
  <si>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</si>
  <si>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</si>
  <si>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</si>
  <si>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</si>
  <si>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</si>
  <si>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</si>
  <si>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</si>
  <si>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</si>
  <si>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</si>
  <si>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</si>
  <si>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</si>
  <si>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</si>
  <si>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</si>
  <si>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</si>
  <si>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</si>
  <si>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</si>
  <si>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</si>
  <si>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</si>
  <si>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</si>
  <si>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</si>
  <si>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</si>
  <si>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</si>
  <si>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</si>
  <si>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</si>
  <si>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</si>
  <si>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</si>
  <si>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</si>
  <si>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</si>
  <si>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</si>
  <si>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</si>
  <si>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</si>
  <si>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</si>
  <si>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</si>
  <si>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</si>
  <si>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</si>
  <si>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</si>
  <si>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</si>
  <si>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</si>
  <si>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</si>
  <si>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</si>
  <si>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</si>
  <si>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</si>
  <si>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</si>
  <si>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</si>
  <si>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</si>
  <si>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</si>
  <si>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</si>
  <si>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</si>
  <si>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</si>
  <si>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</si>
  <si>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</si>
  <si>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</si>
  <si>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</si>
  <si>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</si>
  <si>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</si>
  <si>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</si>
  <si>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</si>
  <si>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</si>
  <si>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</si>
  <si>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</si>
  <si>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</si>
  <si>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</si>
  <si>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</si>
  <si>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</si>
  <si>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</si>
  <si>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</si>
  <si>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</si>
  <si>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</si>
  <si>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</si>
  <si>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</si>
  <si>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</si>
  <si>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</si>
  <si>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</si>
  <si>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</si>
  <si>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</si>
  <si>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</si>
  <si>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</si>
  <si>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</si>
  <si>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</si>
  <si>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</si>
  <si>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</si>
  <si>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</si>
  <si>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</si>
  <si>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</si>
  <si>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</si>
  <si>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</si>
  <si>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</si>
  <si>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</si>
  <si>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</si>
  <si>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</si>
  <si>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</si>
  <si>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</si>
  <si>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</si>
  <si>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</si>
  <si>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</si>
  <si>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</si>
  <si>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</si>
  <si>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</si>
  <si>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</si>
  <si>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</si>
  <si>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</si>
  <si>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</si>
  <si>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</si>
  <si>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</si>
  <si>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</si>
  <si>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</si>
  <si>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</si>
  <si>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</si>
  <si>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</si>
  <si>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</si>
  <si>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</si>
  <si>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</si>
  <si>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</si>
  <si>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</si>
  <si>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</si>
  <si>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</si>
  <si>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</si>
  <si>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</si>
  <si>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</si>
  <si>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</si>
  <si>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</si>
  <si>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</si>
  <si>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</si>
  <si>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</si>
  <si>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</si>
  <si>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</si>
  <si>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</si>
  <si>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</si>
  <si>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</si>
  <si>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</si>
  <si>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</si>
  <si>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</si>
  <si>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</si>
  <si>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</si>
  <si>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</si>
  <si>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</si>
  <si>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</si>
  <si>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</si>
  <si>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</si>
  <si>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</si>
  <si>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</si>
  <si>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</si>
  <si>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</si>
  <si>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</si>
  <si>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</si>
  <si>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</si>
  <si>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</si>
  <si>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</si>
  <si>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</si>
  <si>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</si>
  <si>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</si>
  <si>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</si>
  <si>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</si>
  <si>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</si>
  <si>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</si>
  <si>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</si>
  <si>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</si>
  <si>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</si>
  <si>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</si>
  <si>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</si>
  <si>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</si>
  <si>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</si>
  <si>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</si>
  <si>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</si>
  <si>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</si>
  <si>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</si>
  <si>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</si>
  <si>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</si>
  <si>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</si>
  <si>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</si>
  <si>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</si>
  <si>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</si>
  <si>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</si>
  <si>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</si>
  <si>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</si>
  <si>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</si>
  <si>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</si>
  <si>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</si>
  <si>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</si>
  <si>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</si>
  <si>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</si>
  <si>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</si>
  <si>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</si>
  <si>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</si>
  <si>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</si>
  <si>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</si>
  <si>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</si>
  <si>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</si>
  <si>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</si>
  <si>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</si>
  <si>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</si>
  <si>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</si>
  <si>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</si>
  <si>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</si>
  <si>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</si>
  <si>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</si>
  <si>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</si>
  <si>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</si>
  <si>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</si>
  <si>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</si>
  <si>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</si>
  <si>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</si>
  <si>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</si>
  <si>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</si>
  <si>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</si>
  <si>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</si>
  <si>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</si>
  <si>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</si>
  <si>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</si>
  <si>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</si>
  <si>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</si>
  <si>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</si>
  <si>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</si>
  <si>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</si>
  <si>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</si>
  <si>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</si>
  <si>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</si>
  <si>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</si>
  <si>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</si>
  <si>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</si>
  <si>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</si>
  <si>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</si>
  <si>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</si>
  <si>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</si>
  <si>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</si>
  <si>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</si>
  <si>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</si>
  <si>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</si>
  <si>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</si>
  <si>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</si>
  <si>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</si>
  <si>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</si>
  <si>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</si>
  <si>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</si>
  <si>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</si>
  <si>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</si>
  <si>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</si>
  <si>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</si>
  <si>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</si>
  <si>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</si>
  <si>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</si>
  <si>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</si>
  <si>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</si>
  <si>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</si>
  <si>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</si>
  <si>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</si>
  <si>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</si>
  <si>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</si>
  <si>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</si>
  <si>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</si>
  <si>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</si>
  <si>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</si>
  <si>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</si>
  <si>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</si>
  <si>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</si>
  <si>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</si>
  <si>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</si>
  <si>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</si>
  <si>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</si>
  <si>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</si>
  <si>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</si>
  <si>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</si>
  <si>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</si>
  <si>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</si>
  <si>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</si>
  <si>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</si>
  <si>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</si>
  <si>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</si>
  <si>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</si>
  <si>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</si>
  <si>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</si>
  <si>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</si>
  <si>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</si>
  <si>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</si>
  <si>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</si>
  <si>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</si>
  <si>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</si>
  <si>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</si>
  <si>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</si>
  <si>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</si>
  <si>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</si>
  <si>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</si>
  <si>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</si>
  <si>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</si>
  <si>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</si>
  <si>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</si>
  <si>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</si>
  <si>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</si>
  <si>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</si>
  <si>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</si>
  <si>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</si>
  <si>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</si>
  <si>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</si>
  <si>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</si>
  <si>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</si>
  <si>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</si>
  <si>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</si>
  <si>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</si>
  <si>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</si>
  <si>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</si>
  <si>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</si>
  <si>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</si>
  <si>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</si>
  <si>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</si>
  <si>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</si>
  <si>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</si>
  <si>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</si>
  <si>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</si>
  <si>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</si>
  <si>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</si>
  <si>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</si>
  <si>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</si>
  <si>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</si>
  <si>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</si>
  <si>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</si>
  <si>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</si>
  <si>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</si>
  <si>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</si>
  <si>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</si>
  <si>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</si>
  <si>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</si>
  <si>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</si>
  <si>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</si>
  <si>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</si>
  <si>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</si>
  <si>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</si>
  <si>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</si>
  <si>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</si>
  <si>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</si>
  <si>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</si>
  <si>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</si>
  <si>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</si>
  <si>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</si>
  <si>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</si>
  <si>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</si>
  <si>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</si>
  <si>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</si>
  <si>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</si>
  <si>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</si>
  <si>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</si>
  <si>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</si>
  <si>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</si>
  <si>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</si>
  <si>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</si>
  <si>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</si>
  <si>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</si>
  <si>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</si>
  <si>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</si>
  <si>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</si>
  <si>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</si>
  <si>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</si>
  <si>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</si>
  <si>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</si>
  <si>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</si>
  <si>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</si>
  <si>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</si>
  <si>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</si>
  <si>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</si>
  <si>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</si>
  <si>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</si>
  <si>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</si>
  <si>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</si>
  <si>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</si>
  <si>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</si>
  <si>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</si>
  <si>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</si>
  <si>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</si>
  <si>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</si>
  <si>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</si>
  <si>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</si>
  <si>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</si>
  <si>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</si>
  <si>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</si>
  <si>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</si>
  <si>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</si>
  <si>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</si>
  <si>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</si>
  <si>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</si>
  <si>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</si>
  <si>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</si>
  <si>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</si>
  <si>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</si>
  <si>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</si>
  <si>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</si>
  <si>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</si>
  <si>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</si>
  <si>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</si>
  <si>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</si>
  <si>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</si>
  <si>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</si>
  <si>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</si>
  <si>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</si>
  <si>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</si>
  <si>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</si>
  <si>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</si>
  <si>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</si>
  <si>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</si>
  <si>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</si>
  <si>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</si>
  <si>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</si>
  <si>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</si>
  <si>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</si>
  <si>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</si>
  <si>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</si>
  <si>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</si>
  <si>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</si>
  <si>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</si>
  <si>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</si>
  <si>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</si>
  <si>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</si>
  <si>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</si>
  <si>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</si>
  <si>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</si>
  <si>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</si>
  <si>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</si>
  <si>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</si>
  <si>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</si>
  <si>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</si>
  <si>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</si>
  <si>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</si>
  <si>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</si>
  <si>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</si>
  <si>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</si>
  <si>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</si>
  <si>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</si>
  <si>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</si>
  <si>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</si>
  <si>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</si>
  <si>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</si>
  <si>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</si>
  <si>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</si>
  <si>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</si>
  <si>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</si>
  <si>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</si>
  <si>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</si>
  <si>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</si>
  <si>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</si>
  <si>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</si>
  <si>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</si>
  <si>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</si>
  <si>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</si>
  <si>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</si>
  <si>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</si>
  <si>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</si>
  <si>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</si>
  <si>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</si>
  <si>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</si>
  <si>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</si>
  <si>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</si>
  <si>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</si>
  <si>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</si>
  <si>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</si>
  <si>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</si>
  <si>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</si>
  <si>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</si>
  <si>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</si>
  <si>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</si>
  <si>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</si>
  <si>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</si>
  <si>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</si>
  <si>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</si>
  <si>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</si>
  <si>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</si>
  <si>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</si>
  <si>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</si>
  <si>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</si>
  <si>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</si>
  <si>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</si>
  <si>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</si>
  <si>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</si>
  <si>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</si>
  <si>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</si>
  <si>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</si>
  <si>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</si>
  <si>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</si>
  <si>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</si>
  <si>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</si>
  <si>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</si>
  <si>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</si>
  <si>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</si>
  <si>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</si>
  <si>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</si>
  <si>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</si>
  <si>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</si>
  <si>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</si>
  <si>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</si>
  <si>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</si>
  <si>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</si>
  <si>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</si>
  <si>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</si>
  <si>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</si>
  <si>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</si>
  <si>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</si>
  <si>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</si>
  <si>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</si>
  <si>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</si>
  <si>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</si>
  <si>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</si>
  <si>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</si>
  <si>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</si>
  <si>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</si>
  <si>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</si>
  <si>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</si>
  <si>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</si>
  <si>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</si>
  <si>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</si>
  <si>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</si>
  <si>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</si>
  <si>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</si>
  <si>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</si>
  <si>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</si>
  <si>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</si>
  <si>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</si>
  <si>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</si>
  <si>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</si>
  <si>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</si>
  <si>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</si>
  <si>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</si>
  <si>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</si>
  <si>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</si>
  <si>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</si>
  <si>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</si>
  <si>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</si>
  <si>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</si>
  <si>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</si>
  <si>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</si>
  <si>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</si>
  <si>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</si>
  <si>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</si>
  <si>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</si>
  <si>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</si>
  <si>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</si>
  <si>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</si>
  <si>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</si>
  <si>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</si>
  <si>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</si>
  <si>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</si>
  <si>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</si>
  <si>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</si>
  <si>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</si>
  <si>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</si>
  <si>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</si>
  <si>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</si>
  <si>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</si>
  <si>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</si>
  <si>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</si>
  <si>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</si>
  <si>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</si>
  <si>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</si>
  <si>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</si>
  <si>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</si>
  <si>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</si>
  <si>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</si>
  <si>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</si>
  <si>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</si>
  <si>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</si>
  <si>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</si>
  <si>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</si>
  <si>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</si>
  <si>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</si>
  <si>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</si>
  <si>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</si>
  <si>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</si>
  <si>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</si>
  <si>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</si>
  <si>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</si>
  <si>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</si>
  <si>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</si>
  <si>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</si>
  <si>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</si>
  <si>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</si>
  <si>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</si>
  <si>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</si>
  <si>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</si>
  <si>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</si>
  <si>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</si>
  <si>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</si>
  <si>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</si>
  <si>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</si>
  <si>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</si>
  <si>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</si>
  <si>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</si>
  <si>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</si>
  <si>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</si>
  <si>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</si>
  <si>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</si>
  <si>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</si>
  <si>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</si>
  <si>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</si>
  <si>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</si>
  <si>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</si>
  <si>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</si>
  <si>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</si>
  <si>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</si>
  <si>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</si>
  <si>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</si>
  <si>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</si>
  <si>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</si>
  <si>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</si>
  <si>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</si>
  <si>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</si>
  <si>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</si>
  <si>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</si>
  <si>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</si>
  <si>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</si>
  <si>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</si>
  <si>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</si>
  <si>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</si>
  <si>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</si>
  <si>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</si>
  <si>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</si>
  <si>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</si>
  <si>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r>
      <rPr>
        <sz val="12"/>
        <rFont val="細明體"/>
        <family val="3"/>
        <charset val="136"/>
      </rPr>
      <t>《小兵立大功》率領召喚師、英雄和小兵擊潰敵軍</t>
    </r>
    <r>
      <rPr>
        <sz val="12"/>
        <rFont val="Arial"/>
        <family val="2"/>
      </rPr>
      <t xml:space="preserve"> </t>
    </r>
    <r>
      <rPr>
        <sz val="12"/>
        <rFont val="細明體"/>
        <family val="3"/>
        <charset val="136"/>
      </rPr>
      <t>打造專屬軍團</t>
    </r>
    <r>
      <rPr>
        <sz val="12"/>
        <rFont val="Arial"/>
        <family val="2"/>
      </rPr>
      <t xml:space="preserve"> </t>
    </r>
    <r>
      <rPr>
        <sz val="12"/>
        <rFont val="細明體"/>
        <family val="3"/>
        <charset val="136"/>
      </rPr>
      <t>充滿打擊感</t>
    </r>
    <r>
      <rPr>
        <sz val="12"/>
        <rFont val="Arial"/>
        <family val="2"/>
      </rPr>
      <t xml:space="preserve"> </t>
    </r>
    <r>
      <rPr>
        <sz val="12"/>
        <rFont val="細明體"/>
        <family val="3"/>
        <charset val="136"/>
      </rPr>
      <t>展開史詩級戰爭。
從召喚師、英雄、小兵升級中做出選擇，在如同殭屍般移動的敵人圍毆中存活下來！體驗充滿緊張刺激的類</t>
    </r>
    <r>
      <rPr>
        <sz val="12"/>
        <rFont val="Arial"/>
        <family val="2"/>
      </rPr>
      <t>Rogue RPG</t>
    </r>
    <r>
      <rPr>
        <sz val="12"/>
        <rFont val="細明體"/>
        <family val="3"/>
        <charset val="136"/>
      </rPr>
      <t>！
體驗直觀操作及充滿打擊感的休閒系動作手遊！</t>
    </r>
    <phoneticPr fontId="2" type="noConversion"/>
  </si>
  <si>
    <r>
      <rPr>
        <sz val="12"/>
        <rFont val="細明體"/>
        <family val="3"/>
        <charset val="136"/>
      </rPr>
      <t>像素全明星陣容，熱門經典人物大亂鬥
遊戲採用經典的點數風格，帶給玩家濃厚的懷舊感。</t>
    </r>
    <r>
      <rPr>
        <sz val="12"/>
        <rFont val="Arial"/>
        <family val="2"/>
      </rPr>
      <t xml:space="preserve"> </t>
    </r>
    <r>
      <rPr>
        <sz val="12"/>
        <rFont val="細明體"/>
        <family val="3"/>
        <charset val="136"/>
      </rPr>
      <t>每個角色、場景和技能效果都呈現出極具創意和魅力的點數藝術，讓你在回憶經典的同時，享受全新的遊戲體驗。</t>
    </r>
    <phoneticPr fontId="2" type="noConversion"/>
  </si>
  <si>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</si>
  <si>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</si>
  <si>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</si>
  <si>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</si>
  <si>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</si>
  <si>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</si>
  <si>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</si>
  <si>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</si>
  <si>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</si>
  <si>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</si>
  <si>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</si>
  <si>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</si>
  <si>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</si>
  <si>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</si>
  <si>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</si>
  <si>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</si>
  <si>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</si>
  <si>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</si>
  <si>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</si>
  <si>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</si>
  <si>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</si>
  <si>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</si>
  <si>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</si>
  <si>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</si>
  <si>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</si>
  <si>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</si>
  <si>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</si>
  <si>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</si>
  <si>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</si>
  <si>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</si>
  <si>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</si>
  <si>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</si>
  <si>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</si>
  <si>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</si>
  <si>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</si>
  <si>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</si>
  <si>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</si>
  <si>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r>
      <t>4400</t>
    </r>
    <r>
      <rPr>
        <sz val="10"/>
        <color theme="1"/>
        <rFont val="細明體"/>
        <family val="3"/>
        <charset val="136"/>
      </rPr>
      <t>帝國幣</t>
    </r>
    <phoneticPr fontId="2" type="noConversion"/>
  </si>
  <si>
    <t>2100帝國幣</t>
  </si>
  <si>
    <t>400帝國幣</t>
  </si>
  <si>
    <r>
      <t>1320</t>
    </r>
    <r>
      <rPr>
        <sz val="10"/>
        <color theme="1"/>
        <rFont val="細明體"/>
        <family val="3"/>
        <charset val="136"/>
      </rPr>
      <t>鑽石</t>
    </r>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</si>
  <si>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</si>
  <si>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</si>
  <si>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</si>
  <si>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</si>
  <si>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</si>
  <si>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</si>
  <si>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</si>
  <si>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</si>
  <si>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</si>
  <si>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</si>
  <si>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</si>
  <si>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</si>
  <si>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</si>
  <si>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</si>
  <si>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</si>
  <si>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</si>
  <si>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</si>
  <si>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</si>
  <si>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</si>
  <si>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</si>
  <si>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</si>
  <si>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</si>
  <si>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</si>
  <si>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</si>
  <si>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</si>
  <si>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</si>
  <si>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</si>
  <si>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</si>
  <si>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</si>
  <si>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</si>
  <si>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</si>
  <si>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canonical_url</t>
    <phoneticPr fontId="2" type="noConversion"/>
  </si>
  <si>
    <t>Final War：寒霜前線</t>
  </si>
  <si>
    <t>黑夜獵人</t>
  </si>
  <si>
    <r>
      <rPr>
        <sz val="12"/>
        <rFont val="細明體"/>
        <family val="3"/>
        <charset val="136"/>
      </rPr>
      <t>《</t>
    </r>
    <r>
      <rPr>
        <sz val="12"/>
        <rFont val="Arial"/>
        <family val="2"/>
      </rPr>
      <t>Final War</t>
    </r>
    <r>
      <rPr>
        <sz val="12"/>
        <rFont val="細明體"/>
        <family val="3"/>
        <charset val="136"/>
      </rPr>
      <t>：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r>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</si>
  <si>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</si>
  <si>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</si>
  <si>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</si>
  <si>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</si>
  <si>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</si>
  <si>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</si>
  <si>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</si>
  <si>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</si>
  <si>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</si>
  <si>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</si>
  <si>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</si>
  <si>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</si>
  <si>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</si>
  <si>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</si>
  <si>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</si>
  <si>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r>
      <t>《魔法膽道》是一款闇黑像素風格的放置RPG手遊，帶你深入無盡地城展開刷寶冒險。新手上路務必尋找最新的</t>
    </r>
    <r>
      <rPr>
        <b/>
        <sz val="12"/>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2"/>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</si>
  <si>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</si>
  <si>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</si>
  <si>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</si>
  <si>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</si>
  <si>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</si>
  <si>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</si>
  <si>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</si>
  <si>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</si>
  <si>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</si>
  <si>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</si>
  <si>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</si>
  <si>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</si>
  <si>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</si>
  <si>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</si>
  <si>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</si>
  <si>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</si>
  <si>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</si>
  <si>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r>
      <rPr>
        <sz val="12"/>
        <rFont val="細明體"/>
        <family val="3"/>
        <charset val="136"/>
      </rPr>
      <t>《神代紀事》是一款像素風</t>
    </r>
    <r>
      <rPr>
        <sz val="12"/>
        <rFont val="Arial"/>
        <family val="2"/>
      </rPr>
      <t>Roguelite</t>
    </r>
    <r>
      <rPr>
        <sz val="12"/>
        <rFont val="細明體"/>
        <family val="3"/>
        <charset val="136"/>
      </rPr>
      <t>冒險</t>
    </r>
    <r>
      <rPr>
        <sz val="12"/>
        <rFont val="Arial"/>
        <family val="2"/>
      </rPr>
      <t>RPG</t>
    </r>
    <r>
      <rPr>
        <sz val="12"/>
        <rFont val="細明體"/>
        <family val="3"/>
        <charset val="136"/>
      </rPr>
      <t>，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r>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</si>
  <si>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</si>
  <si>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</si>
  <si>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</si>
  <si>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</si>
  <si>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</si>
  <si>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</si>
  <si>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</si>
  <si>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</si>
  <si>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</si>
  <si>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</si>
  <si>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</si>
  <si>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</si>
  <si>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</si>
  <si>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</si>
  <si>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</si>
  <si>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</si>
  <si>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</si>
  <si>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</si>
  <si>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</si>
  <si>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</si>
  <si>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</si>
  <si>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</si>
  <si>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</si>
  <si>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</si>
  <si>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</si>
  <si>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</si>
  <si>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</si>
  <si>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</si>
  <si>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</si>
  <si>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</si>
  <si>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</si>
  <si>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</si>
  <si>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</si>
  <si>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</si>
  <si>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</si>
  <si>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</si>
  <si>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</si>
  <si>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</si>
  <si>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</si>
  <si>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</si>
  <si>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</si>
  <si>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</si>
  <si>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</si>
  <si>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</si>
  <si>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</si>
  <si>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</si>
  <si>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</si>
  <si>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</si>
  <si>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</si>
  <si>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</si>
  <si>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</si>
  <si>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</si>
  <si>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</si>
  <si>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</si>
  <si>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</si>
  <si>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</si>
  <si>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</si>
  <si>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</si>
  <si>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</si>
  <si>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</si>
  <si>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</si>
  <si>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r>
      <rPr>
        <sz val="12"/>
        <rFont val="細明體"/>
        <family val="3"/>
        <charset val="136"/>
      </rPr>
      <t>準備好踏上顛覆傳統的修仙之旅嗎？《真妖獸</t>
    </r>
    <r>
      <rPr>
        <sz val="12"/>
        <rFont val="Arial"/>
        <family val="2"/>
      </rPr>
      <t>!</t>
    </r>
    <r>
      <rPr>
        <sz val="12"/>
        <rFont val="細明體"/>
        <family val="3"/>
        <charset val="136"/>
      </rPr>
      <t>廢柴要修仙》是一款讓你從廢柴逆襲成仙的放置</t>
    </r>
    <r>
      <rPr>
        <sz val="12"/>
        <rFont val="Arial"/>
        <family val="2"/>
      </rPr>
      <t>RPG</t>
    </r>
    <r>
      <rPr>
        <sz val="12"/>
        <rFont val="細明體"/>
        <family val="3"/>
        <charset val="136"/>
      </rPr>
      <t>。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r>
    <phoneticPr fontId="2" type="noConversion"/>
  </si>
  <si>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</si>
  <si>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</si>
  <si>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</si>
  <si>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</si>
  <si>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</si>
  <si>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</si>
  <si>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</si>
  <si>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</si>
  <si>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</si>
  <si>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</si>
  <si>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</si>
  <si>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</si>
  <si>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</si>
  <si>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</si>
  <si>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</si>
  <si>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</si>
  <si>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</si>
  <si>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</si>
  <si>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</si>
  <si>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</si>
  <si>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r>
      <rPr>
        <sz val="12"/>
        <rFont val="細明體"/>
        <family val="3"/>
        <charset val="136"/>
      </rPr>
      <t>《英勇之地》是一款奇幻風格的輕度</t>
    </r>
    <r>
      <rPr>
        <sz val="12"/>
        <rFont val="Arial"/>
        <family val="2"/>
      </rPr>
      <t xml:space="preserve"> Roguelike RPG </t>
    </r>
    <r>
      <rPr>
        <sz val="12"/>
        <rFont val="細明體"/>
        <family val="3"/>
        <charset val="136"/>
      </rPr>
      <t xml:space="preserve">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r>
    <phoneticPr fontId="2" type="noConversion"/>
  </si>
  <si>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</si>
  <si>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</si>
  <si>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</si>
  <si>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</si>
  <si>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</si>
  <si>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</si>
  <si>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</si>
  <si>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</si>
  <si>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</si>
  <si>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</si>
  <si>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</si>
  <si>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</si>
  <si>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</si>
  <si>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</si>
  <si>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</si>
  <si>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</si>
  <si>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</si>
  <si>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</si>
  <si>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</si>
  <si>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</si>
  <si>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</si>
  <si>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</si>
  <si>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</si>
  <si>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</si>
  <si>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</si>
  <si>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</si>
  <si>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</si>
  <si>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</si>
  <si>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</si>
  <si>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</si>
  <si>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</si>
  <si>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</si>
  <si>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</si>
  <si>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</si>
  <si>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</si>
  <si>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</si>
  <si>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</si>
  <si>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</si>
  <si>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</si>
  <si>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r>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t>
    </r>
    <r>
      <rPr>
        <b/>
        <sz val="11"/>
        <color theme="1"/>
        <rFont val="新細明體"/>
        <family val="1"/>
        <charset val="136"/>
        <scheme val="minor"/>
      </rPr>
      <t>禮包碼</t>
    </r>
    <r>
      <rPr>
        <sz val="12"/>
        <color theme="1"/>
        <rFont val="新細明體"/>
        <family val="2"/>
        <scheme val="minor"/>
      </rPr>
      <t>，兌換豐富獎勵以快速提升戰力。若想取得更多優勢，也可考慮安全的</t>
    </r>
    <r>
      <rPr>
        <b/>
        <sz val="11"/>
        <color theme="1"/>
        <rFont val="新細明體"/>
        <family val="1"/>
        <charset val="136"/>
        <scheme val="minor"/>
      </rPr>
      <t>代儲值</t>
    </r>
    <r>
      <rPr>
        <sz val="12"/>
        <color theme="1"/>
        <rFont val="新細明體"/>
        <family val="2"/>
        <scheme val="minor"/>
      </rPr>
      <t>服務，輕鬆獲取稀有道具，打造無堅不摧的勇者團。立即加入，揭開所有勇者的神秘面紗，展開獨一無二的冒險！</t>
    </r>
  </si>
  <si>
    <r>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t>
    </r>
    <r>
      <rPr>
        <b/>
        <sz val="11"/>
        <color theme="1"/>
        <rFont val="新細明體"/>
        <family val="1"/>
        <charset val="136"/>
        <scheme val="minor"/>
      </rPr>
      <t>禮包碼</t>
    </r>
    <r>
      <rPr>
        <sz val="12"/>
        <color theme="1"/>
        <rFont val="新細明體"/>
        <family val="2"/>
        <scheme val="minor"/>
      </rPr>
      <t>，強化您的隊伍。為追求極致體驗，尋找可靠的</t>
    </r>
    <r>
      <rPr>
        <b/>
        <sz val="11"/>
        <color theme="1"/>
        <rFont val="新細明體"/>
        <family val="1"/>
        <charset val="136"/>
        <scheme val="minor"/>
      </rPr>
      <t>代儲值</t>
    </r>
    <r>
      <rPr>
        <sz val="12"/>
        <color theme="1"/>
        <rFont val="新細明體"/>
        <family val="2"/>
        <scheme val="minor"/>
      </rPr>
      <t>管道能助您更快收集角色、解鎖強大力量，帶領異聞社揭開所有事件的真相。</t>
    </r>
  </si>
  <si>
    <r>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t>
    </r>
    <r>
      <rPr>
        <b/>
        <sz val="11"/>
        <color theme="1"/>
        <rFont val="新細明體"/>
        <family val="1"/>
        <charset val="136"/>
        <scheme val="minor"/>
      </rPr>
      <t>禮包碼</t>
    </r>
    <r>
      <rPr>
        <sz val="12"/>
        <color theme="1"/>
        <rFont val="新細明體"/>
        <family val="2"/>
        <scheme val="minor"/>
      </rPr>
      <t>，兌換關鍵資源讓軍團更壯大。若想在初期取得壓倒性優勢，可考慮使用便利的</t>
    </r>
    <r>
      <rPr>
        <b/>
        <sz val="11"/>
        <color theme="1"/>
        <rFont val="新細明體"/>
        <family val="1"/>
        <charset val="136"/>
        <scheme val="minor"/>
      </rPr>
      <t>代儲值</t>
    </r>
    <r>
      <rPr>
        <sz val="12"/>
        <color theme="1"/>
        <rFont val="新細明體"/>
        <family val="2"/>
        <scheme val="minor"/>
      </rPr>
      <t>服務，確保您能輕鬆碾壓前來挑戰的勇者。帶領您的骷髏大軍，征服整個世界！</t>
    </r>
    <phoneticPr fontId="2" type="noConversion"/>
  </si>
  <si>
    <t>https://www.facebook.com/allstarws</t>
  </si>
  <si>
    <t>全明星無雙</t>
    <phoneticPr fontId="2" type="noConversion"/>
  </si>
  <si>
    <r>
      <t>https://apps.apple.com/app/id6748193496</t>
    </r>
    <r>
      <rPr>
        <u/>
        <sz val="12"/>
        <color theme="10"/>
        <rFont val="新細明體"/>
        <family val="1"/>
        <charset val="136"/>
        <scheme val="minor"/>
      </rPr>
      <t>　</t>
    </r>
    <phoneticPr fontId="2" type="noConversion"/>
  </si>
  <si>
    <r>
      <rPr>
        <sz val="12"/>
        <rFont val="細明體"/>
        <family val="3"/>
        <charset val="136"/>
      </rPr>
      <t>《全明星無雙》是一款集結超人氣動漫角色的</t>
    </r>
    <r>
      <rPr>
        <sz val="12"/>
        <rFont val="Arial"/>
        <family val="2"/>
      </rPr>
      <t>3D</t>
    </r>
    <r>
      <rPr>
        <sz val="12"/>
        <rFont val="細明體"/>
        <family val="3"/>
        <charset val="136"/>
      </rPr>
      <t>動作</t>
    </r>
    <r>
      <rPr>
        <sz val="12"/>
        <rFont val="Arial"/>
        <family val="2"/>
      </rPr>
      <t>(</t>
    </r>
    <r>
      <rPr>
        <sz val="12"/>
        <rFont val="細明體"/>
        <family val="3"/>
        <charset val="136"/>
      </rPr>
      <t>盜版</t>
    </r>
    <r>
      <rPr>
        <sz val="12"/>
        <rFont val="Arial"/>
        <family val="2"/>
      </rPr>
      <t>)</t>
    </r>
    <r>
      <rPr>
        <sz val="12"/>
        <rFont val="細明體"/>
        <family val="3"/>
        <charset val="136"/>
      </rPr>
      <t>手遊，打造夢幻的跨次元戰場。遊戲採用次世代技術，呈現華麗戰鬥畫面與流暢連招，帶來前所未有的打擊快感。您可以收集悟空、魯夫、炭治郎等英雄，組建最強隊伍。玩法豐富，有沉浸式主線劇情、</t>
    </r>
    <r>
      <rPr>
        <sz val="12"/>
        <rFont val="Arial"/>
        <family val="2"/>
      </rPr>
      <t>PVP</t>
    </r>
    <r>
      <rPr>
        <sz val="12"/>
        <rFont val="細明體"/>
        <family val="3"/>
        <charset val="136"/>
      </rPr>
      <t>競技場與團隊</t>
    </r>
    <r>
      <rPr>
        <sz val="12"/>
        <rFont val="Arial"/>
        <family val="2"/>
      </rPr>
      <t>Raid</t>
    </r>
    <r>
      <rPr>
        <sz val="12"/>
        <rFont val="細明體"/>
        <family val="3"/>
        <charset val="136"/>
      </rPr>
      <t>副本。為了幫助玩家快速成長，官方經常發放最新的禮包碼，讓您輕鬆獲得稀有道具。</t>
    </r>
    <r>
      <rPr>
        <sz val="12"/>
        <rFont val="Arial"/>
        <family val="2"/>
      </rPr>
      <t>SSbuy</t>
    </r>
    <r>
      <rPr>
        <sz val="12"/>
        <rFont val="細明體"/>
        <family val="3"/>
        <charset val="136"/>
      </rPr>
      <t>也提供便利安全的代儲值服務，確保您消費物超所值，在稱霸全明星的道路上暢行無阻！</t>
    </r>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</si>
  <si>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</si>
  <si>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</si>
  <si>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</si>
  <si>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</si>
  <si>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</si>
  <si>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</si>
  <si>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</si>
  <si>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</si>
  <si>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</si>
  <si>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</si>
  <si>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</si>
  <si>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</si>
  <si>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</si>
  <si>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</si>
  <si>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</si>
  <si>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</si>
  <si>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</si>
  <si>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</si>
  <si>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</si>
  <si>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</si>
  <si>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</si>
  <si>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</si>
  <si>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</si>
  <si>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</si>
  <si>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</si>
  <si>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</si>
  <si>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</si>
  <si>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</si>
  <si>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</si>
  <si>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</si>
  <si>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</si>
  <si>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</si>
  <si>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</si>
  <si>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</si>
  <si>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</si>
  <si>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</si>
  <si>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</si>
  <si>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</si>
  <si>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</si>
  <si>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</si>
  <si>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</si>
  <si>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</si>
  <si>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</si>
  <si>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</si>
  <si>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</si>
  <si>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</si>
  <si>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</si>
  <si>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</si>
  <si>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</si>
  <si>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</si>
  <si>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</si>
  <si>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</si>
  <si>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</si>
  <si>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</si>
  <si>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</si>
  <si>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</si>
  <si>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</si>
  <si>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</si>
  <si>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</si>
  <si>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</si>
  <si>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</si>
  <si>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</si>
  <si>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</si>
  <si>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</si>
  <si>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</si>
  <si>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</si>
  <si>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</si>
  <si>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</si>
  <si>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</si>
  <si>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</si>
  <si>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</si>
  <si>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</si>
  <si>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</si>
  <si>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</si>
  <si>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</si>
  <si>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</si>
  <si>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</si>
  <si>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</si>
  <si>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</si>
  <si>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</si>
  <si>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</si>
  <si>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</si>
  <si>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</si>
  <si>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</si>
  <si>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</si>
  <si>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</si>
  <si>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</si>
  <si>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</si>
  <si>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</si>
  <si>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</si>
  <si>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</si>
  <si>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</si>
  <si>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</si>
  <si>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</si>
  <si>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</si>
  <si>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</si>
  <si>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</si>
  <si>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</si>
  <si>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</si>
  <si>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</si>
  <si>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</si>
  <si>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</si>
  <si>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</si>
  <si>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</si>
  <si>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</si>
  <si>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</si>
  <si>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</si>
  <si>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</si>
  <si>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</si>
  <si>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</si>
  <si>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</si>
  <si>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</si>
  <si>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</si>
  <si>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</si>
  <si>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</si>
  <si>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</si>
  <si>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</si>
  <si>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</si>
  <si>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</si>
  <si>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</si>
  <si>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</si>
  <si>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</si>
  <si>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</si>
  <si>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</si>
  <si>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</si>
  <si>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</si>
  <si>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</si>
  <si>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</si>
  <si>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</si>
  <si>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</si>
  <si>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</si>
  <si>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</si>
  <si>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</si>
  <si>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</si>
  <si>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</si>
  <si>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</si>
  <si>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</si>
  <si>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</si>
  <si>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</si>
  <si>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</si>
  <si>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</si>
  <si>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</si>
  <si>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</si>
  <si>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</si>
  <si>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</si>
  <si>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</si>
  <si>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</si>
  <si>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</si>
  <si>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</si>
  <si>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</si>
  <si>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</si>
  <si>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</si>
  <si>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</si>
  <si>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</si>
  <si>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</si>
  <si>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</si>
  <si>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</si>
  <si>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</si>
  <si>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</si>
  <si>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</si>
  <si>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</si>
  <si>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</si>
  <si>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</si>
  <si>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</si>
  <si>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</si>
  <si>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</si>
  <si>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</si>
  <si>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</si>
  <si>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</si>
  <si>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</si>
  <si>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</si>
  <si>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</si>
  <si>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</si>
  <si>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</si>
  <si>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</si>
  <si>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</si>
  <si>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</si>
  <si>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</si>
  <si>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</si>
  <si>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</si>
  <si>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</si>
  <si>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</si>
  <si>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</si>
  <si>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</si>
  <si>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</si>
  <si>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</si>
  <si>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</si>
  <si>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</si>
  <si>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</si>
  <si>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</si>
  <si>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</si>
  <si>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</si>
  <si>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</si>
  <si>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</si>
  <si>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</si>
  <si>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</si>
  <si>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</si>
  <si>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</si>
  <si>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</si>
  <si>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</si>
  <si>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</si>
  <si>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</si>
  <si>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</si>
  <si>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</si>
  <si>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</si>
  <si>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</si>
  <si>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</si>
  <si>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</si>
  <si>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</si>
  <si>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</si>
  <si>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</si>
  <si>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</si>
  <si>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</si>
  <si>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</si>
  <si>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</si>
  <si>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</si>
  <si>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</si>
  <si>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</si>
  <si>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</si>
  <si>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</si>
  <si>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</si>
  <si>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</si>
  <si>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</si>
  <si>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</si>
  <si>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</si>
  <si>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</si>
  <si>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</si>
  <si>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</si>
  <si>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</si>
  <si>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</si>
  <si>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</si>
  <si>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</si>
  <si>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</si>
  <si>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</si>
  <si>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</si>
  <si>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</si>
  <si>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</si>
  <si>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</si>
  <si>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</si>
  <si>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</si>
  <si>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</si>
  <si>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</si>
  <si>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</si>
  <si>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</si>
  <si>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</si>
  <si>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</si>
  <si>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</si>
  <si>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</si>
  <si>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</si>
  <si>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</si>
  <si>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</si>
  <si>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</si>
  <si>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</si>
  <si>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</si>
  <si>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</si>
  <si>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</si>
  <si>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</si>
  <si>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</si>
  <si>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</si>
  <si>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</si>
  <si>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</si>
  <si>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</si>
  <si>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</si>
  <si>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</si>
  <si>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</si>
  <si>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</si>
  <si>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</si>
  <si>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</si>
  <si>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</si>
  <si>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</si>
  <si>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</si>
  <si>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</si>
  <si>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</si>
  <si>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</si>
  <si>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</si>
  <si>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</si>
  <si>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</si>
  <si>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</si>
  <si>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</si>
  <si>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</si>
  <si>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</si>
  <si>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</si>
  <si>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</si>
  <si>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</si>
  <si>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</si>
  <si>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</si>
  <si>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</si>
  <si>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</si>
  <si>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</si>
  <si>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</si>
  <si>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</si>
  <si>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</si>
  <si>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</si>
  <si>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</si>
  <si>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</si>
  <si>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</si>
  <si>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</si>
  <si>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</si>
  <si>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</si>
  <si>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</si>
  <si>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</si>
  <si>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</si>
  <si>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</si>
  <si>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</si>
  <si>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</si>
  <si>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</si>
  <si>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</si>
  <si>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</si>
  <si>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</si>
  <si>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</si>
  <si>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</si>
  <si>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</si>
  <si>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</si>
  <si>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</si>
  <si>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</si>
  <si>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</si>
  <si>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</si>
  <si>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</si>
  <si>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</si>
  <si>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</si>
  <si>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</si>
  <si>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</si>
  <si>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</si>
  <si>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</si>
  <si>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</si>
  <si>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</si>
  <si>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</si>
  <si>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</si>
  <si>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</si>
  <si>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</si>
  <si>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</si>
  <si>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</si>
  <si>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</si>
  <si>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</si>
  <si>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</si>
  <si>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</si>
  <si>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</si>
  <si>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</si>
  <si>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</si>
  <si>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</si>
  <si>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</si>
  <si>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</si>
  <si>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</si>
  <si>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</si>
  <si>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</si>
  <si>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</si>
  <si>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</si>
  <si>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</si>
  <si>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</si>
  <si>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</si>
  <si>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</si>
  <si>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</si>
  <si>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</si>
  <si>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</si>
  <si>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</si>
  <si>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</si>
  <si>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</si>
  <si>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</si>
  <si>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</si>
  <si>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</si>
  <si>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</si>
  <si>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</si>
  <si>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</si>
  <si>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</si>
  <si>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</si>
  <si>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</si>
  <si>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</si>
  <si>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</si>
  <si>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</si>
  <si>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</si>
  <si>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</si>
  <si>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</si>
  <si>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</si>
  <si>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</si>
  <si>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</si>
  <si>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</si>
  <si>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</si>
  <si>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</si>
  <si>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</si>
  <si>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</si>
  <si>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</si>
  <si>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</si>
  <si>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</si>
  <si>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</si>
  <si>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</si>
  <si>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</si>
  <si>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</si>
  <si>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</si>
  <si>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</si>
  <si>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</si>
  <si>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</si>
  <si>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</si>
  <si>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</si>
  <si>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</si>
  <si>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</si>
  <si>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</si>
  <si>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</si>
  <si>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</si>
  <si>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</si>
  <si>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</si>
  <si>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</si>
  <si>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</si>
  <si>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</si>
  <si>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</si>
  <si>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</si>
  <si>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</si>
  <si>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</si>
  <si>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</si>
  <si>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</si>
  <si>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</si>
  <si>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</si>
  <si>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</si>
  <si>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</si>
  <si>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</si>
  <si>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</si>
  <si>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</si>
  <si>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</si>
  <si>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</si>
  <si>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</si>
  <si>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</si>
  <si>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</si>
  <si>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</si>
  <si>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</si>
  <si>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</si>
  <si>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</si>
  <si>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</si>
  <si>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</si>
  <si>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</si>
  <si>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</si>
  <si>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</si>
  <si>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</si>
  <si>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</si>
  <si>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</si>
  <si>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</si>
  <si>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</si>
  <si>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</si>
  <si>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</si>
  <si>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</si>
  <si>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</si>
  <si>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</si>
  <si>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</si>
  <si>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</si>
  <si>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</si>
  <si>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</si>
  <si>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</si>
  <si>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</si>
  <si>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</si>
  <si>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</si>
  <si>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</si>
  <si>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</si>
  <si>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</si>
  <si>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</si>
  <si>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</si>
  <si>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</si>
  <si>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</si>
  <si>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</si>
  <si>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</si>
  <si>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</si>
  <si>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</si>
  <si>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</si>
  <si>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</si>
  <si>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</si>
  <si>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</si>
  <si>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</si>
  <si>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</si>
  <si>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</si>
  <si>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</si>
  <si>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</si>
  <si>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</si>
  <si>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</si>
  <si>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</si>
  <si>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</si>
  <si>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</si>
  <si>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</si>
  <si>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</si>
  <si>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</si>
  <si>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</si>
  <si>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</si>
  <si>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</si>
  <si>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</si>
  <si>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</si>
  <si>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</si>
  <si>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</si>
  <si>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</si>
  <si>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</si>
  <si>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</si>
  <si>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</si>
  <si>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</si>
  <si>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</si>
  <si>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</si>
  <si>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</si>
  <si>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</si>
  <si>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</si>
  <si>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</si>
  <si>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</si>
  <si>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</si>
  <si>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</si>
  <si>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</si>
  <si>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</si>
  <si>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</si>
  <si>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</si>
  <si>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</si>
  <si>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</si>
  <si>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</si>
  <si>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</si>
  <si>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</si>
  <si>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</si>
  <si>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</si>
  <si>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</si>
  <si>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</si>
  <si>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</si>
  <si>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</si>
  <si>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</si>
  <si>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</si>
  <si>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</si>
  <si>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</si>
  <si>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</si>
  <si>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</si>
  <si>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</si>
  <si>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</si>
  <si>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</si>
  <si>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</si>
  <si>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</si>
  <si>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</si>
  <si>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</si>
  <si>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</si>
  <si>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</si>
  <si>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</si>
  <si>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</si>
  <si>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</si>
  <si>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</si>
  <si>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</si>
  <si>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</si>
  <si>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</si>
  <si>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</si>
  <si>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</si>
  <si>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</si>
  <si>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</si>
  <si>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</si>
  <si>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</si>
  <si>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</si>
  <si>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</si>
  <si>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</si>
  <si>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</si>
  <si>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</si>
  <si>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</si>
  <si>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</si>
  <si>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</si>
  <si>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</si>
  <si>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</si>
  <si>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</si>
  <si>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</si>
  <si>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</si>
  <si>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</si>
  <si>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</si>
  <si>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</si>
  <si>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</si>
  <si>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</si>
  <si>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</si>
  <si>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</si>
  <si>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</si>
  <si>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</si>
  <si>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</si>
  <si>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</si>
  <si>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</si>
  <si>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</si>
  <si>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</si>
  <si>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</si>
  <si>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</si>
  <si>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</si>
  <si>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</si>
  <si>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</si>
  <si>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</si>
  <si>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</si>
  <si>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</si>
  <si>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</si>
  <si>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</si>
  <si>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</si>
  <si>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</si>
  <si>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</si>
  <si>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</si>
  <si>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</si>
  <si>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</si>
  <si>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</si>
  <si>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</si>
  <si>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</si>
  <si>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</si>
  <si>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</si>
  <si>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</si>
  <si>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</si>
  <si>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</si>
  <si>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</si>
  <si>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</si>
  <si>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</si>
  <si>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</si>
  <si>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</si>
  <si>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</si>
  <si>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</si>
  <si>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</si>
  <si>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</si>
  <si>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</si>
  <si>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</si>
  <si>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</si>
  <si>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</si>
  <si>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</si>
  <si>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</si>
  <si>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</si>
  <si>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</si>
  <si>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</si>
  <si>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</si>
  <si>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</si>
  <si>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</si>
  <si>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</si>
  <si>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</si>
  <si>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</si>
  <si>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</si>
  <si>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</si>
  <si>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</si>
  <si>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</si>
  <si>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</si>
  <si>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</si>
  <si>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</si>
  <si>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</si>
  <si>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</si>
  <si>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</si>
  <si>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</si>
  <si>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</si>
  <si>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</si>
  <si>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</si>
  <si>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</si>
  <si>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</si>
  <si>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</si>
  <si>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</si>
  <si>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</si>
  <si>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</si>
  <si>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</si>
  <si>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</si>
  <si>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</si>
  <si>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</si>
  <si>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</si>
  <si>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</si>
  <si>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</si>
  <si>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</si>
  <si>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</si>
  <si>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</si>
  <si>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</si>
  <si>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</si>
  <si>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</si>
  <si>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</si>
  <si>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</si>
  <si>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</si>
  <si>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</si>
  <si>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</si>
  <si>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</si>
  <si>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</si>
  <si>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</si>
  <si>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</si>
  <si>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</si>
  <si>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</si>
  <si>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</si>
  <si>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</si>
  <si>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</si>
  <si>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</si>
  <si>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</si>
  <si>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</si>
  <si>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</si>
  <si>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</si>
  <si>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</si>
  <si>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</si>
  <si>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</si>
  <si>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</si>
  <si>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</si>
  <si>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</si>
  <si>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</si>
  <si>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</si>
  <si>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</si>
  <si>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</si>
  <si>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</si>
  <si>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</si>
  <si>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</si>
  <si>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</si>
  <si>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r>
      <rPr>
        <sz val="14"/>
        <rFont val="新細明體"/>
        <family val="2"/>
        <scheme val="major"/>
      </rPr>
      <t>썩쏘</t>
    </r>
  </si>
  <si>
    <r>
      <t>1</t>
    </r>
    <r>
      <rPr>
        <sz val="14"/>
        <rFont val="新細明體"/>
        <family val="2"/>
        <scheme val="major"/>
      </rPr>
      <t>위달성</t>
    </r>
  </si>
  <si>
    <t>寶石*111100</t>
  </si>
  <si>
    <r>
      <t>4</t>
    </r>
    <r>
      <rPr>
        <sz val="14"/>
        <rFont val="新細明體"/>
        <family val="2"/>
        <scheme val="major"/>
      </rPr>
      <t>월공략왕</t>
    </r>
  </si>
  <si>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</si>
  <si>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</si>
  <si>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</si>
  <si>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</si>
  <si>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</si>
  <si>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</si>
  <si>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</si>
  <si>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</si>
  <si>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</si>
  <si>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</si>
  <si>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</si>
  <si>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</si>
  <si>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</si>
  <si>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</si>
  <si>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</si>
  <si>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</si>
  <si>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</si>
  <si>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</si>
  <si>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</si>
  <si>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</si>
  <si>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</si>
  <si>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</si>
  <si>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</si>
  <si>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</si>
  <si>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</si>
  <si>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</si>
  <si>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</si>
  <si>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</si>
  <si>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</si>
  <si>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</si>
  <si>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</si>
  <si>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</si>
  <si>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</si>
  <si>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</si>
  <si>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</si>
  <si>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</si>
  <si>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</si>
  <si>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</si>
  <si>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</si>
  <si>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</si>
  <si>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</si>
  <si>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</si>
  <si>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</si>
  <si>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</si>
  <si>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</si>
  <si>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</si>
  <si>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</si>
  <si>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</si>
  <si>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</si>
  <si>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</si>
  <si>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</si>
  <si>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</si>
  <si>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</si>
  <si>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</si>
  <si>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</si>
  <si>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</si>
  <si>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</si>
  <si>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</si>
  <si>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</si>
  <si>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</si>
  <si>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</si>
  <si>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</si>
  <si>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</si>
  <si>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</si>
  <si>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</si>
  <si>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</si>
  <si>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</si>
  <si>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</si>
  <si>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</si>
  <si>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</si>
  <si>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</si>
  <si>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</si>
  <si>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</si>
  <si>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</si>
  <si>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</si>
  <si>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</si>
  <si>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</si>
  <si>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</si>
  <si>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</si>
  <si>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</si>
  <si>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</si>
  <si>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</si>
  <si>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</si>
  <si>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</si>
  <si>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</si>
  <si>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</si>
  <si>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</si>
  <si>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</si>
  <si>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r>
      <t xml:space="preserve">MICHAN </t>
    </r>
    <r>
      <rPr>
        <sz val="14"/>
        <color rgb="FF222222"/>
        <rFont val="細明體"/>
        <family val="3"/>
        <charset val="136"/>
      </rPr>
      <t/>
    </r>
    <phoneticPr fontId="2" type="noConversion"/>
  </si>
  <si>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</si>
  <si>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</si>
  <si>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</si>
  <si>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</si>
  <si>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</si>
  <si>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</si>
  <si>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</si>
  <si>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</si>
  <si>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</si>
  <si>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</si>
  <si>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</si>
  <si>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</si>
  <si>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</si>
  <si>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</si>
  <si>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</si>
  <si>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</si>
  <si>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</si>
  <si>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</si>
  <si>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</si>
  <si>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</si>
  <si>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</si>
  <si>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</si>
  <si>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</si>
  <si>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</si>
  <si>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</si>
  <si>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</si>
  <si>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</si>
  <si>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</si>
  <si>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</si>
  <si>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</si>
  <si>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</si>
  <si>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</si>
  <si>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</si>
  <si>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</si>
  <si>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</si>
  <si>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</si>
  <si>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</si>
  <si>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</si>
  <si>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</si>
  <si>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</si>
  <si>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</si>
  <si>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</si>
  <si>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</si>
  <si>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</si>
  <si>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</si>
  <si>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</si>
  <si>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</si>
  <si>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</si>
  <si>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</si>
  <si>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</si>
  <si>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</si>
  <si>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</si>
  <si>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</si>
  <si>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</si>
  <si>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</si>
  <si>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</si>
  <si>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</si>
  <si>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</si>
  <si>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</si>
  <si>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</si>
  <si>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</si>
  <si>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</si>
  <si>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</si>
  <si>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</si>
  <si>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</si>
  <si>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</si>
  <si>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</si>
  <si>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</si>
  <si>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</si>
  <si>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</si>
  <si>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</si>
  <si>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</si>
  <si>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</si>
  <si>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</si>
  <si>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</si>
  <si>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</si>
  <si>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</si>
  <si>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</si>
  <si>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</si>
  <si>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</si>
  <si>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</si>
  <si>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</si>
  <si>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</si>
  <si>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</si>
  <si>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</si>
  <si>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</si>
  <si>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</si>
  <si>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</si>
  <si>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</si>
  <si>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</si>
  <si>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</si>
  <si>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</si>
  <si>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</si>
  <si>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</si>
  <si>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</si>
  <si>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</si>
  <si>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</si>
  <si>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</si>
  <si>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</si>
  <si>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</si>
  <si>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</si>
  <si>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</si>
  <si>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</si>
  <si>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</si>
  <si>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</si>
  <si>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</si>
  <si>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</si>
  <si>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</si>
  <si>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</si>
  <si>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</si>
  <si>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</si>
  <si>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</si>
  <si>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</si>
  <si>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</si>
  <si>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</si>
  <si>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</si>
  <si>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</si>
  <si>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</si>
  <si>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</si>
  <si>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</si>
  <si>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</si>
  <si>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</si>
  <si>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</si>
  <si>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</si>
  <si>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</si>
  <si>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</si>
  <si>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</si>
  <si>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</si>
  <si>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</si>
  <si>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</si>
  <si>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</si>
  <si>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</si>
  <si>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</si>
  <si>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</si>
  <si>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</si>
  <si>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</si>
  <si>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</si>
  <si>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</si>
  <si>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</si>
  <si>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</si>
  <si>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</si>
  <si>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</si>
  <si>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</si>
  <si>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</si>
  <si>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</si>
  <si>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</si>
  <si>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</si>
  <si>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</si>
  <si>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</si>
  <si>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</si>
  <si>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</si>
  <si>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</si>
  <si>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</si>
  <si>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</si>
  <si>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</si>
  <si>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</si>
  <si>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</si>
  <si>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</si>
  <si>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</si>
  <si>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</si>
  <si>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r>
      <t>《魔法膽道》是一款闇黑像素風格的放置RPG手遊，帶你深入無盡地城展開刷寶冒險。新手上路務必尋找最新的</t>
    </r>
    <r>
      <rPr>
        <b/>
        <sz val="11"/>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1"/>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</si>
  <si>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</si>
  <si>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</si>
  <si>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</si>
  <si>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</si>
  <si>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</si>
  <si>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</si>
  <si>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</si>
  <si>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</si>
  <si>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</si>
  <si>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</si>
  <si>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</si>
  <si>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</si>
  <si>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</si>
  <si>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</si>
  <si>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</si>
  <si>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</si>
  <si>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</si>
  <si>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</si>
  <si>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</si>
  <si>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</si>
  <si>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</si>
  <si>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</si>
  <si>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</si>
  <si>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</si>
  <si>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</si>
  <si>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</si>
  <si>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</si>
  <si>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</si>
  <si>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</si>
  <si>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</si>
  <si>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</si>
  <si>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</si>
  <si>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</si>
  <si>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</si>
  <si>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</si>
  <si>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</si>
  <si>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</si>
  <si>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</si>
  <si>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</si>
  <si>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</si>
  <si>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</si>
  <si>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</si>
  <si>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</si>
  <si>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</si>
  <si>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</si>
  <si>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</si>
  <si>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</si>
  <si>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</si>
  <si>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</si>
  <si>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</si>
  <si>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</si>
  <si>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</si>
  <si>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</si>
  <si>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</si>
  <si>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</si>
  <si>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</si>
  <si>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</si>
  <si>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</si>
  <si>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</si>
  <si>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</si>
  <si>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</si>
  <si>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</si>
  <si>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</si>
  <si>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</si>
  <si>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</si>
  <si>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</si>
  <si>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</si>
  <si>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</si>
  <si>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</si>
  <si>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</si>
  <si>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</si>
  <si>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</si>
  <si>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</si>
  <si>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</si>
  <si>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</si>
  <si>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</si>
  <si>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</si>
  <si>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</si>
  <si>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</si>
  <si>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</si>
  <si>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</si>
  <si>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</si>
  <si>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</si>
  <si>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</si>
  <si>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</si>
  <si>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</si>
  <si>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</si>
  <si>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</si>
  <si>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</si>
  <si>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</si>
  <si>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</si>
  <si>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</si>
  <si>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</si>
  <si>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</si>
  <si>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</si>
  <si>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</si>
  <si>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</si>
  <si>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</si>
  <si>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</si>
  <si>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</si>
  <si>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</si>
  <si>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</si>
  <si>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</si>
  <si>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</si>
  <si>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</si>
  <si>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</si>
  <si>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</si>
  <si>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</si>
  <si>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</si>
  <si>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</si>
  <si>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</si>
  <si>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</si>
  <si>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</si>
  <si>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</si>
  <si>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</si>
  <si>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</si>
  <si>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</si>
  <si>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</si>
  <si>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</si>
  <si>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</si>
  <si>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</si>
  <si>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</si>
  <si>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</si>
  <si>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</si>
  <si>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</si>
  <si>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</si>
  <si>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</si>
  <si>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</si>
  <si>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</si>
  <si>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</si>
  <si>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</si>
  <si>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</si>
  <si>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</si>
  <si>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</si>
  <si>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</si>
  <si>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</si>
  <si>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</si>
  <si>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</si>
  <si>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</si>
  <si>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</si>
  <si>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</si>
  <si>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</si>
  <si>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</si>
  <si>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</si>
  <si>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</si>
  <si>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</si>
  <si>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</si>
  <si>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</si>
  <si>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</si>
  <si>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</si>
  <si>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</si>
  <si>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</si>
  <si>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</si>
  <si>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</si>
  <si>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</si>
  <si>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</si>
  <si>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</si>
  <si>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</si>
  <si>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</si>
  <si>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</si>
  <si>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</si>
  <si>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</si>
  <si>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</si>
  <si>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</si>
  <si>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</si>
  <si>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</si>
  <si>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</si>
  <si>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</si>
  <si>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</si>
  <si>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</si>
  <si>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</si>
  <si>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</si>
  <si>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</si>
  <si>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</si>
  <si>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</si>
  <si>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</si>
  <si>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</si>
  <si>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</si>
  <si>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</si>
  <si>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</si>
  <si>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</si>
  <si>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</si>
  <si>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</si>
  <si>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</si>
  <si>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</si>
  <si>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</si>
  <si>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</si>
  <si>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</si>
  <si>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</si>
  <si>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</si>
  <si>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</si>
  <si>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</si>
  <si>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</si>
  <si>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</si>
  <si>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</si>
  <si>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</si>
  <si>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</si>
  <si>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</si>
  <si>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</si>
  <si>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</si>
  <si>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</si>
  <si>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</si>
  <si>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</si>
  <si>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</si>
  <si>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</si>
  <si>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</si>
  <si>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</si>
  <si>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</si>
  <si>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</si>
  <si>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</si>
  <si>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</si>
  <si>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</si>
  <si>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</si>
  <si>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</si>
  <si>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</si>
  <si>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</si>
  <si>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</si>
  <si>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</si>
  <si>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</si>
  <si>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</si>
  <si>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</si>
  <si>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</si>
  <si>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</si>
  <si>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</si>
  <si>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</si>
  <si>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</si>
  <si>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</si>
  <si>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</si>
  <si>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</si>
  <si>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</si>
  <si>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</si>
  <si>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</si>
  <si>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</si>
  <si>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</si>
  <si>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</si>
  <si>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</si>
  <si>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</si>
  <si>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</si>
  <si>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</si>
  <si>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</si>
  <si>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</si>
  <si>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</si>
  <si>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</si>
  <si>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</si>
  <si>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</si>
  <si>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</si>
  <si>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</si>
  <si>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</si>
  <si>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</si>
  <si>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</si>
  <si>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</si>
  <si>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</si>
  <si>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</si>
  <si>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</si>
  <si>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</si>
  <si>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</si>
  <si>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</si>
  <si>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</si>
  <si>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</si>
  <si>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</si>
  <si>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</si>
  <si>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</si>
  <si>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</si>
  <si>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</si>
  <si>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</si>
  <si>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</si>
  <si>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</si>
  <si>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</si>
  <si>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</si>
  <si>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</si>
  <si>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</si>
  <si>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</si>
  <si>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</si>
  <si>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</si>
  <si>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</si>
  <si>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</si>
  <si>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</si>
  <si>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</si>
  <si>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</si>
  <si>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</si>
  <si>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</si>
  <si>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</si>
  <si>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</si>
  <si>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</si>
  <si>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</si>
  <si>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</si>
  <si>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</si>
  <si>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</si>
  <si>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</si>
  <si>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</si>
  <si>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</si>
  <si>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</si>
  <si>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</si>
  <si>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</si>
  <si>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</si>
  <si>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</si>
  <si>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</si>
  <si>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</si>
  <si>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</si>
  <si>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</si>
  <si>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</si>
  <si>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</si>
  <si>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</si>
  <si>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</si>
  <si>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</si>
  <si>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</si>
  <si>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</si>
  <si>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</si>
  <si>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</si>
  <si>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</si>
  <si>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</si>
  <si>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</si>
  <si>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</si>
  <si>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</si>
  <si>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</si>
  <si>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</si>
  <si>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</si>
  <si>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</si>
  <si>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</si>
  <si>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</si>
  <si>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</si>
  <si>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</si>
  <si>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</si>
  <si>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</si>
  <si>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</si>
  <si>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</si>
  <si>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</si>
  <si>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</si>
  <si>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</si>
  <si>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</si>
  <si>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</si>
  <si>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</si>
  <si>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</si>
  <si>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</si>
  <si>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</si>
  <si>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</si>
  <si>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</si>
  <si>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</si>
  <si>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</si>
  <si>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</si>
  <si>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</si>
  <si>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</si>
  <si>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</si>
  <si>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</si>
  <si>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</si>
  <si>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</si>
  <si>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</si>
  <si>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</si>
  <si>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</si>
  <si>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</si>
  <si>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</si>
  <si>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</si>
  <si>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</si>
  <si>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</si>
  <si>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</si>
  <si>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</si>
  <si>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</si>
  <si>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</si>
  <si>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</si>
  <si>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</si>
  <si>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</si>
  <si>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</si>
  <si>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</si>
  <si>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</si>
  <si>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</si>
  <si>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</si>
  <si>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</si>
  <si>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</si>
  <si>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</si>
  <si>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</si>
  <si>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</si>
  <si>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</si>
  <si>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</si>
  <si>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</si>
  <si>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</si>
  <si>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</si>
  <si>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</si>
  <si>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</si>
  <si>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</si>
  <si>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</si>
  <si>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</si>
  <si>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</si>
  <si>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</si>
  <si>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</si>
  <si>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</si>
  <si>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</si>
  <si>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</si>
  <si>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</si>
  <si>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</si>
  <si>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</si>
  <si>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</si>
  <si>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</si>
  <si>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</si>
  <si>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</si>
  <si>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</si>
  <si>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</si>
  <si>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</si>
  <si>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</si>
  <si>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</si>
  <si>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</si>
  <si>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</si>
  <si>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</si>
  <si>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</si>
  <si>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</si>
  <si>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</si>
  <si>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</si>
  <si>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</si>
  <si>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</si>
  <si>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</si>
  <si>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</si>
  <si>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</si>
  <si>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</si>
  <si>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</si>
  <si>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</si>
  <si>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</si>
  <si>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</si>
  <si>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</si>
  <si>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</si>
  <si>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</si>
  <si>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</si>
  <si>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</si>
  <si>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</si>
  <si>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</si>
  <si>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</si>
  <si>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</si>
  <si>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</si>
  <si>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</si>
  <si>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</si>
  <si>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</si>
  <si>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</si>
  <si>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</si>
  <si>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</si>
  <si>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</si>
  <si>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</si>
  <si>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</si>
  <si>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</si>
  <si>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</si>
  <si>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</si>
  <si>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</si>
  <si>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</si>
  <si>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</si>
  <si>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</si>
  <si>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</si>
  <si>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</si>
  <si>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</si>
  <si>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</si>
  <si>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</si>
  <si>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</si>
  <si>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</si>
  <si>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</si>
  <si>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</si>
  <si>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</si>
  <si>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</si>
  <si>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</si>
  <si>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</si>
  <si>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</si>
  <si>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</si>
  <si>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</si>
  <si>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</si>
  <si>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</si>
  <si>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</si>
  <si>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</si>
  <si>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</si>
  <si>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</si>
  <si>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</si>
  <si>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</si>
  <si>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</si>
  <si>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</si>
  <si>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</si>
  <si>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</si>
  <si>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</si>
  <si>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</si>
  <si>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</si>
  <si>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</si>
  <si>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</si>
  <si>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</si>
  <si>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</si>
  <si>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</si>
  <si>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</si>
  <si>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</si>
  <si>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</si>
  <si>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</si>
  <si>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</si>
  <si>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</si>
  <si>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</si>
  <si>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</si>
  <si>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</si>
  <si>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</si>
  <si>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</si>
  <si>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</si>
  <si>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</si>
  <si>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</si>
  <si>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</si>
  <si>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</si>
  <si>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</si>
  <si>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</si>
  <si>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</si>
  <si>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</si>
  <si>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</si>
  <si>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</si>
  <si>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</si>
  <si>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</si>
  <si>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</si>
  <si>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</si>
  <si>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</si>
  <si>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</si>
  <si>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</si>
  <si>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</si>
  <si>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</si>
  <si>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</si>
  <si>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</si>
  <si>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</si>
  <si>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</si>
  <si>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</si>
  <si>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</si>
  <si>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</si>
  <si>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</si>
  <si>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</si>
  <si>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</si>
  <si>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</si>
  <si>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</si>
  <si>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</si>
  <si>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</si>
  <si>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</si>
  <si>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</si>
  <si>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</si>
  <si>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</si>
  <si>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</si>
  <si>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</si>
  <si>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</si>
  <si>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</si>
  <si>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</si>
  <si>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</si>
  <si>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</si>
  <si>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</si>
  <si>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</si>
  <si>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</si>
  <si>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</si>
  <si>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</si>
  <si>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</si>
  <si>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</si>
  <si>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</si>
  <si>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</si>
  <si>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</si>
  <si>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</si>
  <si>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</si>
  <si>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</si>
  <si>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</si>
  <si>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</si>
  <si>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</si>
  <si>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</si>
  <si>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</si>
  <si>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</si>
  <si>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</si>
  <si>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</si>
  <si>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</si>
  <si>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</si>
  <si>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</si>
  <si>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</si>
  <si>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</si>
  <si>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</si>
  <si>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</si>
  <si>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</si>
  <si>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</si>
  <si>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</si>
  <si>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</si>
  <si>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</si>
  <si>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</si>
  <si>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</si>
  <si>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</si>
  <si>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</si>
  <si>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</si>
  <si>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</si>
  <si>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</si>
  <si>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</si>
  <si>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</si>
  <si>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</si>
  <si>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</si>
  <si>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</si>
  <si>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</si>
  <si>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</si>
  <si>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</si>
  <si>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</si>
  <si>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</si>
  <si>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</si>
  <si>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</si>
  <si>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</si>
  <si>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</si>
  <si>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</si>
  <si>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</si>
  <si>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</si>
  <si>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</si>
  <si>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</si>
  <si>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</si>
  <si>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</si>
  <si>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</si>
  <si>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</si>
  <si>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</si>
  <si>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</si>
  <si>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</si>
  <si>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</si>
  <si>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</si>
  <si>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</si>
  <si>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</si>
  <si>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</si>
  <si>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</si>
  <si>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</si>
  <si>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</si>
  <si>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</si>
  <si>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</si>
  <si>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</si>
  <si>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</si>
  <si>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</si>
  <si>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</si>
  <si>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</si>
  <si>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</si>
  <si>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</si>
  <si>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</si>
  <si>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</si>
  <si>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</si>
  <si>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</si>
  <si>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</si>
  <si>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</si>
  <si>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</si>
  <si>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</si>
  <si>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</si>
  <si>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</si>
  <si>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</si>
  <si>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</si>
  <si>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</si>
  <si>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</si>
  <si>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</si>
  <si>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</si>
  <si>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</si>
  <si>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</si>
  <si>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</si>
  <si>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</si>
  <si>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</si>
  <si>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</si>
  <si>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</si>
  <si>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</si>
  <si>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</si>
  <si>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</si>
  <si>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</si>
  <si>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</si>
  <si>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</si>
  <si>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</si>
  <si>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</si>
  <si>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</si>
  <si>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</si>
  <si>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</si>
  <si>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</si>
  <si>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</si>
  <si>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</si>
  <si>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</si>
  <si>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</si>
  <si>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</si>
  <si>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</si>
  <si>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</si>
  <si>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</si>
  <si>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</si>
  <si>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</si>
  <si>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</si>
  <si>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</si>
  <si>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</si>
  <si>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</si>
  <si>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</si>
  <si>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</si>
  <si>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</si>
  <si>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</si>
  <si>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</si>
  <si>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</si>
  <si>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</si>
  <si>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</si>
  <si>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</si>
  <si>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</si>
  <si>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</si>
  <si>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</si>
  <si>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</si>
  <si>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</si>
  <si>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</si>
  <si>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</si>
  <si>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</si>
  <si>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</si>
  <si>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</si>
  <si>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</si>
  <si>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</si>
  <si>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</si>
  <si>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</si>
  <si>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</si>
  <si>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</si>
  <si>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</si>
  <si>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</si>
  <si>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</si>
  <si>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</si>
  <si>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</si>
  <si>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</si>
  <si>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</si>
  <si>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</si>
  <si>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</si>
  <si>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</si>
  <si>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</si>
  <si>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</si>
  <si>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</si>
  <si>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</si>
  <si>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</si>
  <si>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</si>
  <si>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</si>
  <si>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</si>
  <si>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</si>
  <si>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</si>
  <si>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</si>
  <si>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</si>
  <si>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</si>
  <si>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</si>
  <si>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</si>
  <si>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</si>
  <si>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</si>
  <si>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</si>
  <si>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</si>
  <si>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</si>
  <si>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</si>
  <si>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</si>
  <si>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</si>
  <si>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</si>
  <si>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</si>
  <si>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</si>
  <si>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</si>
  <si>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</si>
  <si>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</si>
  <si>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</si>
  <si>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</si>
  <si>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</si>
  <si>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</si>
  <si>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</si>
  <si>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</si>
  <si>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</si>
  <si>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</si>
  <si>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</si>
  <si>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</si>
  <si>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</si>
  <si>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</si>
  <si>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</si>
  <si>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</si>
  <si>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</si>
  <si>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</si>
  <si>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</si>
  <si>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</si>
  <si>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</si>
  <si>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</si>
  <si>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</si>
  <si>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</si>
  <si>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</si>
  <si>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</si>
  <si>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</si>
  <si>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</si>
  <si>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</si>
  <si>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</si>
  <si>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</si>
  <si>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</si>
  <si>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</si>
  <si>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</si>
  <si>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</si>
  <si>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</si>
  <si>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</si>
  <si>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</si>
  <si>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</si>
  <si>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</si>
  <si>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</si>
  <si>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</si>
  <si>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</si>
  <si>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</si>
  <si>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</si>
  <si>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</si>
  <si>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</si>
  <si>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</si>
  <si>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</si>
  <si>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</si>
  <si>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</si>
  <si>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</si>
  <si>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</si>
  <si>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</si>
  <si>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</si>
  <si>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</si>
  <si>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</si>
  <si>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</si>
  <si>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</si>
  <si>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</si>
  <si>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</si>
  <si>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</si>
  <si>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</si>
  <si>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</si>
  <si>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</si>
  <si>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</si>
  <si>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</si>
  <si>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</si>
  <si>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</si>
  <si>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</si>
  <si>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</si>
  <si>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</si>
  <si>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</si>
  <si>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</si>
  <si>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</si>
  <si>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</si>
  <si>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</si>
  <si>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</si>
  <si>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</si>
  <si>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</si>
  <si>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</si>
  <si>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</si>
  <si>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</si>
  <si>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</si>
  <si>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</si>
  <si>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</si>
  <si>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</si>
  <si>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</si>
  <si>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</si>
  <si>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</si>
  <si>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</si>
  <si>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</si>
  <si>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</si>
  <si>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</si>
  <si>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</si>
  <si>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</si>
  <si>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</si>
  <si>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</si>
  <si>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</si>
  <si>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</si>
  <si>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</si>
  <si>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</si>
  <si>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</si>
  <si>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</si>
  <si>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</si>
  <si>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</si>
  <si>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</si>
  <si>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</si>
  <si>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</si>
  <si>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</si>
  <si>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</si>
  <si>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</si>
  <si>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</si>
  <si>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</si>
  <si>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</si>
  <si>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</si>
  <si>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</si>
  <si>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</si>
  <si>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</si>
  <si>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</si>
  <si>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</si>
  <si>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</si>
  <si>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</si>
  <si>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</si>
  <si>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</si>
  <si>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</si>
  <si>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</si>
  <si>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</si>
  <si>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</si>
  <si>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</si>
  <si>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</si>
  <si>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</si>
  <si>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</si>
  <si>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</si>
  <si>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</si>
  <si>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</si>
  <si>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</si>
  <si>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</si>
  <si>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</si>
  <si>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</si>
  <si>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</si>
  <si>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</si>
  <si>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</si>
  <si>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</si>
  <si>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</si>
  <si>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</si>
  <si>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</si>
  <si>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</si>
  <si>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</si>
  <si>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</si>
  <si>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</si>
  <si>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</si>
  <si>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</si>
  <si>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</si>
  <si>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</si>
  <si>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</si>
  <si>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</si>
  <si>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</si>
  <si>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</si>
  <si>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</si>
  <si>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</si>
  <si>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</si>
  <si>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</si>
  <si>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</si>
  <si>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ETHERIA0605</t>
    <phoneticPr fontId="2" type="noConversion"/>
  </si>
  <si>
    <t>ETHERIA111</t>
    <phoneticPr fontId="2" type="noConversion"/>
  </si>
  <si>
    <t>GACHAGAMING</t>
    <phoneticPr fontId="2" type="noConversion"/>
  </si>
  <si>
    <t>TIMAEUSS0605</t>
    <phoneticPr fontId="2" type="noConversion"/>
  </si>
  <si>
    <t>VOLKIN0605</t>
    <phoneticPr fontId="2" type="noConversion"/>
  </si>
  <si>
    <t>SEIIMORE</t>
    <phoneticPr fontId="2" type="noConversion"/>
  </si>
  <si>
    <t>TECTONE</t>
    <phoneticPr fontId="2" type="noConversion"/>
  </si>
  <si>
    <t>GACHASMACK</t>
    <phoneticPr fontId="2" type="noConversion"/>
  </si>
  <si>
    <t>SEANB0605</t>
    <phoneticPr fontId="2" type="noConversion"/>
  </si>
  <si>
    <t>DORO44</t>
    <phoneticPr fontId="2" type="noConversion"/>
  </si>
  <si>
    <t>YDCB</t>
    <phoneticPr fontId="2" type="noConversion"/>
  </si>
  <si>
    <t>BRAXO</t>
    <phoneticPr fontId="2" type="noConversion"/>
  </si>
  <si>
    <t>JONATHON</t>
    <phoneticPr fontId="2" type="noConversion"/>
  </si>
  <si>
    <t>GACHAGAMER</t>
    <phoneticPr fontId="2" type="noConversion"/>
  </si>
  <si>
    <t>BOXBOX</t>
    <phoneticPr fontId="2" type="noConversion"/>
  </si>
  <si>
    <t>DUKAJA</t>
    <phoneticPr fontId="2" type="noConversion"/>
  </si>
  <si>
    <t>BRANONLINE</t>
    <phoneticPr fontId="2" type="noConversion"/>
  </si>
  <si>
    <t>ZY0X</t>
    <phoneticPr fontId="2" type="noConversion"/>
  </si>
  <si>
    <t>XLICE</t>
    <phoneticPr fontId="2" type="noConversion"/>
  </si>
  <si>
    <t>ZOXASKUNX0605</t>
    <phoneticPr fontId="2" type="noConversion"/>
  </si>
  <si>
    <t>兌換碼禮包</t>
    <phoneticPr fontId="2" type="noConversion"/>
  </si>
  <si>
    <t>App Store</t>
    <phoneticPr fontId="2" type="noConversion"/>
  </si>
  <si>
    <r>
      <rPr>
        <sz val="12"/>
        <rFont val="細明體"/>
        <family val="3"/>
        <charset val="136"/>
      </rPr>
      <t>《伊瑟</t>
    </r>
    <r>
      <rPr>
        <sz val="12"/>
        <rFont val="Arial"/>
        <family val="2"/>
      </rPr>
      <t>·</t>
    </r>
    <r>
      <rPr>
        <sz val="12"/>
        <rFont val="細明體"/>
        <family val="3"/>
        <charset val="136"/>
      </rPr>
      <t>重啟日》是一款引人入勝的都市奇幻風格</t>
    </r>
    <r>
      <rPr>
        <sz val="12"/>
        <rFont val="Arial"/>
        <family val="2"/>
      </rPr>
      <t xml:space="preserve"> 3D </t>
    </r>
    <r>
      <rPr>
        <sz val="12"/>
        <rFont val="細明體"/>
        <family val="3"/>
        <charset val="136"/>
      </rPr>
      <t>回合制</t>
    </r>
    <r>
      <rPr>
        <sz val="12"/>
        <rFont val="Arial"/>
        <family val="2"/>
      </rPr>
      <t xml:space="preserve"> RPG</t>
    </r>
    <r>
      <rPr>
        <sz val="12"/>
        <rFont val="細明體"/>
        <family val="3"/>
        <charset val="136"/>
      </rPr>
      <t>。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r>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</si>
  <si>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</si>
  <si>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</si>
  <si>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</si>
  <si>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</si>
  <si>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</si>
  <si>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</si>
  <si>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</si>
  <si>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</si>
  <si>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</si>
  <si>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</si>
  <si>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</si>
  <si>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</si>
  <si>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</si>
  <si>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</si>
  <si>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</si>
  <si>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</si>
  <si>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r>
      <rPr>
        <sz val="12"/>
        <rFont val="細明體"/>
        <family val="3"/>
        <charset val="136"/>
      </rPr>
      <t>《手刀搶英雄》是一款主打快節奏放置戰鬥的像素風</t>
    </r>
    <r>
      <rPr>
        <sz val="12"/>
        <rFont val="Arial"/>
        <family val="2"/>
      </rPr>
      <t xml:space="preserve"> RPG </t>
    </r>
    <r>
      <rPr>
        <sz val="12"/>
        <rFont val="細明體"/>
        <family val="3"/>
        <charset val="136"/>
      </rPr>
      <t>冒險遊戲。故事圍繞著一位呆萌的新手領主，雖然本人是菜鳥，手上卻握有滿級的傳說聖劍！玩家將集結一群個性獨特但有點不靠譜的</t>
    </r>
    <r>
      <rPr>
        <sz val="12"/>
        <rFont val="Arial"/>
        <family val="2"/>
      </rPr>
      <t xml:space="preserve"> B </t>
    </r>
    <r>
      <rPr>
        <sz val="12"/>
        <rFont val="細明體"/>
        <family val="3"/>
        <charset val="136"/>
      </rPr>
      <t>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r>
    <phoneticPr fontId="2" type="noConversion"/>
  </si>
  <si>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</si>
  <si>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</si>
  <si>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</si>
  <si>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</si>
  <si>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</si>
  <si>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</si>
  <si>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</si>
  <si>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</si>
  <si>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</si>
  <si>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</si>
  <si>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</si>
  <si>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</si>
  <si>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</si>
  <si>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</si>
  <si>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</si>
  <si>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</si>
  <si>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</si>
  <si>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</si>
  <si>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</si>
  <si>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</si>
  <si>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</si>
  <si>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</si>
  <si>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</si>
  <si>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</si>
  <si>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</si>
  <si>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</si>
  <si>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</si>
  <si>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</si>
  <si>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</si>
  <si>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</si>
  <si>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</si>
  <si>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</si>
  <si>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</si>
  <si>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</si>
  <si>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</si>
  <si>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</si>
  <si>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</si>
  <si>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</si>
  <si>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</si>
  <si>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</si>
  <si>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</si>
  <si>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</si>
  <si>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</si>
  <si>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</si>
  <si>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</si>
  <si>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</si>
  <si>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</si>
  <si>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</si>
  <si>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</si>
  <si>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</si>
  <si>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</si>
  <si>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</si>
  <si>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</si>
  <si>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</si>
  <si>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</si>
  <si>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</si>
  <si>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</si>
  <si>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</si>
  <si>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</si>
  <si>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</si>
  <si>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r>
      <rPr>
        <sz val="12"/>
        <rFont val="細明體"/>
        <family val="3"/>
        <charset val="136"/>
      </rPr>
      <t>《荒野亂鬥》是一款快節奏</t>
    </r>
    <r>
      <rPr>
        <sz val="12"/>
        <rFont val="Arial"/>
        <family val="2"/>
      </rPr>
      <t>3v3</t>
    </r>
    <r>
      <rPr>
        <sz val="12"/>
        <rFont val="細明體"/>
        <family val="3"/>
        <charset val="136"/>
      </rPr>
      <t>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r>
    <phoneticPr fontId="2" type="noConversion"/>
  </si>
  <si>
    <r>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t>
    </r>
    <r>
      <rPr>
        <b/>
        <sz val="12"/>
        <color theme="1"/>
        <rFont val="新細明體"/>
        <family val="1"/>
        <charset val="136"/>
        <scheme val="minor"/>
      </rPr>
      <t>禮包碼</t>
    </r>
    <r>
      <rPr>
        <sz val="12"/>
        <color theme="1"/>
        <rFont val="新細明體"/>
        <family val="2"/>
        <scheme val="minor"/>
      </rPr>
      <t>兌換開局獎勵。透過安全的</t>
    </r>
    <r>
      <rPr>
        <b/>
        <sz val="12"/>
        <color theme="1"/>
        <rFont val="新細明體"/>
        <family val="1"/>
        <charset val="136"/>
        <scheme val="minor"/>
      </rPr>
      <t>代儲值</t>
    </r>
    <r>
      <rPr>
        <sz val="12"/>
        <color theme="1"/>
        <rFont val="新細明體"/>
        <family val="2"/>
        <scheme val="minor"/>
      </rPr>
      <t>服務獲取寶石，更能讓你解鎖強力角色，取得戰場優勢。遊戲融合Roguelike與大乱鬥的刺激感，每局都是全新體驗。快來召集你的夢幻隊伍吧！</t>
    </r>
  </si>
  <si>
    <r>
      <rPr>
        <sz val="12"/>
        <rFont val="新細明體"/>
        <family val="2"/>
      </rPr>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r>
    <phoneticPr fontId="2" type="noConversion"/>
  </si>
  <si>
    <r>
      <rPr>
        <sz val="12"/>
        <rFont val="細明體"/>
        <family val="3"/>
        <charset val="136"/>
      </rPr>
      <t>《遺忘之劍》是一款精緻的</t>
    </r>
    <r>
      <rPr>
        <sz val="12"/>
        <rFont val="Arial"/>
        <family val="2"/>
      </rPr>
      <t>2D</t>
    </r>
    <r>
      <rPr>
        <sz val="12"/>
        <rFont val="細明體"/>
        <family val="3"/>
        <charset val="136"/>
      </rPr>
      <t>橫向捲軸</t>
    </r>
    <r>
      <rPr>
        <sz val="12"/>
        <rFont val="Arial"/>
        <family val="2"/>
      </rPr>
      <t>RPG</t>
    </r>
    <r>
      <rPr>
        <sz val="12"/>
        <rFont val="細明體"/>
        <family val="3"/>
        <charset val="136"/>
      </rPr>
      <t>，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r>
    <phoneticPr fontId="2" type="noConversion"/>
  </si>
  <si>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</si>
  <si>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</si>
  <si>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</si>
  <si>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</si>
  <si>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</si>
  <si>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</si>
  <si>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</si>
  <si>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</si>
  <si>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</si>
  <si>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</si>
  <si>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r>
      <rPr>
        <sz val="12"/>
        <rFont val="細明體"/>
        <family val="3"/>
        <charset val="136"/>
      </rPr>
      <t>《吞食天地</t>
    </r>
    <r>
      <rPr>
        <sz val="12"/>
        <rFont val="Arial"/>
        <family val="2"/>
      </rPr>
      <t xml:space="preserve"> </t>
    </r>
    <r>
      <rPr>
        <sz val="12"/>
        <rFont val="細明體"/>
        <family val="3"/>
        <charset val="136"/>
      </rPr>
      <t>虛擬世界》經典三國</t>
    </r>
    <r>
      <rPr>
        <sz val="12"/>
        <rFont val="Arial"/>
        <family val="2"/>
      </rPr>
      <t>IP</t>
    </r>
    <r>
      <rPr>
        <sz val="12"/>
        <rFont val="細明體"/>
        <family val="3"/>
        <charset val="136"/>
      </rPr>
      <t>感動歸來！本作是款開放世界</t>
    </r>
    <r>
      <rPr>
        <sz val="12"/>
        <rFont val="Arial"/>
        <family val="2"/>
      </rPr>
      <t>MMORPG</t>
    </r>
    <r>
      <rPr>
        <sz val="12"/>
        <rFont val="細明體"/>
        <family val="3"/>
        <charset val="136"/>
      </rPr>
      <t>，完美還原回合制戰鬥與可愛畫風，重溫抓捕</t>
    </r>
    <r>
      <rPr>
        <sz val="12"/>
        <rFont val="Arial"/>
        <family val="2"/>
      </rPr>
      <t>NPC</t>
    </r>
    <r>
      <rPr>
        <sz val="12"/>
        <rFont val="細明體"/>
        <family val="3"/>
        <charset val="136"/>
      </rPr>
      <t>、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r>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</si>
  <si>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</si>
  <si>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</si>
  <si>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</si>
  <si>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</si>
  <si>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</si>
  <si>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</si>
  <si>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</si>
  <si>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</si>
  <si>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</si>
  <si>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</si>
  <si>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</si>
  <si>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</si>
  <si>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</si>
  <si>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r>
      <rPr>
        <sz val="12"/>
        <rFont val="細明體"/>
        <family val="3"/>
        <charset val="136"/>
      </rPr>
      <t>《封神：蒼嵐契約》是一款東方神話主題的放置卡牌</t>
    </r>
    <r>
      <rPr>
        <sz val="12"/>
        <rFont val="Arial"/>
        <family val="2"/>
      </rPr>
      <t xml:space="preserve"> RPG </t>
    </r>
    <r>
      <rPr>
        <sz val="12"/>
        <rFont val="細明體"/>
        <family val="3"/>
        <charset val="136"/>
      </rPr>
      <t>手遊，帶您進入一個瑰麗奇幻的封神世界。遊戲以精美的國風美術風格，重新演繹哪吒、妲己、姜子牙等經典角色，打造出策略性十足的卡牌對戰體驗。玩家將扮演天命之人，召喚來自不同陣營的神將，巧妙佈陣，挑戰各式</t>
    </r>
    <r>
      <rPr>
        <sz val="12"/>
        <rFont val="Arial"/>
        <family val="2"/>
      </rPr>
      <t>PVE</t>
    </r>
    <r>
      <rPr>
        <sz val="12"/>
        <rFont val="細明體"/>
        <family val="3"/>
        <charset val="136"/>
      </rPr>
      <t>關卡與</t>
    </r>
    <r>
      <rPr>
        <sz val="12"/>
        <rFont val="Arial"/>
        <family val="2"/>
      </rPr>
      <t>PVP</t>
    </r>
    <r>
      <rPr>
        <sz val="12"/>
        <rFont val="細明體"/>
        <family val="3"/>
        <charset val="136"/>
      </rPr>
      <t>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r>
    <phoneticPr fontId="2" type="noConversion"/>
  </si>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</sst>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9" x14ac:knownFonts="1">
    <font>
      <sz val="12"/>
      <color theme="1"/>
      <name val="新細明體"/>
      <family val="2"/>
      <scheme val="minor"/>
    </font>
    <font>
      <u/>
      <sz val="12"/>
      <color theme="10"/>
      <name val="新細明體"/>
      <family val="2"/>
      <scheme val="minor"/>
    </font>
    <font>
      <sz val="9"/>
      <name val="新細明體"/>
      <family val="3"/>
      <charset val="136"/>
      <scheme val="minor"/>
    </font>
    <font>
      <sz val="12"/>
      <name val="Arial"/>
      <family val="2"/>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
      <b/>
      <sz val="12"/>
      <color theme="1"/>
      <name val="新細明體"/>
      <family val="1"/>
      <charset val="136"/>
      <scheme val="minor"/>
    </font>
    <font>
      <b/>
      <sz val="11"/>
      <color theme="1"/>
      <name val="新細明體"/>
      <family val="1"/>
      <charset val="136"/>
      <scheme val="minor"/>
    </font>
    <font>
      <u/>
      <sz val="12"/>
      <color theme="10"/>
      <name val="新細明體"/>
      <family val="1"/>
      <charset val="136"/>
      <scheme val="minor"/>
    </font>
    <font>
      <sz val="14"/>
      <name val="新細明體"/>
      <family val="2"/>
      <scheme val="major"/>
    </font>
    <font>
      <sz val="14"/>
      <color rgb="FF222222"/>
      <name val="細明體"/>
      <family val="3"/>
      <charset val="136"/>
    </font>
    <font>
      <sz val="12"/>
      <color theme="1"/>
      <name val="Arial"/>
      <family val="2"/>
    </font>
    <font>
      <sz val="12"/>
      <name val="新細明體"/>
      <family val="2"/>
    </font>
  </fonts>
  <fills count="4">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s>
  <borders count="16">
    <border>
      <left/>
      <right/>
      <top/>
      <bottom/>
      <diagonal/>
    </border>
    <border>
      <left style="thick">
        <color auto="1"/>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style="medium">
        <color auto="1"/>
      </left>
      <right style="medium">
        <color rgb="FFCCCCCC"/>
      </right>
      <top style="medium">
        <color rgb="FFCCCCCC"/>
      </top>
      <bottom style="medium">
        <color rgb="FFCCCCCC"/>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s>
  <cellStyleXfs count="2">
    <xf numFmtId="0" fontId="0" fillId="0" borderId="0"/>
    <xf numFmtId="0" fontId="1" fillId="0" borderId="0" applyNumberFormat="0" applyFill="0" applyBorder="0" applyAlignment="0" applyProtection="0"/>
  </cellStyleXfs>
  <cellXfs count="84">
    <xf numFmtId="0" fontId="0" fillId="0" borderId="0" xfId="0"/>
    <xf numFmtId="0" fontId="3" fillId="0" borderId="0" xfId="0" applyFont="1" applyFill="1" applyAlignment="1">
      <alignment vertical="center" wrapText="1"/>
    </xf>
    <xf numFmtId="0" fontId="3" fillId="0" borderId="0" xfId="0" applyFont="1" applyFill="1" applyBorder="1" applyAlignment="1">
      <alignment vertical="center" wrapText="1"/>
    </xf>
    <xf numFmtId="0" fontId="4" fillId="0" borderId="2" xfId="0" applyFont="1" applyBorder="1" applyAlignment="1">
      <alignment wrapText="1"/>
    </xf>
    <xf numFmtId="0" fontId="4" fillId="2" borderId="2" xfId="0" applyFont="1" applyFill="1" applyBorder="1" applyAlignment="1">
      <alignment horizontal="right" wrapText="1"/>
    </xf>
    <xf numFmtId="0" fontId="5" fillId="0" borderId="0" xfId="0" applyFont="1" applyFill="1" applyBorder="1" applyAlignment="1">
      <alignment wrapText="1"/>
    </xf>
    <xf numFmtId="0" fontId="5" fillId="0" borderId="0" xfId="0" applyFont="1" applyFill="1" applyAlignment="1">
      <alignment horizontal="center" vertical="center" wrapText="1"/>
    </xf>
    <xf numFmtId="0" fontId="5" fillId="0" borderId="0" xfId="0" applyFont="1" applyFill="1" applyBorder="1" applyAlignment="1">
      <alignment horizontal="center" vertical="center" wrapText="1"/>
    </xf>
    <xf numFmtId="0" fontId="5" fillId="0" borderId="0" xfId="0" applyFont="1" applyFill="1" applyAlignment="1">
      <alignment vertical="center" wrapText="1"/>
    </xf>
    <xf numFmtId="0" fontId="6" fillId="0" borderId="0" xfId="1" applyFont="1" applyFill="1" applyBorder="1" applyAlignment="1">
      <alignment vertical="center" wrapText="1"/>
    </xf>
    <xf numFmtId="0" fontId="5" fillId="0" borderId="0" xfId="0" applyFont="1" applyFill="1" applyBorder="1" applyAlignment="1">
      <alignment vertical="center" wrapText="1"/>
    </xf>
    <xf numFmtId="0" fontId="5" fillId="0" borderId="2" xfId="0" applyFont="1" applyFill="1" applyBorder="1" applyAlignment="1">
      <alignment wrapText="1"/>
    </xf>
    <xf numFmtId="0" fontId="5" fillId="0" borderId="2" xfId="0" applyFont="1" applyFill="1" applyBorder="1" applyAlignment="1">
      <alignment horizontal="right" wrapText="1"/>
    </xf>
    <xf numFmtId="0" fontId="5" fillId="0" borderId="2" xfId="0" applyFont="1" applyBorder="1" applyAlignment="1">
      <alignment wrapText="1"/>
    </xf>
    <xf numFmtId="0" fontId="5" fillId="2" borderId="2" xfId="0" applyFont="1" applyFill="1" applyBorder="1" applyAlignment="1">
      <alignment horizontal="right" wrapText="1"/>
    </xf>
    <xf numFmtId="0" fontId="5" fillId="2" borderId="2" xfId="0" applyFont="1" applyFill="1" applyBorder="1" applyAlignment="1">
      <alignment wrapText="1"/>
    </xf>
    <xf numFmtId="0" fontId="5" fillId="0" borderId="0" xfId="0" applyFont="1" applyFill="1" applyAlignment="1">
      <alignment wrapText="1"/>
    </xf>
    <xf numFmtId="0" fontId="5" fillId="0" borderId="2" xfId="0" applyFont="1" applyFill="1" applyBorder="1" applyAlignment="1">
      <alignment vertical="center" wrapText="1"/>
    </xf>
    <xf numFmtId="0" fontId="5" fillId="0" borderId="0" xfId="0" applyFont="1" applyAlignment="1">
      <alignment wrapText="1"/>
    </xf>
    <xf numFmtId="0" fontId="4" fillId="2" borderId="2" xfId="0" applyFont="1" applyFill="1" applyBorder="1" applyAlignment="1">
      <alignment wrapText="1"/>
    </xf>
    <xf numFmtId="0" fontId="4" fillId="0" borderId="0" xfId="0" applyFont="1"/>
    <xf numFmtId="0" fontId="9" fillId="2" borderId="2" xfId="0" applyFont="1" applyFill="1" applyBorder="1" applyAlignment="1">
      <alignment wrapText="1"/>
    </xf>
    <xf numFmtId="0" fontId="8" fillId="0" borderId="0" xfId="0" applyFont="1" applyFill="1" applyAlignment="1">
      <alignment vertical="center" wrapText="1"/>
    </xf>
    <xf numFmtId="0" fontId="1" fillId="0" borderId="0" xfId="1" applyFill="1" applyBorder="1" applyAlignment="1">
      <alignment vertical="center" wrapText="1"/>
    </xf>
    <xf numFmtId="0" fontId="1" fillId="0" borderId="0" xfId="1" applyFill="1" applyAlignment="1">
      <alignment vertical="center" wrapText="1"/>
    </xf>
    <xf numFmtId="0" fontId="8" fillId="0" borderId="1" xfId="0" applyFont="1" applyFill="1" applyBorder="1" applyAlignment="1">
      <alignment vertical="center" wrapText="1"/>
    </xf>
    <xf numFmtId="0" fontId="5" fillId="0" borderId="3" xfId="0" applyFont="1" applyFill="1" applyBorder="1"/>
    <xf numFmtId="0" fontId="5" fillId="0" borderId="3" xfId="0" applyFont="1" applyFill="1" applyBorder="1" applyAlignment="1">
      <alignment wrapText="1"/>
    </xf>
    <xf numFmtId="0" fontId="5" fillId="0" borderId="3" xfId="0" applyFont="1" applyFill="1" applyBorder="1" applyAlignment="1">
      <alignment vertical="center" wrapText="1"/>
    </xf>
    <xf numFmtId="0" fontId="10" fillId="0" borderId="3" xfId="0" applyFont="1" applyFill="1" applyBorder="1" applyAlignment="1">
      <alignment vertical="center" wrapText="1"/>
    </xf>
    <xf numFmtId="0" fontId="0" fillId="0" borderId="3" xfId="0" applyBorder="1"/>
    <xf numFmtId="0" fontId="8" fillId="0" borderId="3" xfId="0" applyFont="1" applyFill="1" applyBorder="1" applyAlignment="1">
      <alignment vertical="center" wrapText="1"/>
    </xf>
    <xf numFmtId="0" fontId="5" fillId="0" borderId="4" xfId="0" applyFont="1" applyFill="1" applyBorder="1" applyAlignment="1">
      <alignment vertical="center" wrapText="1"/>
    </xf>
    <xf numFmtId="0" fontId="5" fillId="0" borderId="3" xfId="0" applyFont="1" applyFill="1" applyBorder="1" applyAlignment="1">
      <alignment horizontal="center" vertical="center" wrapText="1"/>
    </xf>
    <xf numFmtId="0" fontId="5" fillId="0" borderId="4" xfId="0" applyFont="1" applyFill="1" applyBorder="1" applyAlignment="1">
      <alignment horizontal="center" vertical="center" wrapText="1"/>
    </xf>
    <xf numFmtId="0" fontId="5" fillId="0" borderId="5" xfId="0" applyFont="1" applyFill="1" applyBorder="1" applyAlignment="1">
      <alignment wrapText="1"/>
    </xf>
    <xf numFmtId="0" fontId="5" fillId="0" borderId="4" xfId="0" applyFont="1" applyFill="1" applyBorder="1" applyAlignment="1">
      <alignment wrapText="1"/>
    </xf>
    <xf numFmtId="0" fontId="5" fillId="0" borderId="5" xfId="0" applyFont="1" applyBorder="1" applyAlignment="1">
      <alignment wrapText="1"/>
    </xf>
    <xf numFmtId="0" fontId="4" fillId="0" borderId="5" xfId="0" applyFont="1" applyBorder="1" applyAlignment="1">
      <alignment wrapText="1"/>
    </xf>
    <xf numFmtId="0" fontId="3" fillId="0" borderId="3" xfId="0" applyFont="1" applyFill="1" applyBorder="1" applyAlignment="1">
      <alignment vertical="center" wrapText="1"/>
    </xf>
    <xf numFmtId="0" fontId="8" fillId="0" borderId="4" xfId="0" applyFont="1" applyFill="1" applyBorder="1" applyAlignment="1">
      <alignment vertical="center" wrapText="1"/>
    </xf>
    <xf numFmtId="0" fontId="3" fillId="0" borderId="4" xfId="0" applyFont="1" applyFill="1" applyBorder="1" applyAlignment="1">
      <alignment vertical="center" wrapText="1"/>
    </xf>
    <xf numFmtId="0" fontId="5" fillId="0" borderId="6" xfId="0" applyFont="1" applyFill="1" applyBorder="1" applyAlignment="1">
      <alignment horizontal="center" vertical="top"/>
    </xf>
    <xf numFmtId="0" fontId="5" fillId="0" borderId="6" xfId="0" applyFont="1" applyFill="1" applyBorder="1"/>
    <xf numFmtId="0" fontId="5" fillId="0" borderId="7" xfId="0" applyFont="1" applyFill="1" applyBorder="1" applyAlignment="1">
      <alignment horizontal="center" vertical="top"/>
    </xf>
    <xf numFmtId="0" fontId="5" fillId="0" borderId="8" xfId="0" applyFont="1" applyFill="1" applyBorder="1" applyAlignment="1">
      <alignment horizontal="center" vertical="top"/>
    </xf>
    <xf numFmtId="0" fontId="5" fillId="3" borderId="8" xfId="0" applyFont="1" applyFill="1" applyBorder="1" applyAlignment="1">
      <alignment horizontal="center" vertical="top"/>
    </xf>
    <xf numFmtId="0" fontId="5" fillId="3" borderId="6" xfId="0" applyFont="1" applyFill="1" applyBorder="1" applyAlignment="1">
      <alignment horizontal="center" vertical="top"/>
    </xf>
    <xf numFmtId="0" fontId="5" fillId="0" borderId="9" xfId="0" applyFont="1" applyFill="1" applyBorder="1" applyAlignment="1">
      <alignment vertical="center" wrapText="1"/>
    </xf>
    <xf numFmtId="0" fontId="5" fillId="0" borderId="9" xfId="0" applyFont="1" applyFill="1" applyBorder="1"/>
    <xf numFmtId="0" fontId="5" fillId="0" borderId="10" xfId="0" applyFont="1" applyFill="1" applyBorder="1"/>
    <xf numFmtId="0" fontId="5" fillId="0" borderId="11" xfId="0" applyFont="1" applyFill="1" applyBorder="1" applyAlignment="1">
      <alignment horizontal="left" vertical="center" wrapText="1" indent="1"/>
    </xf>
    <xf numFmtId="0" fontId="5" fillId="0" borderId="9" xfId="0" applyFont="1" applyFill="1" applyBorder="1" applyAlignment="1">
      <alignment horizontal="left" vertical="center" wrapText="1" indent="1"/>
    </xf>
    <xf numFmtId="0" fontId="5" fillId="3" borderId="11" xfId="0" applyFont="1" applyFill="1" applyBorder="1"/>
    <xf numFmtId="0" fontId="5" fillId="3" borderId="9" xfId="0" applyFont="1" applyFill="1" applyBorder="1"/>
    <xf numFmtId="0" fontId="5" fillId="0" borderId="9" xfId="0" applyFont="1" applyFill="1" applyBorder="1" applyAlignment="1">
      <alignment vertical="center"/>
    </xf>
    <xf numFmtId="0" fontId="5" fillId="3" borderId="9" xfId="0" applyFont="1" applyFill="1" applyBorder="1" applyAlignment="1">
      <alignment horizontal="left" vertical="center" wrapText="1"/>
    </xf>
    <xf numFmtId="0" fontId="5" fillId="0" borderId="10" xfId="0" applyFont="1" applyFill="1" applyBorder="1" applyAlignment="1"/>
    <xf numFmtId="0" fontId="5" fillId="0" borderId="10" xfId="0" applyFont="1" applyFill="1" applyBorder="1" applyAlignment="1">
      <alignment wrapText="1"/>
    </xf>
    <xf numFmtId="0" fontId="5" fillId="3" borderId="11" xfId="0" applyFont="1" applyFill="1" applyBorder="1" applyAlignment="1">
      <alignment horizontal="left" vertical="center" wrapText="1" indent="1"/>
    </xf>
    <xf numFmtId="0" fontId="5" fillId="3" borderId="9" xfId="0" applyFont="1" applyFill="1" applyBorder="1" applyAlignment="1">
      <alignment horizontal="left" vertical="center" wrapText="1" indent="1"/>
    </xf>
    <xf numFmtId="0" fontId="5" fillId="0" borderId="9" xfId="0" applyFont="1" applyFill="1" applyBorder="1" applyAlignment="1">
      <alignment wrapText="1"/>
    </xf>
    <xf numFmtId="0" fontId="5" fillId="3" borderId="9" xfId="0" applyFont="1" applyFill="1" applyBorder="1" applyAlignment="1">
      <alignment vertical="center" wrapText="1"/>
    </xf>
    <xf numFmtId="0" fontId="5" fillId="0" borderId="9" xfId="0" applyFont="1" applyFill="1" applyBorder="1" applyAlignment="1">
      <alignment horizontal="right" vertical="center" wrapText="1" indent="1"/>
    </xf>
    <xf numFmtId="0" fontId="5" fillId="3" borderId="9" xfId="0" applyFont="1" applyFill="1" applyBorder="1" applyAlignment="1">
      <alignment horizontal="right" vertical="center" wrapText="1" indent="1"/>
    </xf>
    <xf numFmtId="0" fontId="5" fillId="3" borderId="11" xfId="0" applyFont="1" applyFill="1" applyBorder="1" applyAlignment="1">
      <alignment horizontal="right" vertical="center" wrapText="1" indent="1"/>
    </xf>
    <xf numFmtId="0" fontId="5" fillId="3" borderId="9" xfId="0" applyFont="1" applyFill="1" applyBorder="1" applyAlignment="1">
      <alignment wrapText="1"/>
    </xf>
    <xf numFmtId="0" fontId="5" fillId="3" borderId="11" xfId="0" applyFont="1" applyFill="1" applyBorder="1" applyAlignment="1">
      <alignment vertical="center" wrapText="1"/>
    </xf>
    <xf numFmtId="0" fontId="5" fillId="0" borderId="10" xfId="0" applyFont="1" applyFill="1" applyBorder="1" applyAlignment="1">
      <alignment vertical="center"/>
    </xf>
    <xf numFmtId="0" fontId="5" fillId="0" borderId="12" xfId="0" applyFont="1" applyFill="1" applyBorder="1" applyAlignment="1">
      <alignment wrapText="1"/>
    </xf>
    <xf numFmtId="0" fontId="5" fillId="0" borderId="11" xfId="0" applyFont="1" applyFill="1" applyBorder="1"/>
    <xf numFmtId="0" fontId="5" fillId="3" borderId="13" xfId="0" applyFont="1" applyFill="1" applyBorder="1" applyAlignment="1">
      <alignment horizontal="left" vertical="center" wrapText="1" indent="1"/>
    </xf>
    <xf numFmtId="0" fontId="5" fillId="0" borderId="14" xfId="0" applyFont="1" applyFill="1" applyBorder="1" applyAlignment="1">
      <alignment horizontal="left" vertical="center" wrapText="1" indent="1"/>
    </xf>
    <xf numFmtId="0" fontId="5" fillId="3" borderId="15" xfId="0" applyFont="1" applyFill="1" applyBorder="1" applyAlignment="1">
      <alignment horizontal="left" vertical="center" wrapText="1" indent="1"/>
    </xf>
    <xf numFmtId="0" fontId="5" fillId="0" borderId="10" xfId="0" applyFont="1" applyFill="1" applyBorder="1" applyAlignment="1">
      <alignment vertical="center" wrapText="1"/>
    </xf>
    <xf numFmtId="0" fontId="6" fillId="0" borderId="9" xfId="1" applyFont="1" applyFill="1" applyBorder="1"/>
    <xf numFmtId="0" fontId="4" fillId="0" borderId="9" xfId="0" applyFont="1" applyBorder="1"/>
    <xf numFmtId="0" fontId="10" fillId="0" borderId="10" xfId="0" applyFont="1" applyFill="1" applyBorder="1" applyAlignment="1">
      <alignment vertical="center" wrapText="1"/>
    </xf>
    <xf numFmtId="0" fontId="9" fillId="2" borderId="12" xfId="0" applyFont="1" applyFill="1" applyBorder="1" applyAlignment="1">
      <alignment wrapText="1"/>
    </xf>
    <xf numFmtId="0" fontId="4" fillId="2" borderId="12" xfId="0" applyFont="1" applyFill="1" applyBorder="1" applyAlignment="1">
      <alignment wrapText="1"/>
    </xf>
    <xf numFmtId="0" fontId="8" fillId="0" borderId="9" xfId="0" applyFont="1" applyFill="1" applyBorder="1" applyAlignment="1">
      <alignment vertical="center" wrapText="1"/>
    </xf>
    <xf numFmtId="0" fontId="0" fillId="0" borderId="10" xfId="0" applyBorder="1"/>
    <xf numFmtId="0" fontId="8" fillId="0" borderId="10" xfId="0" applyFont="1" applyFill="1" applyBorder="1" applyAlignment="1">
      <alignment vertical="center" wrapText="1"/>
    </xf>
    <xf numFmtId="0" fontId="17" fillId="2" borderId="2"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39" Type="http://schemas.openxmlformats.org/officeDocument/2006/relationships/hyperlink" Target="https://www.highbrow.com/" TargetMode="External"/><Relationship Id="rId21" Type="http://schemas.openxmlformats.org/officeDocument/2006/relationships/hyperlink" Target="https://forum.gamer.com.tw/" TargetMode="External"/><Relationship Id="rId34" Type="http://schemas.openxmlformats.org/officeDocument/2006/relationships/hyperlink" Target="https://apps.apple.com/app/id6748193496&#12288;" TargetMode="External"/><Relationship Id="rId42" Type="http://schemas.openxmlformats.org/officeDocument/2006/relationships/hyperlink" Target="https://www.facebook.com/brawlstars" TargetMode="External"/><Relationship Id="rId47" Type="http://schemas.openxmlformats.org/officeDocument/2006/relationships/hyperlink" Target="https://tw.ncsoft.com/lostsword" TargetMode="External"/><Relationship Id="rId50" Type="http://schemas.openxmlformats.org/officeDocument/2006/relationships/hyperlink" Target="https://www.facebook.com/SquadBustersGame/" TargetMode="External"/><Relationship Id="rId55" Type="http://schemas.openxmlformats.org/officeDocument/2006/relationships/hyperlink" Target="https://ts5n.chinesegamer.hk/" TargetMode="External"/><Relationship Id="rId7" Type="http://schemas.openxmlformats.org/officeDocument/2006/relationships/hyperlink" Target="https://forum.gamer.com.tw/Co.php?bsn=60076&amp;sn=103640542"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16" Type="http://schemas.openxmlformats.org/officeDocument/2006/relationships/hyperlink" Target="https://www.facebook.com/TW.realmonster" TargetMode="External"/><Relationship Id="rId29" Type="http://schemas.openxmlformats.org/officeDocument/2006/relationships/hyperlink" Target="https://forum.gamer.com.tw/"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24" Type="http://schemas.openxmlformats.org/officeDocument/2006/relationships/hyperlink" Target="https://www.facebook.com/profile.php?id=61577308460249" TargetMode="External"/><Relationship Id="rId32" Type="http://schemas.openxmlformats.org/officeDocument/2006/relationships/hyperlink" Target="https://forum.gamer.com.tw/B.php?bsn=83350" TargetMode="External"/><Relationship Id="rId37" Type="http://schemas.openxmlformats.org/officeDocument/2006/relationships/hyperlink" Target="https://play.google.com/store/apps/details?id=com.xd.etheria.gp.glb&amp;hl=zh_TW" TargetMode="External"/><Relationship Id="rId40"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53" Type="http://schemas.openxmlformats.org/officeDocument/2006/relationships/hyperlink" Target="https://apps.apple.com/tw/app/%E6%9C%88%E5%85%94%E8%8C%B6%E5%B1%8B-%E6%82%A0%E9%96%92%E4%B9%8B%E6%97%85-tsuki-tea-house/id6505020147"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9" Type="http://schemas.openxmlformats.org/officeDocument/2006/relationships/hyperlink" Target="https://play.google.com/store/apps/details?id=com.statewill.shzz"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4" Type="http://schemas.openxmlformats.org/officeDocument/2006/relationships/hyperlink" Target="https://overbrawl.knetgame.com/pre" TargetMode="External"/><Relationship Id="rId22" Type="http://schemas.openxmlformats.org/officeDocument/2006/relationships/hyperlink" Target="https://forum.gamer.com.tw/B.php?bsn=79185" TargetMode="External"/><Relationship Id="rId27" Type="http://schemas.openxmlformats.org/officeDocument/2006/relationships/hyperlink" Target="https://apps.apple.com/hk/app/%E6%9C%AA%E9%91%91%E5%AE%9A%E5%8B%87%E8%80%85%E5%9C%98-%E9%81%8B%E6%B0%A3%E5%9E%8B%E6%94%BE%E7%BD%AErpg/id6744206189"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43" Type="http://schemas.openxmlformats.org/officeDocument/2006/relationships/hyperlink" Target="https://apps.apple.com/tw/app/%E8%8D%92%E9%87%8E%E4%BA%82%E9%AC%A5/id1229016807" TargetMode="External"/><Relationship Id="rId48" Type="http://schemas.openxmlformats.org/officeDocument/2006/relationships/hyperlink" Target="https://www.facebook.com/LostSwordOfficial.TW/"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3" Type="http://schemas.openxmlformats.org/officeDocument/2006/relationships/hyperlink" Target="https://www.gamer.com.tw/" TargetMode="External"/><Relationship Id="rId12" Type="http://schemas.openxmlformats.org/officeDocument/2006/relationships/hyperlink" Target="https://acg.gamer.com.tw/acgDetail.php?s=146280" TargetMode="External"/><Relationship Id="rId17" Type="http://schemas.openxmlformats.org/officeDocument/2006/relationships/hyperlink" Target="https://forum.gamer.com.tw/" TargetMode="External"/><Relationship Id="rId25" Type="http://schemas.openxmlformats.org/officeDocument/2006/relationships/hyperlink" Target="https://apps.apple.com/cn/app/%E8%8B%B1%E5%8B%87%E4%B9%8B%E5%9C%B0/id6480160896" TargetMode="External"/><Relationship Id="rId33"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46" Type="http://schemas.openxmlformats.org/officeDocument/2006/relationships/hyperlink" Target="https://apps.apple.com/tw/app/%E9%81%BA%E5%BF%98%E4%B9%8B%E5%8A%8D/id6744879430"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54" Type="http://schemas.openxmlformats.org/officeDocument/2006/relationships/hyperlink" Target="https://play.google.com/store/apps/details?id=com.hyperbeard.tsukiteahouse&amp;hl=zh_HK" TargetMode="External"/><Relationship Id="rId1" Type="http://schemas.openxmlformats.org/officeDocument/2006/relationships/hyperlink" Target="https://apps.apple.com/tw/app/%E9%AD%94%E6%B3%95%E9%BB%AF%E9%81%93/id6745922493" TargetMode="External"/><Relationship Id="rId6" Type="http://schemas.openxmlformats.org/officeDocument/2006/relationships/hyperlink" Target="https://apps.apple.com/us/app/%E7%A5%9E%E4%BB%A3%E7%B4%80%E4%BA%8B-%E5%83%8F%E7%B4%A0%E9%A2%A8roguelike%E9%81%8A%E6%88%B2/id6720742591" TargetMode="External"/><Relationship Id="rId15" Type="http://schemas.openxmlformats.org/officeDocument/2006/relationships/hyperlink" Target="https://apps.apple.com/tw/app/%E8%B6%85%E8%9D%A6%E5%A4%A7%E4%BD%9C%E6%88%B0/id6746176096" TargetMode="External"/><Relationship Id="rId23" Type="http://schemas.openxmlformats.org/officeDocument/2006/relationships/hyperlink" Target="https://play.google.com/store/apps/details?id=com.orienjoy.heroland&amp;hl=ln" TargetMode="External"/><Relationship Id="rId28" Type="http://schemas.openxmlformats.org/officeDocument/2006/relationships/hyperlink" Target="https://www.facebook.com/profile.php?id=61577386190686" TargetMode="External"/><Relationship Id="rId36" Type="http://schemas.openxmlformats.org/officeDocument/2006/relationships/hyperlink" Target="https://www.facebook.com/etheriatw.official" TargetMode="External"/><Relationship Id="rId49" Type="http://schemas.openxmlformats.org/officeDocument/2006/relationships/hyperlink" Target="https://play.google.com/store/apps/details?id=com.nctaiwan.lsnct&amp;hl=zh_TW" TargetMode="External"/><Relationship Id="rId57" Type="http://schemas.openxmlformats.org/officeDocument/2006/relationships/printerSettings" Target="../printerSettings/printerSettings1.bin"/><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44" Type="http://schemas.openxmlformats.org/officeDocument/2006/relationships/hyperlink" Target="https://play.google.com/store/apps/details?id=com.supercell.brawlstars&amp;hl=zh_TW" TargetMode="External"/><Relationship Id="rId52" Type="http://schemas.openxmlformats.org/officeDocument/2006/relationships/hyperlink" Target="https://apps.apple.com/tw/app/%E7%A0%B4%E5%A3%9E%E7%AA%81%E6%93%8A%E9%9A%8A/id1668983788"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33"/>
  <sheetViews>
    <sheetView tabSelected="1" zoomScaleNormal="100" workbookViewId="0">
      <pane xSplit="1" ySplit="1" topLeftCell="B195" activePane="bottomRight" state="frozen"/>
      <selection pane="topRight" activeCell="B1" sqref="B1"/>
      <selection pane="bottomLeft" activeCell="A2" sqref="A2"/>
      <selection pane="bottomRight" activeCell="A197" sqref="A197"/>
    </sheetView>
  </sheetViews>
  <sheetFormatPr defaultColWidth="8.875" defaultRowHeight="15" x14ac:dyDescent="0.25"/>
  <cols>
    <col min="1" max="1" width="27" style="1" customWidth="1"/>
    <col min="2" max="3" width="14.625" style="1" customWidth="1"/>
    <col min="4" max="5" width="14.625" style="2" customWidth="1"/>
    <col min="6" max="6" width="10.75" style="1" customWidth="1"/>
    <col min="7" max="7" width="10.75" style="2" customWidth="1"/>
    <col min="8" max="8" width="20" style="2" customWidth="1"/>
    <col min="9" max="9" width="10.75" style="39" customWidth="1"/>
    <col min="10" max="10" width="7" style="41" customWidth="1"/>
    <col min="11" max="39" width="7" style="1" customWidth="1"/>
    <col min="40" max="16384" width="8.875" style="1"/>
  </cols>
  <sheetData>
    <row r="1" spans="1:43" ht="45.75" customHeight="1" x14ac:dyDescent="0.25">
      <c r="A1" s="6" t="s">
        <v>327</v>
      </c>
      <c r="B1" s="6" t="s">
        <v>1</v>
      </c>
      <c r="C1" s="6" t="s">
        <v>0</v>
      </c>
      <c r="D1" s="7" t="s">
        <v>328</v>
      </c>
      <c r="E1" s="7" t="s">
        <v>3554</v>
      </c>
      <c r="F1" s="6" t="s">
        <v>329</v>
      </c>
      <c r="G1" s="7" t="s">
        <v>3524</v>
      </c>
      <c r="H1" s="7" t="s">
        <v>1539</v>
      </c>
      <c r="I1" s="33" t="s">
        <v>330</v>
      </c>
      <c r="J1" s="34" t="s">
        <v>331</v>
      </c>
      <c r="K1" s="6" t="s">
        <v>332</v>
      </c>
      <c r="L1" s="6" t="s">
        <v>333</v>
      </c>
      <c r="M1" s="6" t="s">
        <v>334</v>
      </c>
      <c r="N1" s="6" t="s">
        <v>335</v>
      </c>
      <c r="O1" s="6" t="s">
        <v>336</v>
      </c>
      <c r="P1" s="6" t="s">
        <v>337</v>
      </c>
      <c r="Q1" s="6" t="s">
        <v>338</v>
      </c>
      <c r="R1" s="6" t="s">
        <v>339</v>
      </c>
      <c r="S1" s="6" t="s">
        <v>340</v>
      </c>
      <c r="T1" s="6" t="s">
        <v>341</v>
      </c>
      <c r="U1" s="6" t="s">
        <v>342</v>
      </c>
      <c r="V1" s="6" t="s">
        <v>343</v>
      </c>
      <c r="W1" s="6" t="s">
        <v>344</v>
      </c>
      <c r="X1" s="6" t="s">
        <v>345</v>
      </c>
      <c r="Y1" s="6" t="s">
        <v>346</v>
      </c>
      <c r="Z1" s="6" t="s">
        <v>347</v>
      </c>
      <c r="AA1" s="6" t="s">
        <v>348</v>
      </c>
      <c r="AB1" s="6" t="s">
        <v>349</v>
      </c>
      <c r="AC1" s="6" t="s">
        <v>350</v>
      </c>
      <c r="AD1" s="6" t="s">
        <v>351</v>
      </c>
      <c r="AE1" s="6" t="s">
        <v>352</v>
      </c>
      <c r="AF1" s="6" t="s">
        <v>353</v>
      </c>
      <c r="AG1" s="6" t="s">
        <v>354</v>
      </c>
      <c r="AH1" s="6" t="s">
        <v>355</v>
      </c>
      <c r="AI1" s="6" t="s">
        <v>356</v>
      </c>
      <c r="AJ1" s="6" t="s">
        <v>357</v>
      </c>
      <c r="AK1" s="6" t="s">
        <v>358</v>
      </c>
      <c r="AL1" s="6" t="s">
        <v>359</v>
      </c>
      <c r="AM1" s="6" t="s">
        <v>360</v>
      </c>
      <c r="AN1" s="6"/>
      <c r="AO1" s="6"/>
      <c r="AP1" s="8"/>
      <c r="AQ1" s="8"/>
    </row>
    <row r="2" spans="1:43" ht="23.25" customHeight="1" x14ac:dyDescent="0.3">
      <c r="A2" s="8" t="s">
        <v>361</v>
      </c>
      <c r="B2" s="8"/>
      <c r="C2" s="8"/>
      <c r="D2" s="9"/>
      <c r="E2" s="10"/>
      <c r="F2" s="10" t="str">
        <f>"gift-codes.html?game=" &amp; A2</f>
        <v>gift-codes.html?game=巔峰極速</v>
      </c>
      <c r="G2" s="10"/>
      <c r="H2" s="10" t="str">
        <f>"https://www.ssbuy.tw/game-detail.html?game="&amp;A2</f>
        <v>https://www.ssbuy.tw/game-detail.html?game=巔峰極速</v>
      </c>
      <c r="I2" s="27" t="s">
        <v>362</v>
      </c>
      <c r="J2" s="32" t="s">
        <v>363</v>
      </c>
      <c r="K2" s="8">
        <v>30</v>
      </c>
      <c r="L2" s="8" t="s">
        <v>364</v>
      </c>
      <c r="M2" s="8">
        <v>137</v>
      </c>
      <c r="N2" s="8" t="s">
        <v>365</v>
      </c>
      <c r="O2" s="8">
        <v>260</v>
      </c>
      <c r="P2" s="8" t="s">
        <v>366</v>
      </c>
      <c r="Q2" s="8">
        <v>390</v>
      </c>
      <c r="R2" s="8" t="s">
        <v>367</v>
      </c>
      <c r="S2" s="8">
        <v>520</v>
      </c>
      <c r="T2" s="8" t="s">
        <v>368</v>
      </c>
      <c r="U2" s="8">
        <v>780</v>
      </c>
      <c r="V2" s="8" t="s">
        <v>369</v>
      </c>
      <c r="W2" s="8">
        <v>1300</v>
      </c>
      <c r="X2" s="8" t="s">
        <v>370</v>
      </c>
      <c r="Y2" s="8">
        <v>2395</v>
      </c>
      <c r="Z2" s="8" t="s">
        <v>371</v>
      </c>
      <c r="AA2" s="8">
        <v>137</v>
      </c>
      <c r="AB2" s="8" t="s">
        <v>372</v>
      </c>
      <c r="AC2" s="8">
        <v>260</v>
      </c>
      <c r="AD2" s="8" t="s">
        <v>373</v>
      </c>
      <c r="AE2" s="8">
        <v>520</v>
      </c>
      <c r="AF2" s="8" t="s">
        <v>374</v>
      </c>
      <c r="AG2" s="8">
        <v>1260</v>
      </c>
      <c r="AH2" s="8" t="s">
        <v>375</v>
      </c>
      <c r="AI2" s="8">
        <v>1150</v>
      </c>
      <c r="AJ2" s="8"/>
      <c r="AK2" s="8"/>
      <c r="AL2" s="8"/>
      <c r="AM2" s="8"/>
      <c r="AN2" s="8"/>
      <c r="AO2" s="8"/>
      <c r="AP2" s="8"/>
      <c r="AQ2" s="8"/>
    </row>
    <row r="3" spans="1:43" ht="23.25" customHeight="1" x14ac:dyDescent="0.3">
      <c r="A3" s="8" t="s">
        <v>376</v>
      </c>
      <c r="B3" s="8"/>
      <c r="C3" s="8"/>
      <c r="D3" s="9"/>
      <c r="E3" s="10"/>
      <c r="F3" s="10" t="str">
        <f t="shared" ref="F3:F66" si="0">"gift-codes.html?game=" &amp; A3</f>
        <v>gift-codes.html?game=原神</v>
      </c>
      <c r="G3" s="10"/>
      <c r="H3" s="10" t="str">
        <f t="shared" ref="H3:H66" si="1">"https://www.ssbuy.tw/game-detail.html?game="&amp;A3</f>
        <v>https://www.ssbuy.tw/game-detail.html?game=原神</v>
      </c>
      <c r="I3" s="27" t="s">
        <v>377</v>
      </c>
      <c r="J3" s="32" t="s">
        <v>378</v>
      </c>
      <c r="K3" s="8">
        <v>30</v>
      </c>
      <c r="L3" s="8" t="s">
        <v>379</v>
      </c>
      <c r="M3" s="8">
        <v>137</v>
      </c>
      <c r="N3" s="8" t="s">
        <v>380</v>
      </c>
      <c r="O3" s="8">
        <v>390</v>
      </c>
      <c r="P3" s="8" t="s">
        <v>381</v>
      </c>
      <c r="Q3" s="8">
        <v>780</v>
      </c>
      <c r="R3" s="8" t="s">
        <v>382</v>
      </c>
      <c r="S3" s="8">
        <v>1300</v>
      </c>
      <c r="T3" s="8" t="s">
        <v>383</v>
      </c>
      <c r="U3" s="8">
        <v>2350</v>
      </c>
      <c r="V3" s="8" t="s">
        <v>384</v>
      </c>
      <c r="W3" s="8">
        <v>137</v>
      </c>
      <c r="X3" s="8" t="s">
        <v>385</v>
      </c>
      <c r="Y3" s="8">
        <v>260</v>
      </c>
      <c r="Z3" s="8" t="s">
        <v>386</v>
      </c>
      <c r="AA3" s="8">
        <v>520</v>
      </c>
      <c r="AB3" s="8"/>
      <c r="AC3" s="8"/>
      <c r="AD3" s="8"/>
      <c r="AE3" s="8"/>
      <c r="AF3" s="8"/>
      <c r="AG3" s="8"/>
      <c r="AH3" s="8"/>
      <c r="AI3" s="8"/>
      <c r="AJ3" s="8"/>
      <c r="AK3" s="8"/>
      <c r="AL3" s="8"/>
      <c r="AM3" s="8"/>
      <c r="AN3" s="8"/>
      <c r="AO3" s="8"/>
      <c r="AP3" s="8"/>
      <c r="AQ3" s="8"/>
    </row>
    <row r="4" spans="1:43" ht="23.25" customHeight="1" x14ac:dyDescent="0.3">
      <c r="A4" s="8" t="s">
        <v>387</v>
      </c>
      <c r="B4" s="8"/>
      <c r="C4" s="8"/>
      <c r="D4" s="9"/>
      <c r="E4" s="10"/>
      <c r="F4" s="10" t="str">
        <f t="shared" si="0"/>
        <v>gift-codes.html?game=極速快感</v>
      </c>
      <c r="G4" s="10"/>
      <c r="H4" s="10" t="str">
        <f t="shared" si="1"/>
        <v>https://www.ssbuy.tw/game-detail.html?game=極速快感</v>
      </c>
      <c r="I4" s="27" t="s">
        <v>388</v>
      </c>
      <c r="J4" s="32" t="s">
        <v>389</v>
      </c>
      <c r="K4" s="8">
        <v>35</v>
      </c>
      <c r="L4" s="8" t="s">
        <v>390</v>
      </c>
      <c r="M4" s="8">
        <v>137</v>
      </c>
      <c r="N4" s="8" t="s">
        <v>391</v>
      </c>
      <c r="O4" s="8">
        <v>264</v>
      </c>
      <c r="P4" s="8" t="s">
        <v>392</v>
      </c>
      <c r="Q4" s="8">
        <v>394</v>
      </c>
      <c r="R4" s="8" t="s">
        <v>393</v>
      </c>
      <c r="S4" s="8">
        <v>786</v>
      </c>
      <c r="T4" s="8" t="s">
        <v>394</v>
      </c>
      <c r="U4" s="8">
        <v>1130</v>
      </c>
      <c r="V4" s="8" t="s">
        <v>395</v>
      </c>
      <c r="W4" s="8">
        <v>1323</v>
      </c>
      <c r="X4" s="8" t="s">
        <v>396</v>
      </c>
      <c r="Y4" s="8">
        <v>2551</v>
      </c>
      <c r="Z4" s="8" t="s">
        <v>397</v>
      </c>
      <c r="AA4" s="8">
        <v>137</v>
      </c>
      <c r="AB4" s="8" t="s">
        <v>398</v>
      </c>
      <c r="AC4" s="8">
        <v>270</v>
      </c>
      <c r="AD4" s="8" t="s">
        <v>399</v>
      </c>
      <c r="AE4" s="8">
        <v>540</v>
      </c>
      <c r="AF4" s="8" t="s">
        <v>400</v>
      </c>
      <c r="AG4" s="8">
        <v>267</v>
      </c>
      <c r="AH4" s="8"/>
      <c r="AI4" s="8"/>
      <c r="AJ4" s="8"/>
      <c r="AK4" s="8"/>
      <c r="AL4" s="8"/>
      <c r="AM4" s="8"/>
      <c r="AN4" s="8"/>
      <c r="AO4" s="8"/>
      <c r="AP4" s="8"/>
      <c r="AQ4" s="8"/>
    </row>
    <row r="5" spans="1:43" ht="23.25" customHeight="1" x14ac:dyDescent="0.3">
      <c r="A5" s="8" t="s">
        <v>401</v>
      </c>
      <c r="B5" s="8"/>
      <c r="C5" s="8"/>
      <c r="D5" s="9"/>
      <c r="E5" s="5"/>
      <c r="F5" s="10" t="str">
        <f t="shared" si="0"/>
        <v>gift-codes.html?game=俠客傳說：小小英雄</v>
      </c>
      <c r="G5" s="10"/>
      <c r="H5" s="10" t="str">
        <f t="shared" si="1"/>
        <v>https://www.ssbuy.tw/game-detail.html?game=俠客傳說：小小英雄</v>
      </c>
      <c r="I5" s="27" t="s">
        <v>402</v>
      </c>
      <c r="J5" s="32" t="s">
        <v>403</v>
      </c>
      <c r="K5" s="8">
        <v>8300</v>
      </c>
      <c r="L5" s="8" t="s">
        <v>404</v>
      </c>
      <c r="M5" s="8">
        <v>2551</v>
      </c>
      <c r="N5" s="8" t="s">
        <v>405</v>
      </c>
      <c r="O5" s="8">
        <v>1323</v>
      </c>
      <c r="P5" s="8" t="s">
        <v>406</v>
      </c>
      <c r="Q5" s="8">
        <v>539</v>
      </c>
      <c r="R5" s="8" t="s">
        <v>407</v>
      </c>
      <c r="S5" s="8">
        <v>267</v>
      </c>
      <c r="T5" s="8" t="s">
        <v>408</v>
      </c>
      <c r="U5" s="8">
        <v>137</v>
      </c>
      <c r="V5" s="8" t="s">
        <v>409</v>
      </c>
      <c r="W5" s="8">
        <v>40</v>
      </c>
      <c r="X5" s="8"/>
      <c r="Y5" s="8"/>
      <c r="Z5" s="8"/>
      <c r="AA5" s="8"/>
      <c r="AB5" s="8"/>
      <c r="AC5" s="8"/>
      <c r="AD5" s="8"/>
      <c r="AE5" s="8"/>
      <c r="AF5" s="8"/>
      <c r="AG5" s="8"/>
      <c r="AH5" s="8"/>
      <c r="AI5" s="8"/>
      <c r="AJ5" s="8"/>
      <c r="AK5" s="8"/>
      <c r="AL5" s="8"/>
      <c r="AM5" s="8"/>
      <c r="AN5" s="8"/>
      <c r="AO5" s="8"/>
      <c r="AP5" s="8"/>
      <c r="AQ5" s="8"/>
    </row>
    <row r="6" spans="1:43" ht="23.25" customHeight="1" x14ac:dyDescent="0.3">
      <c r="A6" s="8" t="s">
        <v>410</v>
      </c>
      <c r="B6" s="8"/>
      <c r="C6" s="8"/>
      <c r="D6" s="10"/>
      <c r="E6" s="10"/>
      <c r="F6" s="10" t="str">
        <f t="shared" si="0"/>
        <v>gift-codes.html?game=逆水寒</v>
      </c>
      <c r="G6" s="10"/>
      <c r="H6" s="10" t="str">
        <f t="shared" si="1"/>
        <v>https://www.ssbuy.tw/game-detail.html?game=逆水寒</v>
      </c>
      <c r="I6" s="27" t="s">
        <v>411</v>
      </c>
      <c r="J6" s="32" t="s">
        <v>412</v>
      </c>
      <c r="K6" s="8">
        <v>2390</v>
      </c>
      <c r="L6" s="8" t="s">
        <v>413</v>
      </c>
      <c r="M6" s="8">
        <v>1323</v>
      </c>
      <c r="N6" s="8" t="s">
        <v>414</v>
      </c>
      <c r="O6" s="8">
        <v>810</v>
      </c>
      <c r="P6" s="8" t="s">
        <v>415</v>
      </c>
      <c r="Q6" s="8">
        <v>410</v>
      </c>
      <c r="R6" s="8" t="s">
        <v>416</v>
      </c>
      <c r="S6" s="8">
        <v>137</v>
      </c>
      <c r="T6" s="8" t="s">
        <v>417</v>
      </c>
      <c r="U6" s="8">
        <v>30</v>
      </c>
      <c r="V6" s="8"/>
      <c r="W6" s="8"/>
      <c r="X6" s="8"/>
      <c r="Y6" s="8"/>
      <c r="Z6" s="8"/>
      <c r="AA6" s="8"/>
      <c r="AB6" s="8"/>
      <c r="AC6" s="8"/>
      <c r="AD6" s="8"/>
      <c r="AE6" s="8"/>
      <c r="AF6" s="8"/>
      <c r="AG6" s="8"/>
      <c r="AH6" s="8"/>
      <c r="AI6" s="8"/>
      <c r="AJ6" s="8"/>
      <c r="AK6" s="8"/>
      <c r="AL6" s="8"/>
      <c r="AM6" s="8"/>
      <c r="AN6" s="8"/>
      <c r="AO6" s="8"/>
      <c r="AP6" s="8"/>
      <c r="AQ6" s="8"/>
    </row>
    <row r="7" spans="1:43" ht="23.25" customHeight="1" x14ac:dyDescent="0.3">
      <c r="A7" s="8" t="s">
        <v>418</v>
      </c>
      <c r="B7" s="8"/>
      <c r="C7" s="8"/>
      <c r="D7" s="10"/>
      <c r="E7" s="10"/>
      <c r="F7" s="10" t="str">
        <f t="shared" si="0"/>
        <v>gift-codes.html?game=RO仙境傳說：一定要可愛</v>
      </c>
      <c r="G7" s="10"/>
      <c r="H7" s="10" t="str">
        <f t="shared" si="1"/>
        <v>https://www.ssbuy.tw/game-detail.html?game=RO仙境傳說：一定要可愛</v>
      </c>
      <c r="I7" s="27" t="s">
        <v>419</v>
      </c>
      <c r="J7" s="32" t="s">
        <v>420</v>
      </c>
      <c r="K7" s="8">
        <v>2551</v>
      </c>
      <c r="L7" s="8" t="s">
        <v>421</v>
      </c>
      <c r="M7" s="8">
        <v>1720</v>
      </c>
      <c r="N7" s="8" t="s">
        <v>422</v>
      </c>
      <c r="O7" s="8">
        <v>786</v>
      </c>
      <c r="P7" s="8" t="s">
        <v>423</v>
      </c>
      <c r="Q7" s="8">
        <v>394</v>
      </c>
      <c r="R7" s="8" t="s">
        <v>424</v>
      </c>
      <c r="S7" s="8">
        <v>267</v>
      </c>
      <c r="T7" s="8" t="s">
        <v>425</v>
      </c>
      <c r="U7" s="8">
        <v>137</v>
      </c>
      <c r="V7" s="8" t="s">
        <v>426</v>
      </c>
      <c r="W7" s="8">
        <v>50</v>
      </c>
      <c r="X7" s="8"/>
      <c r="Y7" s="8"/>
      <c r="Z7" s="8"/>
      <c r="AA7" s="8"/>
      <c r="AB7" s="8"/>
      <c r="AC7" s="8"/>
      <c r="AD7" s="8"/>
      <c r="AE7" s="8"/>
      <c r="AF7" s="8"/>
      <c r="AG7" s="8"/>
      <c r="AH7" s="8"/>
      <c r="AI7" s="8"/>
      <c r="AJ7" s="8"/>
      <c r="AK7" s="8"/>
      <c r="AL7" s="8"/>
      <c r="AM7" s="8"/>
      <c r="AN7" s="8"/>
      <c r="AO7" s="8"/>
      <c r="AP7" s="8"/>
      <c r="AQ7" s="8"/>
    </row>
    <row r="8" spans="1:43" ht="23.25" customHeight="1" x14ac:dyDescent="0.3">
      <c r="A8" s="8" t="s">
        <v>427</v>
      </c>
      <c r="B8" s="8"/>
      <c r="C8" s="8"/>
      <c r="D8" s="10"/>
      <c r="E8" s="10"/>
      <c r="F8" s="10" t="str">
        <f t="shared" si="0"/>
        <v>gift-codes.html?game=RO新世代</v>
      </c>
      <c r="G8" s="10"/>
      <c r="H8" s="10" t="str">
        <f t="shared" si="1"/>
        <v>https://www.ssbuy.tw/game-detail.html?game=RO新世代</v>
      </c>
      <c r="I8" s="27" t="s">
        <v>428</v>
      </c>
      <c r="J8" s="32" t="s">
        <v>429</v>
      </c>
      <c r="K8" s="8">
        <v>2551</v>
      </c>
      <c r="L8" s="8" t="s">
        <v>430</v>
      </c>
      <c r="M8" s="8">
        <v>1323</v>
      </c>
      <c r="N8" s="8" t="s">
        <v>431</v>
      </c>
      <c r="O8" s="8">
        <v>786</v>
      </c>
      <c r="P8" s="8" t="s">
        <v>432</v>
      </c>
      <c r="Q8" s="8">
        <v>539</v>
      </c>
      <c r="R8" s="8" t="s">
        <v>433</v>
      </c>
      <c r="S8" s="8">
        <v>267</v>
      </c>
      <c r="T8" s="8" t="s">
        <v>434</v>
      </c>
      <c r="U8" s="8">
        <v>137</v>
      </c>
      <c r="V8" s="8" t="s">
        <v>435</v>
      </c>
      <c r="W8" s="8">
        <v>35</v>
      </c>
      <c r="X8" s="8"/>
      <c r="Y8" s="8"/>
      <c r="Z8" s="8"/>
      <c r="AA8" s="8"/>
      <c r="AB8" s="8"/>
      <c r="AC8" s="8"/>
      <c r="AD8" s="8"/>
      <c r="AE8" s="8"/>
      <c r="AF8" s="8"/>
      <c r="AG8" s="8"/>
      <c r="AH8" s="8"/>
      <c r="AI8" s="8"/>
      <c r="AJ8" s="8"/>
      <c r="AK8" s="8"/>
      <c r="AL8" s="8"/>
      <c r="AM8" s="8"/>
      <c r="AN8" s="8"/>
      <c r="AO8" s="8"/>
      <c r="AP8" s="8"/>
      <c r="AQ8" s="8"/>
    </row>
    <row r="9" spans="1:43" ht="23.25" customHeight="1" x14ac:dyDescent="0.3">
      <c r="A9" s="8" t="s">
        <v>436</v>
      </c>
      <c r="B9" s="8"/>
      <c r="C9" s="8"/>
      <c r="D9" s="10"/>
      <c r="E9" s="10"/>
      <c r="F9" s="10" t="str">
        <f t="shared" si="0"/>
        <v>gift-codes.html?game=上古：龍神覺醒</v>
      </c>
      <c r="G9" s="10"/>
      <c r="H9" s="10" t="str">
        <f t="shared" si="1"/>
        <v>https://www.ssbuy.tw/game-detail.html?game=上古：龍神覺醒</v>
      </c>
      <c r="I9" s="27" t="s">
        <v>437</v>
      </c>
      <c r="J9" s="32" t="s">
        <v>438</v>
      </c>
      <c r="K9" s="8">
        <v>2551</v>
      </c>
      <c r="L9" s="8" t="s">
        <v>439</v>
      </c>
      <c r="M9" s="8">
        <v>1380</v>
      </c>
      <c r="N9" s="8" t="s">
        <v>440</v>
      </c>
      <c r="O9" s="8">
        <v>830</v>
      </c>
      <c r="P9" s="8" t="s">
        <v>441</v>
      </c>
      <c r="Q9" s="8">
        <v>539</v>
      </c>
      <c r="R9" s="8" t="s">
        <v>442</v>
      </c>
      <c r="S9" s="8">
        <v>394</v>
      </c>
      <c r="T9" s="8" t="s">
        <v>443</v>
      </c>
      <c r="U9" s="8">
        <v>267</v>
      </c>
      <c r="V9" s="8" t="s">
        <v>444</v>
      </c>
      <c r="W9" s="8">
        <v>137</v>
      </c>
      <c r="X9" s="8" t="s">
        <v>445</v>
      </c>
      <c r="Y9" s="8">
        <v>35</v>
      </c>
      <c r="Z9" s="8"/>
      <c r="AA9" s="8"/>
      <c r="AB9" s="8"/>
      <c r="AC9" s="8"/>
      <c r="AD9" s="8"/>
      <c r="AE9" s="8"/>
      <c r="AF9" s="8"/>
      <c r="AG9" s="8"/>
      <c r="AH9" s="8"/>
      <c r="AI9" s="8"/>
      <c r="AJ9" s="8"/>
      <c r="AK9" s="8"/>
      <c r="AL9" s="8"/>
      <c r="AM9" s="8"/>
      <c r="AN9" s="8"/>
      <c r="AO9" s="8"/>
      <c r="AP9" s="8"/>
      <c r="AQ9" s="8"/>
    </row>
    <row r="10" spans="1:43" ht="23.25" customHeight="1" x14ac:dyDescent="0.3">
      <c r="A10" s="8" t="s">
        <v>446</v>
      </c>
      <c r="B10" s="8"/>
      <c r="C10" s="8"/>
      <c r="D10" s="10"/>
      <c r="E10" s="10"/>
      <c r="F10" s="10" t="str">
        <f t="shared" si="0"/>
        <v>gift-codes.html?game=小艦艦超勇</v>
      </c>
      <c r="G10" s="10"/>
      <c r="H10" s="10" t="str">
        <f t="shared" si="1"/>
        <v>https://www.ssbuy.tw/game-detail.html?game=小艦艦超勇</v>
      </c>
      <c r="I10" s="27" t="s">
        <v>447</v>
      </c>
      <c r="J10" s="32" t="s">
        <v>448</v>
      </c>
      <c r="K10" s="8">
        <v>2551</v>
      </c>
      <c r="L10" s="8" t="s">
        <v>449</v>
      </c>
      <c r="M10" s="8">
        <v>1323</v>
      </c>
      <c r="N10" s="8" t="s">
        <v>450</v>
      </c>
      <c r="O10" s="8">
        <v>539</v>
      </c>
      <c r="P10" s="8" t="s">
        <v>451</v>
      </c>
      <c r="Q10" s="8">
        <v>267</v>
      </c>
      <c r="R10" s="8" t="s">
        <v>452</v>
      </c>
      <c r="S10" s="8">
        <v>137</v>
      </c>
      <c r="T10" s="8" t="s">
        <v>453</v>
      </c>
      <c r="U10" s="8">
        <v>40</v>
      </c>
      <c r="V10" s="8"/>
      <c r="W10" s="8"/>
      <c r="X10" s="8"/>
      <c r="Y10" s="8"/>
      <c r="Z10" s="8"/>
      <c r="AA10" s="8"/>
      <c r="AB10" s="8"/>
      <c r="AC10" s="8"/>
      <c r="AD10" s="8"/>
      <c r="AE10" s="8"/>
      <c r="AF10" s="8"/>
      <c r="AG10" s="8"/>
      <c r="AH10" s="8"/>
      <c r="AI10" s="8"/>
      <c r="AJ10" s="8"/>
      <c r="AK10" s="8"/>
      <c r="AL10" s="8"/>
      <c r="AM10" s="8"/>
      <c r="AN10" s="8"/>
      <c r="AO10" s="8"/>
      <c r="AP10" s="8"/>
      <c r="AQ10" s="8"/>
    </row>
    <row r="11" spans="1:43" ht="23.25" customHeight="1" x14ac:dyDescent="0.3">
      <c r="A11" s="8" t="s">
        <v>454</v>
      </c>
      <c r="B11" s="8"/>
      <c r="C11" s="8"/>
      <c r="D11" s="10"/>
      <c r="E11" s="10"/>
      <c r="F11" s="10" t="str">
        <f t="shared" si="0"/>
        <v>gift-codes.html?game=天使軍團</v>
      </c>
      <c r="G11" s="10"/>
      <c r="H11" s="10" t="str">
        <f t="shared" si="1"/>
        <v>https://www.ssbuy.tw/game-detail.html?game=天使軍團</v>
      </c>
      <c r="I11" s="27" t="s">
        <v>455</v>
      </c>
      <c r="J11" s="32" t="s">
        <v>456</v>
      </c>
      <c r="K11" s="8">
        <v>2551</v>
      </c>
      <c r="L11" s="8" t="s">
        <v>457</v>
      </c>
      <c r="M11" s="8">
        <v>1323</v>
      </c>
      <c r="N11" s="8" t="s">
        <v>431</v>
      </c>
      <c r="O11" s="8">
        <v>786</v>
      </c>
      <c r="P11" s="8" t="s">
        <v>458</v>
      </c>
      <c r="Q11" s="8">
        <v>539</v>
      </c>
      <c r="R11" s="8" t="s">
        <v>459</v>
      </c>
      <c r="S11" s="8">
        <v>267</v>
      </c>
      <c r="T11" s="8" t="s">
        <v>460</v>
      </c>
      <c r="U11" s="8">
        <v>137</v>
      </c>
      <c r="V11" s="8" t="s">
        <v>461</v>
      </c>
      <c r="W11" s="8">
        <v>35</v>
      </c>
      <c r="X11" s="8"/>
      <c r="Y11" s="8"/>
      <c r="Z11" s="8"/>
      <c r="AA11" s="8"/>
      <c r="AB11" s="8"/>
      <c r="AC11" s="8"/>
      <c r="AD11" s="8"/>
      <c r="AE11" s="8"/>
      <c r="AF11" s="8"/>
      <c r="AG11" s="8"/>
      <c r="AH11" s="8"/>
      <c r="AI11" s="8"/>
      <c r="AJ11" s="8"/>
      <c r="AK11" s="8"/>
      <c r="AL11" s="8"/>
      <c r="AM11" s="8"/>
      <c r="AN11" s="8"/>
      <c r="AO11" s="8"/>
      <c r="AP11" s="8"/>
      <c r="AQ11" s="8"/>
    </row>
    <row r="12" spans="1:43" ht="23.25" customHeight="1" x14ac:dyDescent="0.3">
      <c r="A12" s="8" t="s">
        <v>462</v>
      </c>
      <c r="B12" s="8"/>
      <c r="C12" s="8"/>
      <c r="D12" s="10"/>
      <c r="E12" s="10"/>
      <c r="F12" s="10" t="str">
        <f t="shared" si="0"/>
        <v>gift-codes.html?game=天堂W</v>
      </c>
      <c r="G12" s="10"/>
      <c r="H12" s="10" t="str">
        <f t="shared" si="1"/>
        <v>https://www.ssbuy.tw/game-detail.html?game=天堂W</v>
      </c>
      <c r="I12" s="27" t="s">
        <v>463</v>
      </c>
      <c r="J12" s="32" t="s">
        <v>464</v>
      </c>
      <c r="K12" s="8">
        <v>5300</v>
      </c>
      <c r="L12" s="8" t="s">
        <v>465</v>
      </c>
      <c r="M12" s="8">
        <v>2360</v>
      </c>
      <c r="N12" s="8" t="s">
        <v>466</v>
      </c>
      <c r="O12" s="8">
        <v>1180</v>
      </c>
      <c r="P12" s="8" t="s">
        <v>467</v>
      </c>
      <c r="Q12" s="8">
        <v>730</v>
      </c>
      <c r="R12" s="8" t="s">
        <v>468</v>
      </c>
      <c r="S12" s="8">
        <v>250</v>
      </c>
      <c r="T12" s="8"/>
      <c r="U12" s="8"/>
      <c r="V12" s="8"/>
      <c r="W12" s="8"/>
      <c r="X12" s="8"/>
      <c r="Y12" s="8"/>
      <c r="Z12" s="8"/>
      <c r="AA12" s="8"/>
      <c r="AB12" s="8"/>
      <c r="AC12" s="8"/>
      <c r="AD12" s="8"/>
      <c r="AE12" s="8"/>
      <c r="AF12" s="8"/>
      <c r="AG12" s="8"/>
      <c r="AH12" s="8"/>
      <c r="AI12" s="8"/>
      <c r="AJ12" s="8"/>
      <c r="AK12" s="8"/>
      <c r="AL12" s="8"/>
      <c r="AM12" s="8"/>
      <c r="AN12" s="8"/>
      <c r="AO12" s="8"/>
      <c r="AP12" s="8"/>
      <c r="AQ12" s="8"/>
    </row>
    <row r="13" spans="1:43" ht="23.25" customHeight="1" x14ac:dyDescent="0.3">
      <c r="A13" s="8" t="s">
        <v>469</v>
      </c>
      <c r="B13" s="8"/>
      <c r="C13" s="8"/>
      <c r="D13" s="10"/>
      <c r="E13" s="10"/>
      <c r="F13" s="10" t="str">
        <f t="shared" si="0"/>
        <v>gift-codes.html?game=少女前線2：追放</v>
      </c>
      <c r="G13" s="10"/>
      <c r="H13" s="10" t="str">
        <f t="shared" si="1"/>
        <v>https://www.ssbuy.tw/game-detail.html?game=少女前線2：追放</v>
      </c>
      <c r="I13" s="27" t="s">
        <v>470</v>
      </c>
      <c r="J13" s="32" t="s">
        <v>471</v>
      </c>
      <c r="K13" s="8">
        <v>2551</v>
      </c>
      <c r="L13" s="8" t="s">
        <v>472</v>
      </c>
      <c r="M13" s="8">
        <v>1323</v>
      </c>
      <c r="N13" s="8" t="s">
        <v>473</v>
      </c>
      <c r="O13" s="8">
        <v>786</v>
      </c>
      <c r="P13" s="8" t="s">
        <v>474</v>
      </c>
      <c r="Q13" s="8">
        <v>539</v>
      </c>
      <c r="R13" s="8" t="s">
        <v>475</v>
      </c>
      <c r="S13" s="8">
        <v>267</v>
      </c>
      <c r="T13" s="8" t="s">
        <v>476</v>
      </c>
      <c r="U13" s="8">
        <v>137</v>
      </c>
      <c r="V13" s="8" t="s">
        <v>461</v>
      </c>
      <c r="W13" s="8">
        <v>35</v>
      </c>
      <c r="X13" s="8"/>
      <c r="Y13" s="8"/>
      <c r="Z13" s="8"/>
      <c r="AA13" s="8"/>
      <c r="AB13" s="8"/>
      <c r="AC13" s="8"/>
      <c r="AD13" s="8"/>
      <c r="AE13" s="8"/>
      <c r="AF13" s="8"/>
      <c r="AG13" s="8"/>
      <c r="AH13" s="8"/>
      <c r="AI13" s="8"/>
      <c r="AJ13" s="8"/>
      <c r="AK13" s="8"/>
      <c r="AL13" s="8"/>
      <c r="AM13" s="8"/>
      <c r="AN13" s="8"/>
      <c r="AO13" s="8"/>
      <c r="AP13" s="8"/>
      <c r="AQ13" s="8"/>
    </row>
    <row r="14" spans="1:43" ht="23.25" customHeight="1" x14ac:dyDescent="0.3">
      <c r="A14" s="8" t="s">
        <v>477</v>
      </c>
      <c r="B14" s="8"/>
      <c r="C14" s="8"/>
      <c r="D14" s="10"/>
      <c r="E14" s="10"/>
      <c r="F14" s="10" t="str">
        <f t="shared" si="0"/>
        <v>gift-codes.html?game=幻獸傳說Ｍ</v>
      </c>
      <c r="G14" s="10"/>
      <c r="H14" s="10" t="str">
        <f t="shared" si="1"/>
        <v>https://www.ssbuy.tw/game-detail.html?game=幻獸傳說Ｍ</v>
      </c>
      <c r="I14" s="27" t="s">
        <v>478</v>
      </c>
      <c r="J14" s="32" t="s">
        <v>479</v>
      </c>
      <c r="K14" s="8">
        <v>2551</v>
      </c>
      <c r="L14" s="8" t="s">
        <v>480</v>
      </c>
      <c r="M14" s="8">
        <v>1323</v>
      </c>
      <c r="N14" s="8" t="s">
        <v>481</v>
      </c>
      <c r="O14" s="8">
        <v>786</v>
      </c>
      <c r="P14" s="8" t="s">
        <v>482</v>
      </c>
      <c r="Q14" s="8">
        <v>539</v>
      </c>
      <c r="R14" s="8" t="s">
        <v>483</v>
      </c>
      <c r="S14" s="8">
        <v>394</v>
      </c>
      <c r="T14" s="8" t="s">
        <v>484</v>
      </c>
      <c r="U14" s="8">
        <v>267</v>
      </c>
      <c r="V14" s="8" t="s">
        <v>485</v>
      </c>
      <c r="W14" s="8">
        <v>137</v>
      </c>
      <c r="X14" s="8" t="s">
        <v>486</v>
      </c>
      <c r="Y14" s="8">
        <v>35</v>
      </c>
      <c r="Z14" s="8"/>
      <c r="AA14" s="8"/>
      <c r="AB14" s="8"/>
      <c r="AC14" s="8"/>
      <c r="AD14" s="8"/>
      <c r="AE14" s="8"/>
      <c r="AF14" s="8"/>
      <c r="AG14" s="8"/>
      <c r="AH14" s="8"/>
      <c r="AI14" s="8"/>
      <c r="AJ14" s="8"/>
      <c r="AK14" s="8"/>
      <c r="AL14" s="8"/>
      <c r="AM14" s="8"/>
      <c r="AN14" s="8"/>
      <c r="AO14" s="8"/>
      <c r="AP14" s="8"/>
      <c r="AQ14" s="8"/>
    </row>
    <row r="15" spans="1:43" ht="23.25" customHeight="1" x14ac:dyDescent="0.3">
      <c r="A15" s="8" t="s">
        <v>487</v>
      </c>
      <c r="B15" s="8"/>
      <c r="C15" s="8"/>
      <c r="D15" s="10"/>
      <c r="E15" s="10"/>
      <c r="F15" s="10" t="str">
        <f t="shared" si="0"/>
        <v>gift-codes.html?game=未定事件簿</v>
      </c>
      <c r="G15" s="10"/>
      <c r="H15" s="10" t="str">
        <f t="shared" si="1"/>
        <v>https://www.ssbuy.tw/game-detail.html?game=未定事件簿</v>
      </c>
      <c r="I15" s="27" t="s">
        <v>488</v>
      </c>
      <c r="J15" s="32" t="s">
        <v>489</v>
      </c>
      <c r="K15" s="8">
        <v>2551</v>
      </c>
      <c r="L15" s="8" t="s">
        <v>490</v>
      </c>
      <c r="M15" s="8">
        <v>1323</v>
      </c>
      <c r="N15" s="8" t="s">
        <v>491</v>
      </c>
      <c r="O15" s="8">
        <v>786</v>
      </c>
      <c r="P15" s="8" t="s">
        <v>492</v>
      </c>
      <c r="Q15" s="8">
        <v>539</v>
      </c>
      <c r="R15" s="8" t="s">
        <v>493</v>
      </c>
      <c r="S15" s="8">
        <v>267</v>
      </c>
      <c r="T15" s="8" t="s">
        <v>494</v>
      </c>
      <c r="U15" s="8">
        <v>137</v>
      </c>
      <c r="V15" s="8" t="s">
        <v>495</v>
      </c>
      <c r="W15" s="8">
        <v>35</v>
      </c>
      <c r="X15" s="8"/>
      <c r="Y15" s="8"/>
      <c r="Z15" s="8"/>
      <c r="AA15" s="8"/>
      <c r="AB15" s="8"/>
      <c r="AC15" s="8"/>
      <c r="AD15" s="8"/>
      <c r="AE15" s="8"/>
      <c r="AF15" s="8"/>
      <c r="AG15" s="8"/>
      <c r="AH15" s="8"/>
      <c r="AI15" s="8"/>
      <c r="AJ15" s="8"/>
      <c r="AK15" s="8"/>
      <c r="AL15" s="8"/>
      <c r="AM15" s="8"/>
      <c r="AN15" s="8"/>
      <c r="AO15" s="8"/>
      <c r="AP15" s="8"/>
      <c r="AQ15" s="8"/>
    </row>
    <row r="16" spans="1:43" ht="23.25" customHeight="1" x14ac:dyDescent="0.3">
      <c r="A16" s="8" t="s">
        <v>496</v>
      </c>
      <c r="B16" s="8"/>
      <c r="C16" s="8"/>
      <c r="D16" s="10"/>
      <c r="E16" s="10"/>
      <c r="F16" s="10" t="str">
        <f t="shared" si="0"/>
        <v>gift-codes.html?game=永恆靈魂</v>
      </c>
      <c r="G16" s="10"/>
      <c r="H16" s="10" t="str">
        <f t="shared" si="1"/>
        <v>https://www.ssbuy.tw/game-detail.html?game=永恆靈魂</v>
      </c>
      <c r="I16" s="27" t="s">
        <v>497</v>
      </c>
      <c r="J16" s="32" t="s">
        <v>498</v>
      </c>
      <c r="K16" s="8">
        <v>2551</v>
      </c>
      <c r="L16" s="8" t="s">
        <v>430</v>
      </c>
      <c r="M16" s="8">
        <v>1323</v>
      </c>
      <c r="N16" s="8" t="s">
        <v>499</v>
      </c>
      <c r="O16" s="8">
        <v>786</v>
      </c>
      <c r="P16" s="8" t="s">
        <v>500</v>
      </c>
      <c r="Q16" s="8">
        <v>539</v>
      </c>
      <c r="R16" s="8" t="s">
        <v>501</v>
      </c>
      <c r="S16" s="8">
        <v>267</v>
      </c>
      <c r="T16" s="8" t="s">
        <v>502</v>
      </c>
      <c r="U16" s="8">
        <v>137</v>
      </c>
      <c r="V16" s="8" t="s">
        <v>461</v>
      </c>
      <c r="W16" s="8">
        <v>35</v>
      </c>
      <c r="X16" s="8"/>
      <c r="Y16" s="8"/>
      <c r="Z16" s="8"/>
      <c r="AA16" s="8"/>
      <c r="AB16" s="8"/>
      <c r="AC16" s="8"/>
      <c r="AD16" s="8"/>
      <c r="AE16" s="8"/>
      <c r="AF16" s="8"/>
      <c r="AG16" s="8"/>
      <c r="AH16" s="8"/>
      <c r="AI16" s="8"/>
      <c r="AJ16" s="8"/>
      <c r="AK16" s="8"/>
      <c r="AL16" s="8"/>
      <c r="AM16" s="8"/>
      <c r="AN16" s="8"/>
      <c r="AO16" s="8"/>
      <c r="AP16" s="8"/>
      <c r="AQ16" s="8"/>
    </row>
    <row r="17" spans="1:43" ht="23.25" customHeight="1" x14ac:dyDescent="0.3">
      <c r="A17" s="8" t="s">
        <v>503</v>
      </c>
      <c r="B17" s="8"/>
      <c r="C17" s="8"/>
      <c r="D17" s="10"/>
      <c r="E17" s="10"/>
      <c r="F17" s="10" t="str">
        <f t="shared" si="0"/>
        <v>gift-codes.html?game=守住呀主公</v>
      </c>
      <c r="G17" s="10"/>
      <c r="H17" s="10" t="str">
        <f t="shared" si="1"/>
        <v>https://www.ssbuy.tw/game-detail.html?game=守住呀主公</v>
      </c>
      <c r="I17" s="27" t="s">
        <v>504</v>
      </c>
      <c r="J17" s="32" t="s">
        <v>505</v>
      </c>
      <c r="K17" s="8">
        <v>2551</v>
      </c>
      <c r="L17" s="8" t="s">
        <v>506</v>
      </c>
      <c r="M17" s="8">
        <v>1323</v>
      </c>
      <c r="N17" s="8" t="s">
        <v>507</v>
      </c>
      <c r="O17" s="8">
        <v>786</v>
      </c>
      <c r="P17" s="8" t="s">
        <v>508</v>
      </c>
      <c r="Q17" s="8">
        <v>539</v>
      </c>
      <c r="R17" s="8" t="s">
        <v>509</v>
      </c>
      <c r="S17" s="8">
        <v>394</v>
      </c>
      <c r="T17" s="8" t="s">
        <v>510</v>
      </c>
      <c r="U17" s="8">
        <v>267</v>
      </c>
      <c r="V17" s="8" t="s">
        <v>511</v>
      </c>
      <c r="W17" s="8">
        <v>137</v>
      </c>
      <c r="X17" s="8" t="s">
        <v>512</v>
      </c>
      <c r="Y17" s="8">
        <v>30</v>
      </c>
      <c r="Z17" s="8"/>
      <c r="AA17" s="8"/>
      <c r="AB17" s="8"/>
      <c r="AC17" s="8"/>
      <c r="AD17" s="8"/>
      <c r="AE17" s="8"/>
      <c r="AF17" s="8"/>
      <c r="AG17" s="8"/>
      <c r="AH17" s="8"/>
      <c r="AI17" s="8"/>
      <c r="AJ17" s="8"/>
      <c r="AK17" s="8"/>
      <c r="AL17" s="8"/>
      <c r="AM17" s="8"/>
      <c r="AN17" s="8"/>
      <c r="AO17" s="8"/>
      <c r="AP17" s="8"/>
      <c r="AQ17" s="8"/>
    </row>
    <row r="18" spans="1:43" ht="23.25" customHeight="1" x14ac:dyDescent="0.3">
      <c r="A18" s="8" t="s">
        <v>513</v>
      </c>
      <c r="B18" s="8"/>
      <c r="C18" s="8"/>
      <c r="D18" s="10"/>
      <c r="E18" s="10"/>
      <c r="F18" s="10" t="str">
        <f t="shared" si="0"/>
        <v>gift-codes.html?game=吟遊戰記</v>
      </c>
      <c r="G18" s="10"/>
      <c r="H18" s="10" t="str">
        <f t="shared" si="1"/>
        <v>https://www.ssbuy.tw/game-detail.html?game=吟遊戰記</v>
      </c>
      <c r="I18" s="27" t="s">
        <v>514</v>
      </c>
      <c r="J18" s="32" t="s">
        <v>515</v>
      </c>
      <c r="K18" s="8">
        <v>2551</v>
      </c>
      <c r="L18" s="8" t="s">
        <v>516</v>
      </c>
      <c r="M18" s="8">
        <v>1323</v>
      </c>
      <c r="N18" s="8" t="s">
        <v>517</v>
      </c>
      <c r="O18" s="8">
        <v>786</v>
      </c>
      <c r="P18" s="8" t="s">
        <v>518</v>
      </c>
      <c r="Q18" s="8">
        <v>539</v>
      </c>
      <c r="R18" s="8" t="s">
        <v>519</v>
      </c>
      <c r="S18" s="8">
        <v>394</v>
      </c>
      <c r="T18" s="8" t="s">
        <v>520</v>
      </c>
      <c r="U18" s="8">
        <v>267</v>
      </c>
      <c r="V18" s="8" t="s">
        <v>521</v>
      </c>
      <c r="W18" s="8">
        <v>137</v>
      </c>
      <c r="X18" s="8" t="s">
        <v>522</v>
      </c>
      <c r="Y18" s="8">
        <v>30</v>
      </c>
      <c r="Z18" s="8"/>
      <c r="AA18" s="8"/>
      <c r="AB18" s="8"/>
      <c r="AC18" s="8"/>
      <c r="AD18" s="8"/>
      <c r="AE18" s="8"/>
      <c r="AF18" s="8"/>
      <c r="AG18" s="8"/>
      <c r="AH18" s="8"/>
      <c r="AI18" s="8"/>
      <c r="AJ18" s="8"/>
      <c r="AK18" s="8"/>
      <c r="AL18" s="8"/>
      <c r="AM18" s="8"/>
      <c r="AN18" s="8"/>
      <c r="AO18" s="8"/>
      <c r="AP18" s="8"/>
      <c r="AQ18" s="8"/>
    </row>
    <row r="19" spans="1:43" ht="23.25" customHeight="1" x14ac:dyDescent="0.3">
      <c r="A19" s="8" t="s">
        <v>523</v>
      </c>
      <c r="B19" s="8"/>
      <c r="C19" s="8"/>
      <c r="D19" s="10"/>
      <c r="E19" s="10"/>
      <c r="F19" s="10" t="str">
        <f t="shared" si="0"/>
        <v>gift-codes.html?game=我獨自升級：ARISE</v>
      </c>
      <c r="G19" s="10"/>
      <c r="H19" s="10" t="str">
        <f t="shared" si="1"/>
        <v>https://www.ssbuy.tw/game-detail.html?game=我獨自升級：ARISE</v>
      </c>
      <c r="I19" s="27" t="s">
        <v>524</v>
      </c>
      <c r="J19" s="32" t="s">
        <v>525</v>
      </c>
      <c r="K19" s="8">
        <v>1940</v>
      </c>
      <c r="L19" s="8" t="s">
        <v>526</v>
      </c>
      <c r="M19" s="8">
        <v>1150</v>
      </c>
      <c r="N19" s="8" t="s">
        <v>527</v>
      </c>
      <c r="O19" s="8">
        <v>620</v>
      </c>
      <c r="P19" s="8" t="s">
        <v>528</v>
      </c>
      <c r="Q19" s="8">
        <v>267</v>
      </c>
      <c r="R19" s="8" t="s">
        <v>529</v>
      </c>
      <c r="S19" s="8">
        <v>90</v>
      </c>
      <c r="T19" s="8" t="s">
        <v>530</v>
      </c>
      <c r="U19" s="8">
        <v>30</v>
      </c>
      <c r="V19" s="8"/>
      <c r="W19" s="8"/>
      <c r="X19" s="8"/>
      <c r="Y19" s="8"/>
      <c r="Z19" s="8"/>
      <c r="AA19" s="8"/>
      <c r="AB19" s="8"/>
      <c r="AC19" s="8"/>
      <c r="AD19" s="8"/>
      <c r="AE19" s="8"/>
      <c r="AF19" s="8"/>
      <c r="AG19" s="8"/>
      <c r="AH19" s="8"/>
      <c r="AI19" s="8"/>
      <c r="AJ19" s="8"/>
      <c r="AK19" s="8"/>
      <c r="AL19" s="8"/>
      <c r="AM19" s="8"/>
      <c r="AN19" s="8"/>
      <c r="AO19" s="8"/>
      <c r="AP19" s="8"/>
      <c r="AQ19" s="8"/>
    </row>
    <row r="20" spans="1:43" ht="23.25" customHeight="1" x14ac:dyDescent="0.3">
      <c r="A20" s="8" t="s">
        <v>531</v>
      </c>
      <c r="B20" s="8"/>
      <c r="C20" s="8"/>
      <c r="D20" s="10"/>
      <c r="E20" s="10"/>
      <c r="F20" s="10" t="str">
        <f t="shared" si="0"/>
        <v>gift-codes.html?game=命運聖契：少女的羈絆</v>
      </c>
      <c r="G20" s="10"/>
      <c r="H20" s="10" t="str">
        <f t="shared" si="1"/>
        <v>https://www.ssbuy.tw/game-detail.html?game=命運聖契：少女的羈絆</v>
      </c>
      <c r="I20" s="27" t="s">
        <v>532</v>
      </c>
      <c r="J20" s="32" t="s">
        <v>533</v>
      </c>
      <c r="K20" s="8">
        <v>2551</v>
      </c>
      <c r="L20" s="8" t="s">
        <v>534</v>
      </c>
      <c r="M20" s="8">
        <v>1323</v>
      </c>
      <c r="N20" s="8" t="s">
        <v>535</v>
      </c>
      <c r="O20" s="8">
        <v>786</v>
      </c>
      <c r="P20" s="8" t="s">
        <v>536</v>
      </c>
      <c r="Q20" s="8">
        <v>394</v>
      </c>
      <c r="R20" s="8" t="s">
        <v>537</v>
      </c>
      <c r="S20" s="8">
        <v>137</v>
      </c>
      <c r="T20" s="8" t="s">
        <v>538</v>
      </c>
      <c r="U20" s="8">
        <v>40</v>
      </c>
      <c r="V20" s="8"/>
      <c r="W20" s="8"/>
      <c r="X20" s="8"/>
      <c r="Y20" s="8"/>
      <c r="Z20" s="8"/>
      <c r="AA20" s="8"/>
      <c r="AB20" s="8"/>
      <c r="AC20" s="8"/>
      <c r="AD20" s="8"/>
      <c r="AE20" s="8"/>
      <c r="AF20" s="8"/>
      <c r="AG20" s="8"/>
      <c r="AH20" s="8"/>
      <c r="AI20" s="8"/>
      <c r="AJ20" s="8"/>
      <c r="AK20" s="8"/>
      <c r="AL20" s="8"/>
      <c r="AM20" s="8"/>
      <c r="AN20" s="8"/>
      <c r="AO20" s="8"/>
      <c r="AP20" s="8"/>
      <c r="AQ20" s="8"/>
    </row>
    <row r="21" spans="1:43" ht="23.25" customHeight="1" x14ac:dyDescent="0.3">
      <c r="A21" s="8" t="s">
        <v>539</v>
      </c>
      <c r="B21" s="8"/>
      <c r="C21" s="8"/>
      <c r="D21" s="10"/>
      <c r="E21" s="10"/>
      <c r="F21" s="10" t="str">
        <f t="shared" si="0"/>
        <v>gift-codes.html?game=放置軍團</v>
      </c>
      <c r="G21" s="10"/>
      <c r="H21" s="10" t="str">
        <f t="shared" si="1"/>
        <v>https://www.ssbuy.tw/game-detail.html?game=放置軍團</v>
      </c>
      <c r="I21" s="27" t="s">
        <v>540</v>
      </c>
      <c r="J21" s="32" t="s">
        <v>541</v>
      </c>
      <c r="K21" s="8">
        <v>2540</v>
      </c>
      <c r="L21" s="8" t="s">
        <v>542</v>
      </c>
      <c r="M21" s="8">
        <v>1280</v>
      </c>
      <c r="N21" s="8" t="s">
        <v>543</v>
      </c>
      <c r="O21" s="8">
        <v>539</v>
      </c>
      <c r="P21" s="8" t="s">
        <v>544</v>
      </c>
      <c r="Q21" s="8">
        <v>267</v>
      </c>
      <c r="R21" s="8" t="s">
        <v>545</v>
      </c>
      <c r="S21" s="8">
        <v>137</v>
      </c>
      <c r="T21" s="8"/>
      <c r="U21" s="8"/>
      <c r="V21" s="8"/>
      <c r="W21" s="8"/>
      <c r="X21" s="8"/>
      <c r="Y21" s="8"/>
      <c r="Z21" s="8"/>
      <c r="AA21" s="8"/>
      <c r="AB21" s="8"/>
      <c r="AC21" s="8"/>
      <c r="AD21" s="8"/>
      <c r="AE21" s="8"/>
      <c r="AF21" s="8"/>
      <c r="AG21" s="8"/>
      <c r="AH21" s="8"/>
      <c r="AI21" s="8"/>
      <c r="AJ21" s="8"/>
      <c r="AK21" s="8"/>
      <c r="AL21" s="8"/>
      <c r="AM21" s="8"/>
      <c r="AN21" s="8"/>
      <c r="AO21" s="8"/>
      <c r="AP21" s="8"/>
      <c r="AQ21" s="8"/>
    </row>
    <row r="22" spans="1:43" ht="23.25" customHeight="1" x14ac:dyDescent="0.3">
      <c r="A22" s="8" t="s">
        <v>546</v>
      </c>
      <c r="B22" s="8"/>
      <c r="C22" s="8"/>
      <c r="D22" s="10"/>
      <c r="E22" s="10"/>
      <c r="F22" s="10" t="str">
        <f t="shared" si="0"/>
        <v>gift-codes.html?game=明日方舟</v>
      </c>
      <c r="G22" s="10"/>
      <c r="H22" s="10" t="str">
        <f t="shared" si="1"/>
        <v>https://www.ssbuy.tw/game-detail.html?game=明日方舟</v>
      </c>
      <c r="I22" s="27" t="s">
        <v>547</v>
      </c>
      <c r="J22" s="32" t="s">
        <v>498</v>
      </c>
      <c r="K22" s="8">
        <v>2551</v>
      </c>
      <c r="L22" s="8" t="s">
        <v>548</v>
      </c>
      <c r="M22" s="8">
        <v>1323</v>
      </c>
      <c r="N22" s="8" t="s">
        <v>473</v>
      </c>
      <c r="O22" s="8">
        <v>786</v>
      </c>
      <c r="P22" s="8" t="s">
        <v>549</v>
      </c>
      <c r="Q22" s="8">
        <v>539</v>
      </c>
      <c r="R22" s="8" t="s">
        <v>550</v>
      </c>
      <c r="S22" s="8">
        <v>267</v>
      </c>
      <c r="T22" s="8" t="s">
        <v>551</v>
      </c>
      <c r="U22" s="8">
        <v>137</v>
      </c>
      <c r="V22" s="8" t="s">
        <v>552</v>
      </c>
      <c r="W22" s="8">
        <v>35</v>
      </c>
      <c r="X22" s="8"/>
      <c r="Y22" s="8"/>
      <c r="Z22" s="8"/>
      <c r="AA22" s="8"/>
      <c r="AB22" s="8"/>
      <c r="AC22" s="8"/>
      <c r="AD22" s="8"/>
      <c r="AE22" s="8"/>
      <c r="AF22" s="8"/>
      <c r="AG22" s="8"/>
      <c r="AH22" s="8"/>
      <c r="AI22" s="8"/>
      <c r="AJ22" s="8"/>
      <c r="AK22" s="8"/>
      <c r="AL22" s="8"/>
      <c r="AM22" s="8"/>
      <c r="AN22" s="8"/>
      <c r="AO22" s="8"/>
      <c r="AP22" s="8"/>
      <c r="AQ22" s="8"/>
    </row>
    <row r="23" spans="1:43" ht="23.25" customHeight="1" x14ac:dyDescent="0.3">
      <c r="A23" s="8" t="s">
        <v>553</v>
      </c>
      <c r="B23" s="8"/>
      <c r="C23" s="8"/>
      <c r="D23" s="10"/>
      <c r="E23" s="10"/>
      <c r="F23" s="10" t="str">
        <f t="shared" si="0"/>
        <v>gift-codes.html?game=屍鬼三國</v>
      </c>
      <c r="G23" s="10"/>
      <c r="H23" s="10" t="str">
        <f t="shared" si="1"/>
        <v>https://www.ssbuy.tw/game-detail.html?game=屍鬼三國</v>
      </c>
      <c r="I23" s="27" t="s">
        <v>554</v>
      </c>
      <c r="J23" s="32" t="s">
        <v>555</v>
      </c>
      <c r="K23" s="8">
        <v>2551</v>
      </c>
      <c r="L23" s="8" t="s">
        <v>556</v>
      </c>
      <c r="M23" s="8">
        <v>1323</v>
      </c>
      <c r="N23" s="8" t="s">
        <v>557</v>
      </c>
      <c r="O23" s="8">
        <v>786</v>
      </c>
      <c r="P23" s="8" t="s">
        <v>558</v>
      </c>
      <c r="Q23" s="8">
        <v>394</v>
      </c>
      <c r="R23" s="8" t="s">
        <v>559</v>
      </c>
      <c r="S23" s="8">
        <v>137</v>
      </c>
      <c r="T23" s="8" t="s">
        <v>560</v>
      </c>
      <c r="U23" s="8">
        <v>30</v>
      </c>
      <c r="V23" s="8"/>
      <c r="W23" s="8"/>
      <c r="X23" s="8"/>
      <c r="Y23" s="8"/>
      <c r="Z23" s="8"/>
      <c r="AA23" s="8"/>
      <c r="AB23" s="8"/>
      <c r="AC23" s="8"/>
      <c r="AD23" s="8"/>
      <c r="AE23" s="8"/>
      <c r="AF23" s="8"/>
      <c r="AG23" s="8"/>
      <c r="AH23" s="8"/>
      <c r="AI23" s="8"/>
      <c r="AJ23" s="8"/>
      <c r="AK23" s="8"/>
      <c r="AL23" s="8"/>
      <c r="AM23" s="8"/>
      <c r="AN23" s="8"/>
      <c r="AO23" s="8"/>
      <c r="AP23" s="8"/>
      <c r="AQ23" s="8"/>
    </row>
    <row r="24" spans="1:43" ht="23.25" customHeight="1" x14ac:dyDescent="0.3">
      <c r="A24" s="8" t="s">
        <v>561</v>
      </c>
      <c r="B24" s="8"/>
      <c r="C24" s="8"/>
      <c r="D24" s="10"/>
      <c r="E24" s="10"/>
      <c r="F24" s="10" t="str">
        <f t="shared" si="0"/>
        <v>gift-codes.html?game=星鏈計畫：未來少女</v>
      </c>
      <c r="G24" s="10"/>
      <c r="H24" s="10" t="str">
        <f t="shared" si="1"/>
        <v>https://www.ssbuy.tw/game-detail.html?game=星鏈計畫：未來少女</v>
      </c>
      <c r="I24" s="27" t="s">
        <v>562</v>
      </c>
      <c r="J24" s="32" t="s">
        <v>563</v>
      </c>
      <c r="K24" s="8">
        <v>2150</v>
      </c>
      <c r="L24" s="8" t="s">
        <v>564</v>
      </c>
      <c r="M24" s="8">
        <v>1750</v>
      </c>
      <c r="N24" s="8" t="s">
        <v>565</v>
      </c>
      <c r="O24" s="8">
        <v>1130</v>
      </c>
      <c r="P24" s="8" t="s">
        <v>566</v>
      </c>
      <c r="Q24" s="8">
        <v>700</v>
      </c>
      <c r="R24" s="8" t="s">
        <v>567</v>
      </c>
      <c r="S24" s="8">
        <v>340</v>
      </c>
      <c r="T24" s="8" t="s">
        <v>568</v>
      </c>
      <c r="U24" s="8">
        <v>90</v>
      </c>
      <c r="V24" s="8"/>
      <c r="W24" s="8"/>
      <c r="X24" s="8"/>
      <c r="Y24" s="8"/>
      <c r="Z24" s="8"/>
      <c r="AA24" s="8"/>
      <c r="AB24" s="8"/>
      <c r="AC24" s="8"/>
      <c r="AD24" s="8"/>
      <c r="AE24" s="8"/>
      <c r="AF24" s="8"/>
      <c r="AG24" s="8"/>
      <c r="AH24" s="8"/>
      <c r="AI24" s="8"/>
      <c r="AJ24" s="8"/>
      <c r="AK24" s="8"/>
      <c r="AL24" s="8"/>
      <c r="AM24" s="8"/>
      <c r="AN24" s="8"/>
      <c r="AO24" s="8"/>
      <c r="AP24" s="8"/>
      <c r="AQ24" s="8"/>
    </row>
    <row r="25" spans="1:43" ht="23.25" customHeight="1" x14ac:dyDescent="0.3">
      <c r="A25" s="8" t="s">
        <v>569</v>
      </c>
      <c r="B25" s="8"/>
      <c r="C25" s="8"/>
      <c r="D25" s="10"/>
      <c r="E25" s="10"/>
      <c r="F25" s="10" t="str">
        <f t="shared" si="0"/>
        <v>gift-codes.html?game=英雄之王</v>
      </c>
      <c r="G25" s="10"/>
      <c r="H25" s="10" t="str">
        <f t="shared" si="1"/>
        <v>https://www.ssbuy.tw/game-detail.html?game=英雄之王</v>
      </c>
      <c r="I25" s="27" t="s">
        <v>570</v>
      </c>
      <c r="J25" s="32" t="s">
        <v>571</v>
      </c>
      <c r="K25" s="8">
        <v>2551</v>
      </c>
      <c r="L25" s="8" t="s">
        <v>490</v>
      </c>
      <c r="M25" s="8">
        <v>1323</v>
      </c>
      <c r="N25" s="8" t="s">
        <v>491</v>
      </c>
      <c r="O25" s="8">
        <v>786</v>
      </c>
      <c r="P25" s="8" t="s">
        <v>572</v>
      </c>
      <c r="Q25" s="8">
        <v>539</v>
      </c>
      <c r="R25" s="8" t="s">
        <v>573</v>
      </c>
      <c r="S25" s="8">
        <v>267</v>
      </c>
      <c r="T25" s="8" t="s">
        <v>574</v>
      </c>
      <c r="U25" s="8">
        <v>137</v>
      </c>
      <c r="V25" s="8" t="s">
        <v>575</v>
      </c>
      <c r="W25" s="8">
        <v>35</v>
      </c>
      <c r="X25" s="8"/>
      <c r="Y25" s="8"/>
      <c r="Z25" s="8"/>
      <c r="AA25" s="8"/>
      <c r="AB25" s="8"/>
      <c r="AC25" s="8"/>
      <c r="AD25" s="8"/>
      <c r="AE25" s="8"/>
      <c r="AF25" s="8"/>
      <c r="AG25" s="8"/>
      <c r="AH25" s="8"/>
      <c r="AI25" s="8"/>
      <c r="AJ25" s="8"/>
      <c r="AK25" s="8"/>
      <c r="AL25" s="8"/>
      <c r="AM25" s="8"/>
      <c r="AN25" s="8"/>
      <c r="AO25" s="8"/>
      <c r="AP25" s="8"/>
      <c r="AQ25" s="8"/>
    </row>
    <row r="26" spans="1:43" ht="23.25" customHeight="1" x14ac:dyDescent="0.3">
      <c r="A26" s="8" t="s">
        <v>576</v>
      </c>
      <c r="B26" s="8"/>
      <c r="C26" s="8"/>
      <c r="D26" s="10"/>
      <c r="E26" s="10"/>
      <c r="F26" s="10" t="str">
        <f t="shared" si="0"/>
        <v>gift-codes.html?game=英雄聯盟</v>
      </c>
      <c r="G26" s="10"/>
      <c r="H26" s="10" t="str">
        <f t="shared" si="1"/>
        <v>https://www.ssbuy.tw/game-detail.html?game=英雄聯盟</v>
      </c>
      <c r="I26" s="27" t="s">
        <v>1544</v>
      </c>
      <c r="J26" s="32" t="s">
        <v>577</v>
      </c>
      <c r="K26" s="8">
        <v>2420</v>
      </c>
      <c r="L26" s="8" t="s">
        <v>578</v>
      </c>
      <c r="M26" s="8">
        <v>1323</v>
      </c>
      <c r="N26" s="8" t="s">
        <v>579</v>
      </c>
      <c r="O26" s="8">
        <v>740</v>
      </c>
      <c r="P26" s="8" t="s">
        <v>580</v>
      </c>
      <c r="Q26" s="8">
        <v>267</v>
      </c>
      <c r="R26" s="8" t="s">
        <v>581</v>
      </c>
      <c r="S26" s="8">
        <v>137</v>
      </c>
      <c r="T26" s="8"/>
      <c r="U26" s="8"/>
      <c r="V26" s="8"/>
      <c r="W26" s="8"/>
      <c r="X26" s="8"/>
      <c r="Y26" s="8"/>
      <c r="Z26" s="8"/>
      <c r="AA26" s="8"/>
      <c r="AB26" s="8"/>
      <c r="AC26" s="8"/>
      <c r="AD26" s="8"/>
      <c r="AE26" s="8"/>
      <c r="AF26" s="8"/>
      <c r="AG26" s="8"/>
      <c r="AH26" s="8"/>
      <c r="AI26" s="8"/>
      <c r="AJ26" s="8"/>
      <c r="AK26" s="8"/>
      <c r="AL26" s="8"/>
      <c r="AM26" s="8"/>
      <c r="AN26" s="8"/>
      <c r="AO26" s="8"/>
      <c r="AP26" s="8"/>
      <c r="AQ26" s="8"/>
    </row>
    <row r="27" spans="1:43" ht="23.25" customHeight="1" x14ac:dyDescent="0.3">
      <c r="A27" s="8" t="s">
        <v>582</v>
      </c>
      <c r="B27" s="8"/>
      <c r="C27" s="8"/>
      <c r="D27" s="10"/>
      <c r="E27" s="10"/>
      <c r="F27" s="10" t="str">
        <f t="shared" si="0"/>
        <v>gift-codes.html?game=恐龍突變</v>
      </c>
      <c r="G27" s="10"/>
      <c r="H27" s="10" t="str">
        <f t="shared" si="1"/>
        <v>https://www.ssbuy.tw/game-detail.html?game=恐龍突變</v>
      </c>
      <c r="I27" s="27" t="s">
        <v>583</v>
      </c>
      <c r="J27" s="32" t="s">
        <v>584</v>
      </c>
      <c r="K27" s="8">
        <v>1323</v>
      </c>
      <c r="L27" s="8" t="s">
        <v>585</v>
      </c>
      <c r="M27" s="8">
        <v>1120</v>
      </c>
      <c r="N27" s="8" t="s">
        <v>586</v>
      </c>
      <c r="O27" s="8">
        <v>786</v>
      </c>
      <c r="P27" s="8" t="s">
        <v>587</v>
      </c>
      <c r="Q27" s="8">
        <v>680</v>
      </c>
      <c r="R27" s="8" t="s">
        <v>588</v>
      </c>
      <c r="S27" s="8">
        <v>539</v>
      </c>
      <c r="T27" s="8" t="s">
        <v>589</v>
      </c>
      <c r="U27" s="8">
        <v>394</v>
      </c>
      <c r="V27" s="8" t="s">
        <v>590</v>
      </c>
      <c r="W27" s="8">
        <v>267</v>
      </c>
      <c r="X27" s="8" t="s">
        <v>591</v>
      </c>
      <c r="Y27" s="8">
        <v>170</v>
      </c>
      <c r="Z27" s="8"/>
      <c r="AA27" s="8"/>
      <c r="AB27" s="8"/>
      <c r="AC27" s="8"/>
      <c r="AD27" s="8"/>
      <c r="AE27" s="8"/>
      <c r="AF27" s="8"/>
      <c r="AG27" s="8"/>
      <c r="AH27" s="8"/>
      <c r="AI27" s="8"/>
      <c r="AJ27" s="8"/>
      <c r="AK27" s="8"/>
      <c r="AL27" s="8"/>
      <c r="AM27" s="8"/>
      <c r="AN27" s="8"/>
      <c r="AO27" s="8"/>
      <c r="AP27" s="8"/>
      <c r="AQ27" s="8"/>
    </row>
    <row r="28" spans="1:43" ht="23.25" customHeight="1" x14ac:dyDescent="0.3">
      <c r="A28" s="8" t="s">
        <v>592</v>
      </c>
      <c r="B28" s="8"/>
      <c r="C28" s="8"/>
      <c r="D28" s="10"/>
      <c r="E28" s="10"/>
      <c r="F28" s="10" t="str">
        <f t="shared" si="0"/>
        <v>gift-codes.html?game=神域</v>
      </c>
      <c r="G28" s="10"/>
      <c r="H28" s="10" t="str">
        <f t="shared" si="1"/>
        <v>https://www.ssbuy.tw/game-detail.html?game=神域</v>
      </c>
      <c r="I28" s="27" t="s">
        <v>593</v>
      </c>
      <c r="J28" s="32" t="s">
        <v>594</v>
      </c>
      <c r="K28" s="8">
        <v>2551</v>
      </c>
      <c r="L28" s="8" t="s">
        <v>595</v>
      </c>
      <c r="M28" s="8">
        <v>1323</v>
      </c>
      <c r="N28" s="8" t="s">
        <v>596</v>
      </c>
      <c r="O28" s="8">
        <v>786</v>
      </c>
      <c r="P28" s="8" t="s">
        <v>597</v>
      </c>
      <c r="Q28" s="8">
        <v>539</v>
      </c>
      <c r="R28" s="8" t="s">
        <v>598</v>
      </c>
      <c r="S28" s="8">
        <v>267</v>
      </c>
      <c r="T28" s="8" t="s">
        <v>502</v>
      </c>
      <c r="U28" s="8">
        <v>137</v>
      </c>
      <c r="V28" s="8" t="s">
        <v>461</v>
      </c>
      <c r="W28" s="8">
        <v>35</v>
      </c>
      <c r="X28" s="8"/>
      <c r="Y28" s="8"/>
      <c r="Z28" s="8"/>
      <c r="AA28" s="8"/>
      <c r="AB28" s="8"/>
      <c r="AC28" s="8"/>
      <c r="AD28" s="8"/>
      <c r="AE28" s="8"/>
      <c r="AF28" s="8"/>
      <c r="AG28" s="8"/>
      <c r="AH28" s="8"/>
      <c r="AI28" s="8"/>
      <c r="AJ28" s="8"/>
      <c r="AK28" s="8"/>
      <c r="AL28" s="8"/>
      <c r="AM28" s="8"/>
      <c r="AN28" s="8"/>
      <c r="AO28" s="8"/>
      <c r="AP28" s="8"/>
      <c r="AQ28" s="8"/>
    </row>
    <row r="29" spans="1:43" ht="23.25" customHeight="1" x14ac:dyDescent="0.3">
      <c r="A29" s="8" t="s">
        <v>599</v>
      </c>
      <c r="B29" s="8"/>
      <c r="C29" s="8"/>
      <c r="D29" s="10"/>
      <c r="E29" s="10"/>
      <c r="F29" s="10" t="str">
        <f t="shared" si="0"/>
        <v>gift-codes.html?game=崩壞：星穹鐵道</v>
      </c>
      <c r="G29" s="10"/>
      <c r="H29" s="10" t="str">
        <f t="shared" si="1"/>
        <v>https://www.ssbuy.tw/game-detail.html?game=崩壞：星穹鐵道</v>
      </c>
      <c r="I29" s="27" t="s">
        <v>600</v>
      </c>
      <c r="J29" s="32" t="s">
        <v>601</v>
      </c>
      <c r="K29" s="8">
        <v>2320</v>
      </c>
      <c r="L29" s="8" t="s">
        <v>602</v>
      </c>
      <c r="M29" s="8">
        <v>1250</v>
      </c>
      <c r="N29" s="8" t="s">
        <v>603</v>
      </c>
      <c r="O29" s="8">
        <v>790</v>
      </c>
      <c r="P29" s="8" t="s">
        <v>604</v>
      </c>
      <c r="Q29" s="8">
        <v>394</v>
      </c>
      <c r="R29" s="8" t="s">
        <v>605</v>
      </c>
      <c r="S29" s="8">
        <v>137</v>
      </c>
      <c r="T29" s="8" t="s">
        <v>606</v>
      </c>
      <c r="U29" s="8">
        <v>30</v>
      </c>
      <c r="V29" s="8" t="s">
        <v>607</v>
      </c>
      <c r="W29" s="8">
        <v>137</v>
      </c>
      <c r="X29" s="8" t="s">
        <v>608</v>
      </c>
      <c r="Y29" s="8">
        <v>260</v>
      </c>
      <c r="Z29" s="8" t="s">
        <v>609</v>
      </c>
      <c r="AA29" s="8">
        <v>520</v>
      </c>
      <c r="AB29" s="8"/>
      <c r="AC29" s="8"/>
      <c r="AD29" s="8"/>
      <c r="AE29" s="8"/>
      <c r="AF29" s="8"/>
      <c r="AG29" s="8"/>
      <c r="AH29" s="8"/>
      <c r="AI29" s="8"/>
      <c r="AJ29" s="8"/>
      <c r="AK29" s="8"/>
      <c r="AL29" s="8"/>
      <c r="AM29" s="8"/>
      <c r="AN29" s="8"/>
      <c r="AO29" s="8"/>
      <c r="AP29" s="8"/>
      <c r="AQ29" s="8"/>
    </row>
    <row r="30" spans="1:43" ht="23.25" customHeight="1" x14ac:dyDescent="0.3">
      <c r="A30" s="8" t="s">
        <v>610</v>
      </c>
      <c r="B30" s="8"/>
      <c r="C30" s="8"/>
      <c r="D30" s="10"/>
      <c r="E30" s="10"/>
      <c r="F30" s="10" t="str">
        <f t="shared" si="0"/>
        <v>gift-codes.html?game=救世者之樹：新世界</v>
      </c>
      <c r="G30" s="10"/>
      <c r="H30" s="10" t="str">
        <f t="shared" si="1"/>
        <v>https://www.ssbuy.tw/game-detail.html?game=救世者之樹：新世界</v>
      </c>
      <c r="I30" s="27" t="s">
        <v>611</v>
      </c>
      <c r="J30" s="32" t="s">
        <v>612</v>
      </c>
      <c r="K30" s="8">
        <v>2551</v>
      </c>
      <c r="L30" s="8" t="s">
        <v>490</v>
      </c>
      <c r="M30" s="8">
        <v>1323</v>
      </c>
      <c r="N30" s="8" t="s">
        <v>613</v>
      </c>
      <c r="O30" s="8">
        <v>786</v>
      </c>
      <c r="P30" s="8" t="s">
        <v>614</v>
      </c>
      <c r="Q30" s="8">
        <v>539</v>
      </c>
      <c r="R30" s="8" t="s">
        <v>615</v>
      </c>
      <c r="S30" s="8">
        <v>267</v>
      </c>
      <c r="T30" s="8" t="s">
        <v>616</v>
      </c>
      <c r="U30" s="8">
        <v>137</v>
      </c>
      <c r="V30" s="8" t="s">
        <v>617</v>
      </c>
      <c r="W30" s="8">
        <v>35</v>
      </c>
      <c r="X30" s="8"/>
      <c r="Y30" s="8"/>
      <c r="Z30" s="8"/>
      <c r="AA30" s="8"/>
      <c r="AB30" s="8"/>
      <c r="AC30" s="8"/>
      <c r="AD30" s="8"/>
      <c r="AE30" s="8"/>
      <c r="AF30" s="8"/>
      <c r="AG30" s="8"/>
      <c r="AH30" s="8"/>
      <c r="AI30" s="8"/>
      <c r="AJ30" s="8"/>
      <c r="AK30" s="8"/>
      <c r="AL30" s="8"/>
      <c r="AM30" s="8"/>
      <c r="AN30" s="8"/>
      <c r="AO30" s="8"/>
      <c r="AP30" s="8"/>
      <c r="AQ30" s="8"/>
    </row>
    <row r="31" spans="1:43" ht="23.25" customHeight="1" x14ac:dyDescent="0.3">
      <c r="A31" s="8" t="s">
        <v>618</v>
      </c>
      <c r="B31" s="8"/>
      <c r="C31" s="8"/>
      <c r="D31" s="10"/>
      <c r="E31" s="10"/>
      <c r="F31" s="10" t="str">
        <f t="shared" si="0"/>
        <v>gift-codes.html?game=球球英雄</v>
      </c>
      <c r="G31" s="10"/>
      <c r="H31" s="10" t="str">
        <f t="shared" si="1"/>
        <v>https://www.ssbuy.tw/game-detail.html?game=球球英雄</v>
      </c>
      <c r="I31" s="27" t="s">
        <v>619</v>
      </c>
      <c r="J31" s="32" t="s">
        <v>620</v>
      </c>
      <c r="K31" s="8">
        <v>2551</v>
      </c>
      <c r="L31" s="8" t="s">
        <v>595</v>
      </c>
      <c r="M31" s="8">
        <v>1390</v>
      </c>
      <c r="N31" s="8" t="s">
        <v>621</v>
      </c>
      <c r="O31" s="8">
        <v>786</v>
      </c>
      <c r="P31" s="8" t="s">
        <v>622</v>
      </c>
      <c r="Q31" s="8">
        <v>539</v>
      </c>
      <c r="R31" s="8" t="s">
        <v>623</v>
      </c>
      <c r="S31" s="8">
        <v>267</v>
      </c>
      <c r="T31" s="8" t="s">
        <v>624</v>
      </c>
      <c r="U31" s="8">
        <v>137</v>
      </c>
      <c r="V31" s="8" t="s">
        <v>625</v>
      </c>
      <c r="W31" s="8">
        <v>35</v>
      </c>
      <c r="X31" s="8"/>
      <c r="Y31" s="8"/>
      <c r="Z31" s="8"/>
      <c r="AA31" s="8"/>
      <c r="AB31" s="8"/>
      <c r="AC31" s="8"/>
      <c r="AD31" s="8"/>
      <c r="AE31" s="8"/>
      <c r="AF31" s="8"/>
      <c r="AG31" s="8"/>
      <c r="AH31" s="8"/>
      <c r="AI31" s="8"/>
      <c r="AJ31" s="8"/>
      <c r="AK31" s="8"/>
      <c r="AL31" s="8"/>
      <c r="AM31" s="8"/>
      <c r="AN31" s="8"/>
      <c r="AO31" s="8"/>
      <c r="AP31" s="8"/>
      <c r="AQ31" s="8"/>
    </row>
    <row r="32" spans="1:43" ht="23.25" customHeight="1" x14ac:dyDescent="0.3">
      <c r="A32" s="8" t="s">
        <v>626</v>
      </c>
      <c r="B32" s="8"/>
      <c r="C32" s="8"/>
      <c r="D32" s="10"/>
      <c r="E32" s="10"/>
      <c r="F32" s="10" t="str">
        <f t="shared" si="0"/>
        <v>gift-codes.html?game=第七史詩</v>
      </c>
      <c r="G32" s="10"/>
      <c r="H32" s="10" t="str">
        <f t="shared" si="1"/>
        <v>https://www.ssbuy.tw/game-detail.html?game=第七史詩</v>
      </c>
      <c r="I32" s="27" t="s">
        <v>627</v>
      </c>
      <c r="J32" s="32" t="s">
        <v>628</v>
      </c>
      <c r="K32" s="8">
        <v>2551</v>
      </c>
      <c r="L32" s="8" t="s">
        <v>629</v>
      </c>
      <c r="M32" s="8">
        <v>1390</v>
      </c>
      <c r="N32" s="8" t="s">
        <v>630</v>
      </c>
      <c r="O32" s="8">
        <v>786</v>
      </c>
      <c r="P32" s="8" t="s">
        <v>622</v>
      </c>
      <c r="Q32" s="8">
        <v>539</v>
      </c>
      <c r="R32" s="8" t="s">
        <v>631</v>
      </c>
      <c r="S32" s="8">
        <v>267</v>
      </c>
      <c r="T32" s="8" t="s">
        <v>632</v>
      </c>
      <c r="U32" s="8">
        <v>137</v>
      </c>
      <c r="V32" s="8" t="s">
        <v>633</v>
      </c>
      <c r="W32" s="8">
        <v>35</v>
      </c>
      <c r="X32" s="8"/>
      <c r="Y32" s="8"/>
      <c r="Z32" s="8"/>
      <c r="AA32" s="8"/>
      <c r="AB32" s="8"/>
      <c r="AC32" s="8"/>
      <c r="AD32" s="8"/>
      <c r="AE32" s="8"/>
      <c r="AF32" s="8"/>
      <c r="AG32" s="8"/>
      <c r="AH32" s="8"/>
      <c r="AI32" s="8"/>
      <c r="AJ32" s="8"/>
      <c r="AK32" s="8"/>
      <c r="AL32" s="8"/>
      <c r="AM32" s="8"/>
      <c r="AN32" s="8"/>
      <c r="AO32" s="8"/>
      <c r="AP32" s="8"/>
      <c r="AQ32" s="8"/>
    </row>
    <row r="33" spans="1:43" ht="23.25" customHeight="1" x14ac:dyDescent="0.3">
      <c r="A33" s="8" t="s">
        <v>634</v>
      </c>
      <c r="B33" s="8"/>
      <c r="C33" s="8"/>
      <c r="D33" s="10"/>
      <c r="E33" s="10"/>
      <c r="F33" s="10" t="str">
        <f t="shared" si="0"/>
        <v>gift-codes.html?game=創世紀戰M：阿修羅計畫</v>
      </c>
      <c r="G33" s="10"/>
      <c r="H33" s="10" t="str">
        <f t="shared" si="1"/>
        <v>https://www.ssbuy.tw/game-detail.html?game=創世紀戰M：阿修羅計畫</v>
      </c>
      <c r="I33" s="27" t="s">
        <v>635</v>
      </c>
      <c r="J33" s="32" t="s">
        <v>636</v>
      </c>
      <c r="K33" s="8">
        <v>2551</v>
      </c>
      <c r="L33" s="8" t="s">
        <v>637</v>
      </c>
      <c r="M33" s="8">
        <v>1980</v>
      </c>
      <c r="N33" s="8" t="s">
        <v>638</v>
      </c>
      <c r="O33" s="8">
        <v>1323</v>
      </c>
      <c r="P33" s="8" t="s">
        <v>639</v>
      </c>
      <c r="Q33" s="8">
        <v>786</v>
      </c>
      <c r="R33" s="8" t="s">
        <v>640</v>
      </c>
      <c r="S33" s="8">
        <v>539</v>
      </c>
      <c r="T33" s="8" t="s">
        <v>641</v>
      </c>
      <c r="U33" s="8">
        <v>394</v>
      </c>
      <c r="V33" s="8" t="s">
        <v>642</v>
      </c>
      <c r="W33" s="8">
        <v>137</v>
      </c>
      <c r="X33" s="8" t="s">
        <v>643</v>
      </c>
      <c r="Y33" s="8">
        <v>40</v>
      </c>
      <c r="Z33" s="8"/>
      <c r="AA33" s="8"/>
      <c r="AB33" s="8"/>
      <c r="AC33" s="8"/>
      <c r="AD33" s="8"/>
      <c r="AE33" s="8"/>
      <c r="AF33" s="8"/>
      <c r="AG33" s="8"/>
      <c r="AH33" s="8"/>
      <c r="AI33" s="8"/>
      <c r="AJ33" s="8"/>
      <c r="AK33" s="8"/>
      <c r="AL33" s="8"/>
      <c r="AM33" s="8"/>
      <c r="AN33" s="8"/>
      <c r="AO33" s="8"/>
      <c r="AP33" s="8"/>
      <c r="AQ33" s="8"/>
    </row>
    <row r="34" spans="1:43" ht="23.25" customHeight="1" x14ac:dyDescent="0.3">
      <c r="A34" s="8" t="s">
        <v>644</v>
      </c>
      <c r="B34" s="8"/>
      <c r="C34" s="8"/>
      <c r="D34" s="10"/>
      <c r="E34" s="10"/>
      <c r="F34" s="10" t="str">
        <f t="shared" si="0"/>
        <v>gift-codes.html?game=最強宗師</v>
      </c>
      <c r="G34" s="10"/>
      <c r="H34" s="10" t="str">
        <f t="shared" si="1"/>
        <v>https://www.ssbuy.tw/game-detail.html?game=最強宗師</v>
      </c>
      <c r="I34" s="27" t="s">
        <v>645</v>
      </c>
      <c r="J34" s="32" t="s">
        <v>646</v>
      </c>
      <c r="K34" s="8">
        <v>2551</v>
      </c>
      <c r="L34" s="8" t="s">
        <v>647</v>
      </c>
      <c r="M34" s="8">
        <v>1323</v>
      </c>
      <c r="N34" s="8" t="s">
        <v>648</v>
      </c>
      <c r="O34" s="8">
        <v>786</v>
      </c>
      <c r="P34" s="8" t="s">
        <v>649</v>
      </c>
      <c r="Q34" s="8">
        <v>539</v>
      </c>
      <c r="R34" s="8" t="s">
        <v>650</v>
      </c>
      <c r="S34" s="8">
        <v>394</v>
      </c>
      <c r="T34" s="8" t="s">
        <v>651</v>
      </c>
      <c r="U34" s="8">
        <v>267</v>
      </c>
      <c r="V34" s="8" t="s">
        <v>652</v>
      </c>
      <c r="W34" s="8">
        <v>137</v>
      </c>
      <c r="X34" s="8" t="s">
        <v>653</v>
      </c>
      <c r="Y34" s="8">
        <v>60</v>
      </c>
      <c r="Z34" s="8" t="s">
        <v>654</v>
      </c>
      <c r="AA34" s="8">
        <v>35</v>
      </c>
      <c r="AB34" s="8"/>
      <c r="AC34" s="8"/>
      <c r="AD34" s="8"/>
      <c r="AE34" s="8"/>
      <c r="AF34" s="8"/>
      <c r="AG34" s="8"/>
      <c r="AH34" s="8"/>
      <c r="AI34" s="8"/>
      <c r="AJ34" s="8"/>
      <c r="AK34" s="8"/>
      <c r="AL34" s="8"/>
      <c r="AM34" s="8"/>
      <c r="AN34" s="8"/>
      <c r="AO34" s="8"/>
      <c r="AP34" s="8"/>
      <c r="AQ34" s="8"/>
    </row>
    <row r="35" spans="1:43" ht="23.25" customHeight="1" x14ac:dyDescent="0.3">
      <c r="A35" s="8" t="s">
        <v>655</v>
      </c>
      <c r="B35" s="8"/>
      <c r="C35" s="8"/>
      <c r="D35" s="10"/>
      <c r="E35" s="10"/>
      <c r="F35" s="10" t="str">
        <f t="shared" si="0"/>
        <v>gift-codes.html?game=無期迷途</v>
      </c>
      <c r="G35" s="10"/>
      <c r="H35" s="10" t="str">
        <f t="shared" si="1"/>
        <v>https://www.ssbuy.tw/game-detail.html?game=無期迷途</v>
      </c>
      <c r="I35" s="27" t="s">
        <v>656</v>
      </c>
      <c r="J35" s="32" t="s">
        <v>657</v>
      </c>
      <c r="K35" s="8">
        <v>2360</v>
      </c>
      <c r="L35" s="8" t="s">
        <v>658</v>
      </c>
      <c r="M35" s="8">
        <v>1200</v>
      </c>
      <c r="N35" s="8" t="s">
        <v>659</v>
      </c>
      <c r="O35" s="8">
        <v>800</v>
      </c>
      <c r="P35" s="8" t="s">
        <v>660</v>
      </c>
      <c r="Q35" s="8">
        <v>420</v>
      </c>
      <c r="R35" s="8" t="s">
        <v>661</v>
      </c>
      <c r="S35" s="8">
        <v>137</v>
      </c>
      <c r="T35" s="8" t="s">
        <v>662</v>
      </c>
      <c r="U35" s="8">
        <v>30</v>
      </c>
      <c r="V35" s="8"/>
      <c r="W35" s="8"/>
      <c r="X35" s="8"/>
      <c r="Y35" s="8"/>
      <c r="Z35" s="8"/>
      <c r="AA35" s="8"/>
      <c r="AB35" s="8"/>
      <c r="AC35" s="8"/>
      <c r="AD35" s="8"/>
      <c r="AE35" s="8"/>
      <c r="AF35" s="8"/>
      <c r="AG35" s="8"/>
      <c r="AH35" s="8"/>
      <c r="AI35" s="8"/>
      <c r="AJ35" s="8"/>
      <c r="AK35" s="8"/>
      <c r="AL35" s="8"/>
      <c r="AM35" s="8"/>
      <c r="AN35" s="8"/>
      <c r="AO35" s="8"/>
      <c r="AP35" s="8"/>
      <c r="AQ35" s="8"/>
    </row>
    <row r="36" spans="1:43" ht="23.25" customHeight="1" x14ac:dyDescent="0.3">
      <c r="A36" s="8" t="s">
        <v>663</v>
      </c>
      <c r="B36" s="8"/>
      <c r="C36" s="8"/>
      <c r="D36" s="10"/>
      <c r="E36" s="10"/>
      <c r="F36" s="10" t="str">
        <f t="shared" si="0"/>
        <v>gift-codes.html?game=絕區零</v>
      </c>
      <c r="G36" s="10"/>
      <c r="H36" s="10" t="str">
        <f t="shared" si="1"/>
        <v>https://www.ssbuy.tw/game-detail.html?game=絕區零</v>
      </c>
      <c r="I36" s="27" t="s">
        <v>664</v>
      </c>
      <c r="J36" s="32" t="s">
        <v>665</v>
      </c>
      <c r="K36" s="8">
        <v>2520</v>
      </c>
      <c r="L36" s="8" t="s">
        <v>666</v>
      </c>
      <c r="M36" s="8">
        <v>1323</v>
      </c>
      <c r="N36" s="8" t="s">
        <v>667</v>
      </c>
      <c r="O36" s="8">
        <v>786</v>
      </c>
      <c r="P36" s="8" t="s">
        <v>668</v>
      </c>
      <c r="Q36" s="8">
        <v>394</v>
      </c>
      <c r="R36" s="8" t="s">
        <v>669</v>
      </c>
      <c r="S36" s="8">
        <v>137</v>
      </c>
      <c r="T36" s="8" t="s">
        <v>670</v>
      </c>
      <c r="U36" s="8">
        <v>30</v>
      </c>
      <c r="V36" s="8" t="s">
        <v>671</v>
      </c>
      <c r="W36" s="8">
        <v>137</v>
      </c>
      <c r="X36" s="8" t="s">
        <v>672</v>
      </c>
      <c r="Y36" s="8">
        <v>270</v>
      </c>
      <c r="Z36" s="8" t="s">
        <v>673</v>
      </c>
      <c r="AA36" s="8">
        <v>540</v>
      </c>
      <c r="AB36" s="8"/>
      <c r="AC36" s="8"/>
      <c r="AD36" s="8"/>
      <c r="AE36" s="8"/>
      <c r="AF36" s="8"/>
      <c r="AG36" s="8"/>
      <c r="AH36" s="8"/>
      <c r="AI36" s="8"/>
      <c r="AJ36" s="8"/>
      <c r="AK36" s="8"/>
      <c r="AL36" s="8"/>
      <c r="AM36" s="8"/>
      <c r="AN36" s="8"/>
      <c r="AO36" s="8"/>
      <c r="AP36" s="8"/>
      <c r="AQ36" s="8"/>
    </row>
    <row r="37" spans="1:43" ht="23.25" customHeight="1" x14ac:dyDescent="0.3">
      <c r="A37" s="8" t="s">
        <v>674</v>
      </c>
      <c r="B37" s="8"/>
      <c r="C37" s="8"/>
      <c r="D37" s="10"/>
      <c r="E37" s="10"/>
      <c r="F37" s="10" t="str">
        <f t="shared" si="0"/>
        <v>gift-codes.html?game=傳說對決</v>
      </c>
      <c r="G37" s="10"/>
      <c r="H37" s="10" t="str">
        <f t="shared" si="1"/>
        <v>https://www.ssbuy.tw/game-detail.html?game=傳說對決</v>
      </c>
      <c r="I37" s="27" t="s">
        <v>675</v>
      </c>
      <c r="J37" s="32" t="s">
        <v>676</v>
      </c>
      <c r="K37" s="8">
        <v>2660</v>
      </c>
      <c r="L37" s="8" t="s">
        <v>677</v>
      </c>
      <c r="M37" s="8">
        <v>2350</v>
      </c>
      <c r="N37" s="8" t="s">
        <v>678</v>
      </c>
      <c r="O37" s="8">
        <v>1890</v>
      </c>
      <c r="P37" s="8" t="s">
        <v>679</v>
      </c>
      <c r="Q37" s="8">
        <v>1390</v>
      </c>
      <c r="R37" s="8" t="s">
        <v>680</v>
      </c>
      <c r="S37" s="8">
        <v>970</v>
      </c>
      <c r="T37" s="8" t="s">
        <v>681</v>
      </c>
      <c r="U37" s="8">
        <v>750</v>
      </c>
      <c r="V37" s="8" t="s">
        <v>682</v>
      </c>
      <c r="W37" s="8">
        <v>490</v>
      </c>
      <c r="X37" s="8" t="s">
        <v>683</v>
      </c>
      <c r="Y37" s="8">
        <v>250</v>
      </c>
      <c r="Z37" s="8"/>
      <c r="AA37" s="8"/>
      <c r="AB37" s="8"/>
      <c r="AC37" s="8"/>
      <c r="AD37" s="8"/>
      <c r="AE37" s="8"/>
      <c r="AF37" s="8"/>
      <c r="AG37" s="8"/>
      <c r="AH37" s="8"/>
      <c r="AI37" s="8"/>
      <c r="AJ37" s="8"/>
      <c r="AK37" s="8"/>
      <c r="AL37" s="8"/>
      <c r="AM37" s="8"/>
      <c r="AN37" s="8"/>
      <c r="AO37" s="8"/>
      <c r="AP37" s="8"/>
      <c r="AQ37" s="8"/>
    </row>
    <row r="38" spans="1:43" ht="23.25" customHeight="1" x14ac:dyDescent="0.3">
      <c r="A38" s="8" t="s">
        <v>684</v>
      </c>
      <c r="B38" s="8"/>
      <c r="C38" s="8"/>
      <c r="D38" s="10"/>
      <c r="E38" s="10"/>
      <c r="F38" s="10" t="str">
        <f t="shared" si="0"/>
        <v>gift-codes.html?game=楓之谷M</v>
      </c>
      <c r="G38" s="10"/>
      <c r="H38" s="10" t="str">
        <f t="shared" si="1"/>
        <v>https://www.ssbuy.tw/game-detail.html?game=楓之谷M</v>
      </c>
      <c r="I38" s="27" t="s">
        <v>685</v>
      </c>
      <c r="J38" s="32" t="s">
        <v>686</v>
      </c>
      <c r="K38" s="8">
        <v>2551</v>
      </c>
      <c r="L38" s="8" t="s">
        <v>687</v>
      </c>
      <c r="M38" s="8">
        <v>1390</v>
      </c>
      <c r="N38" s="8" t="s">
        <v>688</v>
      </c>
      <c r="O38" s="8">
        <v>786</v>
      </c>
      <c r="P38" s="8" t="s">
        <v>689</v>
      </c>
      <c r="Q38" s="8">
        <v>539</v>
      </c>
      <c r="R38" s="8" t="s">
        <v>573</v>
      </c>
      <c r="S38" s="8">
        <v>267</v>
      </c>
      <c r="T38" s="8" t="s">
        <v>690</v>
      </c>
      <c r="U38" s="8">
        <v>137</v>
      </c>
      <c r="V38" s="8" t="s">
        <v>691</v>
      </c>
      <c r="W38" s="8">
        <v>35</v>
      </c>
      <c r="X38" s="8"/>
      <c r="Y38" s="8"/>
      <c r="Z38" s="8"/>
      <c r="AA38" s="8"/>
      <c r="AB38" s="8"/>
      <c r="AC38" s="8"/>
      <c r="AD38" s="8"/>
      <c r="AE38" s="8"/>
      <c r="AF38" s="8"/>
      <c r="AG38" s="8"/>
      <c r="AH38" s="8"/>
      <c r="AI38" s="8"/>
      <c r="AJ38" s="8"/>
      <c r="AK38" s="8"/>
      <c r="AL38" s="8"/>
      <c r="AM38" s="8"/>
      <c r="AN38" s="8"/>
      <c r="AO38" s="8"/>
      <c r="AP38" s="8"/>
      <c r="AQ38" s="8"/>
    </row>
    <row r="39" spans="1:43" ht="23.25" customHeight="1" x14ac:dyDescent="0.3">
      <c r="A39" s="8" t="s">
        <v>692</v>
      </c>
      <c r="B39" s="8"/>
      <c r="C39" s="8"/>
      <c r="D39" s="10"/>
      <c r="E39" s="10"/>
      <c r="F39" s="10" t="str">
        <f t="shared" si="0"/>
        <v>gift-codes.html?game=鳴潮</v>
      </c>
      <c r="G39" s="10"/>
      <c r="H39" s="10" t="str">
        <f t="shared" si="1"/>
        <v>https://www.ssbuy.tw/game-detail.html?game=鳴潮</v>
      </c>
      <c r="I39" s="27" t="s">
        <v>693</v>
      </c>
      <c r="J39" s="32" t="s">
        <v>694</v>
      </c>
      <c r="K39" s="8">
        <v>2320</v>
      </c>
      <c r="L39" s="8" t="s">
        <v>695</v>
      </c>
      <c r="M39" s="8">
        <v>1323</v>
      </c>
      <c r="N39" s="8" t="s">
        <v>696</v>
      </c>
      <c r="O39" s="8">
        <v>786</v>
      </c>
      <c r="P39" s="8" t="s">
        <v>697</v>
      </c>
      <c r="Q39" s="8">
        <v>394</v>
      </c>
      <c r="R39" s="8" t="s">
        <v>698</v>
      </c>
      <c r="S39" s="8">
        <v>137</v>
      </c>
      <c r="T39" s="8" t="s">
        <v>699</v>
      </c>
      <c r="U39" s="8">
        <v>30</v>
      </c>
      <c r="V39" s="8" t="s">
        <v>700</v>
      </c>
      <c r="W39" s="8">
        <v>137</v>
      </c>
      <c r="X39" s="8" t="s">
        <v>701</v>
      </c>
      <c r="Y39" s="8">
        <v>260</v>
      </c>
      <c r="Z39" s="8" t="s">
        <v>702</v>
      </c>
      <c r="AA39" s="8">
        <v>520</v>
      </c>
      <c r="AB39" s="8"/>
      <c r="AC39" s="8"/>
      <c r="AD39" s="8"/>
      <c r="AE39" s="8"/>
      <c r="AF39" s="8"/>
      <c r="AG39" s="8"/>
      <c r="AH39" s="8"/>
      <c r="AI39" s="8"/>
      <c r="AJ39" s="8"/>
      <c r="AK39" s="8"/>
      <c r="AL39" s="8"/>
      <c r="AM39" s="8"/>
      <c r="AN39" s="8"/>
      <c r="AO39" s="8"/>
      <c r="AP39" s="8"/>
      <c r="AQ39" s="8"/>
    </row>
    <row r="40" spans="1:43" ht="23.25" customHeight="1" x14ac:dyDescent="0.3">
      <c r="A40" s="8" t="s">
        <v>703</v>
      </c>
      <c r="B40" s="8"/>
      <c r="C40" s="8"/>
      <c r="D40" s="10"/>
      <c r="E40" s="10"/>
      <c r="F40" s="10" t="str">
        <f t="shared" si="0"/>
        <v>gift-codes.html?game=劍與遠征：啟程</v>
      </c>
      <c r="G40" s="10"/>
      <c r="H40" s="10" t="str">
        <f t="shared" si="1"/>
        <v>https://www.ssbuy.tw/game-detail.html?game=劍與遠征：啟程</v>
      </c>
      <c r="I40" s="27" t="s">
        <v>704</v>
      </c>
      <c r="J40" s="32" t="s">
        <v>705</v>
      </c>
      <c r="K40" s="8">
        <v>2420</v>
      </c>
      <c r="L40" s="8" t="s">
        <v>706</v>
      </c>
      <c r="M40" s="8">
        <v>1323</v>
      </c>
      <c r="N40" s="8" t="s">
        <v>707</v>
      </c>
      <c r="O40" s="8">
        <v>786</v>
      </c>
      <c r="P40" s="8" t="s">
        <v>572</v>
      </c>
      <c r="Q40" s="8">
        <v>539</v>
      </c>
      <c r="R40" s="8" t="s">
        <v>708</v>
      </c>
      <c r="S40" s="8">
        <v>267</v>
      </c>
      <c r="T40" s="8" t="s">
        <v>709</v>
      </c>
      <c r="U40" s="8">
        <v>137</v>
      </c>
      <c r="V40" s="8" t="s">
        <v>691</v>
      </c>
      <c r="W40" s="8">
        <v>35</v>
      </c>
      <c r="X40" s="8"/>
      <c r="Y40" s="8"/>
      <c r="Z40" s="8"/>
      <c r="AA40" s="8"/>
      <c r="AB40" s="8"/>
      <c r="AC40" s="8"/>
      <c r="AD40" s="8"/>
      <c r="AE40" s="8"/>
      <c r="AF40" s="8"/>
      <c r="AG40" s="8"/>
      <c r="AH40" s="8"/>
      <c r="AI40" s="8"/>
      <c r="AJ40" s="8"/>
      <c r="AK40" s="8"/>
      <c r="AL40" s="8"/>
      <c r="AM40" s="8"/>
      <c r="AN40" s="8"/>
      <c r="AO40" s="8"/>
      <c r="AP40" s="8"/>
      <c r="AQ40" s="8"/>
    </row>
    <row r="41" spans="1:43" ht="23.25" customHeight="1" x14ac:dyDescent="0.3">
      <c r="A41" s="8" t="s">
        <v>710</v>
      </c>
      <c r="B41" s="8"/>
      <c r="C41" s="8"/>
      <c r="D41" s="10"/>
      <c r="E41" s="10"/>
      <c r="F41" s="10" t="str">
        <f t="shared" si="0"/>
        <v>gift-codes.html?game=熱血大作戰</v>
      </c>
      <c r="G41" s="10"/>
      <c r="H41" s="10" t="str">
        <f t="shared" si="1"/>
        <v>https://www.ssbuy.tw/game-detail.html?game=熱血大作戰</v>
      </c>
      <c r="I41" s="27" t="s">
        <v>711</v>
      </c>
      <c r="J41" s="32" t="s">
        <v>712</v>
      </c>
      <c r="K41" s="8">
        <v>2551</v>
      </c>
      <c r="L41" s="8" t="s">
        <v>713</v>
      </c>
      <c r="M41" s="8">
        <v>1323</v>
      </c>
      <c r="N41" s="8" t="s">
        <v>714</v>
      </c>
      <c r="O41" s="8">
        <v>786</v>
      </c>
      <c r="P41" s="8" t="s">
        <v>715</v>
      </c>
      <c r="Q41" s="8">
        <v>450</v>
      </c>
      <c r="R41" s="8" t="s">
        <v>716</v>
      </c>
      <c r="S41" s="8">
        <v>137</v>
      </c>
      <c r="T41" s="8" t="s">
        <v>717</v>
      </c>
      <c r="U41" s="8">
        <v>40</v>
      </c>
      <c r="V41" s="8"/>
      <c r="W41" s="8"/>
      <c r="X41" s="8"/>
      <c r="Y41" s="8"/>
      <c r="Z41" s="8"/>
      <c r="AA41" s="8"/>
      <c r="AB41" s="8"/>
      <c r="AC41" s="8"/>
      <c r="AD41" s="8"/>
      <c r="AE41" s="8"/>
      <c r="AF41" s="8"/>
      <c r="AG41" s="8"/>
      <c r="AH41" s="8"/>
      <c r="AI41" s="8"/>
      <c r="AJ41" s="8"/>
      <c r="AK41" s="8"/>
      <c r="AL41" s="8"/>
      <c r="AM41" s="8"/>
      <c r="AN41" s="8"/>
      <c r="AO41" s="8"/>
      <c r="AP41" s="8"/>
      <c r="AQ41" s="8"/>
    </row>
    <row r="42" spans="1:43" ht="23.25" customHeight="1" x14ac:dyDescent="0.3">
      <c r="A42" s="8" t="s">
        <v>718</v>
      </c>
      <c r="B42" s="8"/>
      <c r="C42" s="8"/>
      <c r="D42" s="10"/>
      <c r="E42" s="10"/>
      <c r="F42" s="10" t="str">
        <f t="shared" si="0"/>
        <v>gift-codes.html?game=骷髏傳說：戰神崛起</v>
      </c>
      <c r="G42" s="10"/>
      <c r="H42" s="10" t="str">
        <f t="shared" si="1"/>
        <v>https://www.ssbuy.tw/game-detail.html?game=骷髏傳說：戰神崛起</v>
      </c>
      <c r="I42" s="27" t="s">
        <v>719</v>
      </c>
      <c r="J42" s="32" t="s">
        <v>720</v>
      </c>
      <c r="K42" s="8">
        <v>2200</v>
      </c>
      <c r="L42" s="8" t="s">
        <v>721</v>
      </c>
      <c r="M42" s="8">
        <v>1380</v>
      </c>
      <c r="N42" s="8" t="s">
        <v>722</v>
      </c>
      <c r="O42" s="8">
        <v>450</v>
      </c>
      <c r="P42" s="8" t="s">
        <v>723</v>
      </c>
      <c r="Q42" s="8">
        <v>240</v>
      </c>
      <c r="R42" s="8" t="s">
        <v>724</v>
      </c>
      <c r="S42" s="8">
        <v>137</v>
      </c>
      <c r="T42" s="8"/>
      <c r="U42" s="8"/>
      <c r="V42" s="8"/>
      <c r="W42" s="8"/>
      <c r="X42" s="8"/>
      <c r="Y42" s="8"/>
      <c r="Z42" s="8"/>
      <c r="AA42" s="8"/>
      <c r="AB42" s="8"/>
      <c r="AC42" s="8"/>
      <c r="AD42" s="8"/>
      <c r="AE42" s="8"/>
      <c r="AF42" s="8"/>
      <c r="AG42" s="8"/>
      <c r="AH42" s="8"/>
      <c r="AI42" s="8"/>
      <c r="AJ42" s="8"/>
      <c r="AK42" s="8"/>
      <c r="AL42" s="8"/>
      <c r="AM42" s="8"/>
      <c r="AN42" s="8"/>
      <c r="AO42" s="8"/>
      <c r="AP42" s="8"/>
      <c r="AQ42" s="8"/>
    </row>
    <row r="43" spans="1:43" ht="23.25" customHeight="1" x14ac:dyDescent="0.3">
      <c r="A43" s="8" t="s">
        <v>725</v>
      </c>
      <c r="B43" s="8"/>
      <c r="C43" s="8"/>
      <c r="D43" s="10"/>
      <c r="E43" s="10"/>
      <c r="F43" s="10" t="str">
        <f t="shared" si="0"/>
        <v>gift-codes.html?game=黎明：血色魔女</v>
      </c>
      <c r="G43" s="10"/>
      <c r="H43" s="10" t="str">
        <f t="shared" si="1"/>
        <v>https://www.ssbuy.tw/game-detail.html?game=黎明：血色魔女</v>
      </c>
      <c r="I43" s="27" t="s">
        <v>726</v>
      </c>
      <c r="J43" s="32" t="s">
        <v>727</v>
      </c>
      <c r="K43" s="8">
        <v>2551</v>
      </c>
      <c r="L43" s="8" t="s">
        <v>728</v>
      </c>
      <c r="M43" s="8">
        <v>1323</v>
      </c>
      <c r="N43" s="8" t="s">
        <v>729</v>
      </c>
      <c r="O43" s="8">
        <v>786</v>
      </c>
      <c r="P43" s="8" t="s">
        <v>730</v>
      </c>
      <c r="Q43" s="8">
        <v>539</v>
      </c>
      <c r="R43" s="8" t="s">
        <v>731</v>
      </c>
      <c r="S43" s="8">
        <v>394</v>
      </c>
      <c r="T43" s="8" t="s">
        <v>732</v>
      </c>
      <c r="U43" s="8">
        <v>267</v>
      </c>
      <c r="V43" s="8" t="s">
        <v>733</v>
      </c>
      <c r="W43" s="8">
        <v>137</v>
      </c>
      <c r="X43" s="8" t="s">
        <v>734</v>
      </c>
      <c r="Y43" s="8">
        <v>35</v>
      </c>
      <c r="Z43" s="8"/>
      <c r="AA43" s="8"/>
      <c r="AB43" s="8"/>
      <c r="AC43" s="8"/>
      <c r="AD43" s="8"/>
      <c r="AE43" s="8"/>
      <c r="AF43" s="8"/>
      <c r="AG43" s="8"/>
      <c r="AH43" s="8"/>
      <c r="AI43" s="8"/>
      <c r="AJ43" s="8"/>
      <c r="AK43" s="8"/>
      <c r="AL43" s="8"/>
      <c r="AM43" s="8"/>
      <c r="AN43" s="8"/>
      <c r="AO43" s="8"/>
      <c r="AP43" s="8"/>
      <c r="AQ43" s="8"/>
    </row>
    <row r="44" spans="1:43" ht="23.25" customHeight="1" x14ac:dyDescent="0.3">
      <c r="A44" s="8" t="s">
        <v>735</v>
      </c>
      <c r="B44" s="8"/>
      <c r="C44" s="8"/>
      <c r="D44" s="10"/>
      <c r="E44" s="10"/>
      <c r="F44" s="10" t="str">
        <f t="shared" si="0"/>
        <v>gift-codes.html?game=黎明啟示錄</v>
      </c>
      <c r="G44" s="10"/>
      <c r="H44" s="10" t="str">
        <f t="shared" si="1"/>
        <v>https://www.ssbuy.tw/game-detail.html?game=黎明啟示錄</v>
      </c>
      <c r="I44" s="27" t="s">
        <v>736</v>
      </c>
      <c r="J44" s="32" t="s">
        <v>737</v>
      </c>
      <c r="K44" s="8">
        <v>2551</v>
      </c>
      <c r="L44" s="8" t="s">
        <v>430</v>
      </c>
      <c r="M44" s="8">
        <v>1390</v>
      </c>
      <c r="N44" s="8" t="s">
        <v>738</v>
      </c>
      <c r="O44" s="8">
        <v>786</v>
      </c>
      <c r="P44" s="8" t="s">
        <v>739</v>
      </c>
      <c r="Q44" s="8">
        <v>539</v>
      </c>
      <c r="R44" s="8" t="s">
        <v>708</v>
      </c>
      <c r="S44" s="8">
        <v>267</v>
      </c>
      <c r="T44" s="8" t="s">
        <v>574</v>
      </c>
      <c r="U44" s="8">
        <v>137</v>
      </c>
      <c r="V44" s="8" t="s">
        <v>740</v>
      </c>
      <c r="W44" s="8">
        <v>35</v>
      </c>
      <c r="X44" s="8"/>
      <c r="Y44" s="8"/>
      <c r="Z44" s="8"/>
      <c r="AA44" s="8"/>
      <c r="AB44" s="8"/>
      <c r="AC44" s="8"/>
      <c r="AD44" s="8"/>
      <c r="AE44" s="8"/>
      <c r="AF44" s="8"/>
      <c r="AG44" s="8"/>
      <c r="AH44" s="8"/>
      <c r="AI44" s="8"/>
      <c r="AJ44" s="8"/>
      <c r="AK44" s="8"/>
      <c r="AL44" s="8"/>
      <c r="AM44" s="8"/>
      <c r="AN44" s="8"/>
      <c r="AO44" s="8"/>
      <c r="AP44" s="8"/>
      <c r="AQ44" s="8"/>
    </row>
    <row r="45" spans="1:43" ht="23.25" customHeight="1" x14ac:dyDescent="0.3">
      <c r="A45" s="8" t="s">
        <v>741</v>
      </c>
      <c r="B45" s="8"/>
      <c r="C45" s="8"/>
      <c r="D45" s="10"/>
      <c r="E45" s="10"/>
      <c r="F45" s="10" t="str">
        <f t="shared" si="0"/>
        <v>gift-codes.html?game=龍魂旅人</v>
      </c>
      <c r="G45" s="10"/>
      <c r="H45" s="10" t="str">
        <f t="shared" si="1"/>
        <v>https://www.ssbuy.tw/game-detail.html?game=龍魂旅人</v>
      </c>
      <c r="I45" s="27" t="s">
        <v>742</v>
      </c>
      <c r="J45" s="32" t="s">
        <v>743</v>
      </c>
      <c r="K45" s="8">
        <v>2551</v>
      </c>
      <c r="L45" s="8" t="s">
        <v>744</v>
      </c>
      <c r="M45" s="8">
        <v>1460</v>
      </c>
      <c r="N45" s="8" t="s">
        <v>745</v>
      </c>
      <c r="O45" s="8">
        <v>539</v>
      </c>
      <c r="P45" s="8" t="s">
        <v>746</v>
      </c>
      <c r="Q45" s="8">
        <v>267</v>
      </c>
      <c r="R45" s="8" t="s">
        <v>747</v>
      </c>
      <c r="S45" s="8">
        <v>137</v>
      </c>
      <c r="T45" s="8" t="s">
        <v>748</v>
      </c>
      <c r="U45" s="8">
        <v>30</v>
      </c>
      <c r="V45" s="8"/>
      <c r="W45" s="8"/>
      <c r="X45" s="8"/>
      <c r="Y45" s="8"/>
      <c r="Z45" s="8"/>
      <c r="AA45" s="8"/>
      <c r="AB45" s="8"/>
      <c r="AC45" s="8"/>
      <c r="AD45" s="8"/>
      <c r="AE45" s="8"/>
      <c r="AF45" s="8"/>
      <c r="AG45" s="8"/>
      <c r="AH45" s="8"/>
      <c r="AI45" s="8"/>
      <c r="AJ45" s="8"/>
      <c r="AK45" s="8"/>
      <c r="AL45" s="8"/>
      <c r="AM45" s="8"/>
      <c r="AN45" s="8"/>
      <c r="AO45" s="8"/>
      <c r="AP45" s="8"/>
      <c r="AQ45" s="8"/>
    </row>
    <row r="46" spans="1:43" ht="23.25" customHeight="1" x14ac:dyDescent="0.3">
      <c r="A46" s="8" t="s">
        <v>749</v>
      </c>
      <c r="B46" s="8"/>
      <c r="C46" s="8"/>
      <c r="D46" s="10"/>
      <c r="E46" s="10"/>
      <c r="F46" s="10" t="str">
        <f t="shared" si="0"/>
        <v>gift-codes.html?game=戀與深空</v>
      </c>
      <c r="G46" s="10"/>
      <c r="H46" s="10" t="str">
        <f t="shared" si="1"/>
        <v>https://www.ssbuy.tw/game-detail.html?game=戀與深空</v>
      </c>
      <c r="I46" s="27" t="s">
        <v>750</v>
      </c>
      <c r="J46" s="32" t="s">
        <v>751</v>
      </c>
      <c r="K46" s="8">
        <v>2551</v>
      </c>
      <c r="L46" s="8" t="s">
        <v>752</v>
      </c>
      <c r="M46" s="8">
        <v>1323</v>
      </c>
      <c r="N46" s="8" t="s">
        <v>753</v>
      </c>
      <c r="O46" s="8">
        <v>786</v>
      </c>
      <c r="P46" s="8" t="s">
        <v>754</v>
      </c>
      <c r="Q46" s="8">
        <v>539</v>
      </c>
      <c r="R46" s="8" t="s">
        <v>755</v>
      </c>
      <c r="S46" s="8">
        <v>267</v>
      </c>
      <c r="T46" s="8" t="s">
        <v>756</v>
      </c>
      <c r="U46" s="8">
        <v>137</v>
      </c>
      <c r="V46" s="8" t="s">
        <v>691</v>
      </c>
      <c r="W46" s="8">
        <v>35</v>
      </c>
      <c r="X46" s="8"/>
      <c r="Y46" s="8"/>
      <c r="Z46" s="8"/>
      <c r="AA46" s="8"/>
      <c r="AB46" s="8"/>
      <c r="AC46" s="8"/>
      <c r="AD46" s="8"/>
      <c r="AE46" s="8"/>
      <c r="AF46" s="8"/>
      <c r="AG46" s="8"/>
      <c r="AH46" s="8"/>
      <c r="AI46" s="8"/>
      <c r="AJ46" s="8"/>
      <c r="AK46" s="8"/>
      <c r="AL46" s="8"/>
      <c r="AM46" s="8"/>
      <c r="AN46" s="8"/>
      <c r="AO46" s="8"/>
      <c r="AP46" s="8"/>
      <c r="AQ46" s="8"/>
    </row>
    <row r="47" spans="1:43" ht="23.25" customHeight="1" x14ac:dyDescent="0.3">
      <c r="A47" s="8" t="s">
        <v>757</v>
      </c>
      <c r="B47" s="8"/>
      <c r="C47" s="8"/>
      <c r="D47" s="10"/>
      <c r="E47" s="10"/>
      <c r="F47" s="10" t="str">
        <f t="shared" si="0"/>
        <v>gift-codes.html?game=靈魂衝擊：無限放置</v>
      </c>
      <c r="G47" s="10"/>
      <c r="H47" s="10" t="str">
        <f t="shared" si="1"/>
        <v>https://www.ssbuy.tw/game-detail.html?game=靈魂衝擊：無限放置</v>
      </c>
      <c r="I47" s="27" t="s">
        <v>758</v>
      </c>
      <c r="J47" s="32" t="s">
        <v>759</v>
      </c>
      <c r="K47" s="8">
        <v>2290</v>
      </c>
      <c r="L47" s="8" t="s">
        <v>760</v>
      </c>
      <c r="M47" s="8">
        <v>1180</v>
      </c>
      <c r="N47" s="8" t="s">
        <v>761</v>
      </c>
      <c r="O47" s="8">
        <v>720</v>
      </c>
      <c r="P47" s="8" t="s">
        <v>762</v>
      </c>
      <c r="Q47" s="8">
        <v>267</v>
      </c>
      <c r="R47" s="8" t="s">
        <v>763</v>
      </c>
      <c r="S47" s="8">
        <v>137</v>
      </c>
      <c r="T47" s="8" t="s">
        <v>764</v>
      </c>
      <c r="U47" s="8">
        <v>40</v>
      </c>
      <c r="V47" s="8"/>
      <c r="W47" s="8"/>
      <c r="X47" s="8"/>
      <c r="Y47" s="8"/>
      <c r="Z47" s="8"/>
      <c r="AA47" s="8"/>
      <c r="AB47" s="8"/>
      <c r="AC47" s="8"/>
      <c r="AD47" s="8"/>
      <c r="AE47" s="8"/>
      <c r="AF47" s="8"/>
      <c r="AG47" s="8"/>
      <c r="AH47" s="8"/>
      <c r="AI47" s="8"/>
      <c r="AJ47" s="8"/>
      <c r="AK47" s="8"/>
      <c r="AL47" s="8"/>
      <c r="AM47" s="8"/>
      <c r="AN47" s="8"/>
      <c r="AO47" s="8"/>
      <c r="AP47" s="8"/>
      <c r="AQ47" s="8"/>
    </row>
    <row r="48" spans="1:43" ht="23.25" customHeight="1" x14ac:dyDescent="0.3">
      <c r="A48" s="8" t="s">
        <v>765</v>
      </c>
      <c r="B48" s="8"/>
      <c r="C48" s="8"/>
      <c r="D48" s="10"/>
      <c r="E48" s="10"/>
      <c r="F48" s="10" t="str">
        <f t="shared" si="0"/>
        <v>gift-codes.html?game=楓葉島</v>
      </c>
      <c r="G48" s="10"/>
      <c r="H48" s="10" t="str">
        <f t="shared" si="1"/>
        <v>https://www.ssbuy.tw/game-detail.html?game=楓葉島</v>
      </c>
      <c r="I48" s="27" t="s">
        <v>766</v>
      </c>
      <c r="J48" s="32" t="s">
        <v>767</v>
      </c>
      <c r="K48" s="8">
        <v>2530</v>
      </c>
      <c r="L48" s="8" t="s">
        <v>768</v>
      </c>
      <c r="M48" s="8">
        <v>1323</v>
      </c>
      <c r="N48" s="8" t="s">
        <v>769</v>
      </c>
      <c r="O48" s="8">
        <v>786</v>
      </c>
      <c r="P48" s="8" t="s">
        <v>770</v>
      </c>
      <c r="Q48" s="8">
        <v>394</v>
      </c>
      <c r="R48" s="8" t="s">
        <v>771</v>
      </c>
      <c r="S48" s="8">
        <v>137</v>
      </c>
      <c r="T48" s="8" t="s">
        <v>772</v>
      </c>
      <c r="U48" s="8">
        <v>60</v>
      </c>
      <c r="V48" s="8" t="s">
        <v>773</v>
      </c>
      <c r="W48" s="8">
        <v>30</v>
      </c>
      <c r="X48" s="8"/>
      <c r="Y48" s="8"/>
      <c r="Z48" s="8"/>
      <c r="AA48" s="8"/>
      <c r="AB48" s="8"/>
      <c r="AC48" s="8"/>
      <c r="AD48" s="8"/>
      <c r="AE48" s="8"/>
      <c r="AF48" s="8"/>
      <c r="AG48" s="8"/>
      <c r="AH48" s="8"/>
      <c r="AI48" s="8"/>
      <c r="AJ48" s="8"/>
      <c r="AK48" s="8"/>
      <c r="AL48" s="8"/>
      <c r="AM48" s="8"/>
      <c r="AN48" s="8"/>
      <c r="AO48" s="8"/>
      <c r="AP48" s="8"/>
      <c r="AQ48" s="8"/>
    </row>
    <row r="49" spans="1:43" ht="23.25" customHeight="1" x14ac:dyDescent="0.3">
      <c r="A49" s="8" t="s">
        <v>774</v>
      </c>
      <c r="B49" s="8"/>
      <c r="C49" s="8"/>
      <c r="D49" s="10"/>
      <c r="E49" s="10"/>
      <c r="F49" s="10" t="str">
        <f t="shared" si="0"/>
        <v>gift-codes.html?game=無名江湖</v>
      </c>
      <c r="G49" s="10"/>
      <c r="H49" s="10" t="str">
        <f t="shared" si="1"/>
        <v>https://www.ssbuy.tw/game-detail.html?game=無名江湖</v>
      </c>
      <c r="I49" s="27" t="s">
        <v>775</v>
      </c>
      <c r="J49" s="32" t="s">
        <v>776</v>
      </c>
      <c r="K49" s="8">
        <v>2551</v>
      </c>
      <c r="L49" s="8" t="s">
        <v>777</v>
      </c>
      <c r="M49" s="8">
        <v>1400</v>
      </c>
      <c r="N49" s="8" t="s">
        <v>778</v>
      </c>
      <c r="O49" s="8">
        <v>786</v>
      </c>
      <c r="P49" s="8" t="s">
        <v>779</v>
      </c>
      <c r="Q49" s="8">
        <v>539</v>
      </c>
      <c r="R49" s="8" t="s">
        <v>780</v>
      </c>
      <c r="S49" s="8">
        <v>267</v>
      </c>
      <c r="T49" s="8" t="s">
        <v>781</v>
      </c>
      <c r="U49" s="8">
        <v>137</v>
      </c>
      <c r="V49" s="8"/>
      <c r="W49" s="8"/>
      <c r="X49" s="8"/>
      <c r="Y49" s="8"/>
      <c r="Z49" s="8"/>
      <c r="AA49" s="8"/>
      <c r="AB49" s="8"/>
      <c r="AC49" s="8"/>
      <c r="AD49" s="8"/>
      <c r="AE49" s="8"/>
      <c r="AF49" s="8"/>
      <c r="AG49" s="8"/>
      <c r="AH49" s="8"/>
      <c r="AI49" s="8"/>
      <c r="AJ49" s="8"/>
      <c r="AK49" s="8"/>
      <c r="AL49" s="8"/>
      <c r="AM49" s="8"/>
      <c r="AN49" s="8"/>
      <c r="AO49" s="8"/>
      <c r="AP49" s="8"/>
      <c r="AQ49" s="8"/>
    </row>
    <row r="50" spans="1:43" ht="23.25" customHeight="1" x14ac:dyDescent="0.3">
      <c r="A50" s="8" t="s">
        <v>782</v>
      </c>
      <c r="B50" s="8"/>
      <c r="C50" s="8"/>
      <c r="D50" s="10"/>
      <c r="E50" s="10"/>
      <c r="F50" s="10" t="str">
        <f t="shared" si="0"/>
        <v>gift-codes.html?game=萬妖領域</v>
      </c>
      <c r="G50" s="10"/>
      <c r="H50" s="10" t="str">
        <f t="shared" si="1"/>
        <v>https://www.ssbuy.tw/game-detail.html?game=萬妖領域</v>
      </c>
      <c r="I50" s="27" t="s">
        <v>783</v>
      </c>
      <c r="J50" s="32" t="s">
        <v>784</v>
      </c>
      <c r="K50" s="8">
        <v>2580</v>
      </c>
      <c r="L50" s="8" t="s">
        <v>785</v>
      </c>
      <c r="M50" s="8">
        <v>1370</v>
      </c>
      <c r="N50" s="8" t="s">
        <v>786</v>
      </c>
      <c r="O50" s="8">
        <v>786</v>
      </c>
      <c r="P50" s="8" t="s">
        <v>787</v>
      </c>
      <c r="Q50" s="8">
        <v>539</v>
      </c>
      <c r="R50" s="8" t="s">
        <v>788</v>
      </c>
      <c r="S50" s="8">
        <v>267</v>
      </c>
      <c r="T50" s="8" t="s">
        <v>789</v>
      </c>
      <c r="U50" s="8">
        <v>137</v>
      </c>
      <c r="V50" s="8"/>
      <c r="W50" s="8"/>
      <c r="X50" s="8"/>
      <c r="Y50" s="8"/>
      <c r="Z50" s="8"/>
      <c r="AA50" s="8"/>
      <c r="AB50" s="8"/>
      <c r="AC50" s="8"/>
      <c r="AD50" s="8"/>
      <c r="AE50" s="8"/>
      <c r="AF50" s="8"/>
      <c r="AG50" s="8"/>
      <c r="AH50" s="8"/>
      <c r="AI50" s="8"/>
      <c r="AJ50" s="8"/>
      <c r="AK50" s="8"/>
      <c r="AL50" s="8"/>
      <c r="AM50" s="8"/>
      <c r="AN50" s="8"/>
      <c r="AO50" s="8"/>
      <c r="AP50" s="8"/>
      <c r="AQ50" s="8"/>
    </row>
    <row r="51" spans="1:43" ht="23.25" customHeight="1" x14ac:dyDescent="0.3">
      <c r="A51" s="8" t="s">
        <v>790</v>
      </c>
      <c r="B51" s="8"/>
      <c r="C51" s="8"/>
      <c r="D51" s="10"/>
      <c r="E51" s="10"/>
      <c r="F51" s="10" t="str">
        <f t="shared" si="0"/>
        <v>gift-codes.html?game=一姬當千TD</v>
      </c>
      <c r="G51" s="10"/>
      <c r="H51" s="10" t="str">
        <f t="shared" si="1"/>
        <v>https://www.ssbuy.tw/game-detail.html?game=一姬當千TD</v>
      </c>
      <c r="I51" s="27" t="s">
        <v>791</v>
      </c>
      <c r="J51" s="32" t="s">
        <v>792</v>
      </c>
      <c r="K51" s="8">
        <v>2580</v>
      </c>
      <c r="L51" s="8" t="s">
        <v>793</v>
      </c>
      <c r="M51" s="8">
        <v>1323</v>
      </c>
      <c r="N51" s="8" t="s">
        <v>794</v>
      </c>
      <c r="O51" s="8">
        <v>540</v>
      </c>
      <c r="P51" s="8" t="s">
        <v>795</v>
      </c>
      <c r="Q51" s="8">
        <v>137</v>
      </c>
      <c r="R51" s="8" t="s">
        <v>796</v>
      </c>
      <c r="S51" s="8">
        <v>30</v>
      </c>
      <c r="T51" s="8"/>
      <c r="U51" s="8"/>
      <c r="V51" s="8"/>
      <c r="W51" s="8"/>
      <c r="X51" s="8"/>
      <c r="Y51" s="8"/>
      <c r="Z51" s="8"/>
      <c r="AA51" s="8"/>
      <c r="AB51" s="8"/>
      <c r="AC51" s="8"/>
      <c r="AD51" s="8"/>
      <c r="AE51" s="8"/>
      <c r="AF51" s="8"/>
      <c r="AG51" s="8"/>
      <c r="AH51" s="8"/>
      <c r="AI51" s="8"/>
      <c r="AJ51" s="8"/>
      <c r="AK51" s="8"/>
      <c r="AL51" s="8"/>
      <c r="AM51" s="8"/>
      <c r="AN51" s="8"/>
      <c r="AO51" s="8"/>
      <c r="AP51" s="8"/>
      <c r="AQ51" s="8"/>
    </row>
    <row r="52" spans="1:43" ht="23.25" customHeight="1" x14ac:dyDescent="0.3">
      <c r="A52" s="8" t="s">
        <v>797</v>
      </c>
      <c r="B52" s="8"/>
      <c r="C52" s="8"/>
      <c r="D52" s="10"/>
      <c r="E52" s="10"/>
      <c r="F52" s="10" t="str">
        <f t="shared" si="0"/>
        <v>gift-codes.html?game=劍客行</v>
      </c>
      <c r="G52" s="10"/>
      <c r="H52" s="10" t="str">
        <f t="shared" si="1"/>
        <v>https://www.ssbuy.tw/game-detail.html?game=劍客行</v>
      </c>
      <c r="I52" s="27" t="s">
        <v>798</v>
      </c>
      <c r="J52" s="32" t="s">
        <v>799</v>
      </c>
      <c r="K52" s="8">
        <v>2580</v>
      </c>
      <c r="L52" s="8" t="s">
        <v>800</v>
      </c>
      <c r="M52" s="8">
        <v>1323</v>
      </c>
      <c r="N52" s="8" t="s">
        <v>801</v>
      </c>
      <c r="O52" s="8">
        <v>786</v>
      </c>
      <c r="P52" s="8" t="s">
        <v>802</v>
      </c>
      <c r="Q52" s="8">
        <v>394</v>
      </c>
      <c r="R52" s="8" t="s">
        <v>803</v>
      </c>
      <c r="S52" s="8">
        <v>267</v>
      </c>
      <c r="T52" s="8" t="s">
        <v>804</v>
      </c>
      <c r="U52" s="8">
        <v>137</v>
      </c>
      <c r="V52" s="8" t="s">
        <v>805</v>
      </c>
      <c r="W52" s="8">
        <v>30</v>
      </c>
      <c r="X52" s="8"/>
      <c r="Y52" s="8"/>
      <c r="Z52" s="8"/>
      <c r="AA52" s="8"/>
      <c r="AB52" s="8"/>
      <c r="AC52" s="8"/>
      <c r="AD52" s="8"/>
      <c r="AE52" s="8"/>
      <c r="AF52" s="8"/>
      <c r="AG52" s="8"/>
      <c r="AH52" s="8"/>
      <c r="AI52" s="8"/>
      <c r="AJ52" s="8"/>
      <c r="AK52" s="8"/>
      <c r="AL52" s="8"/>
      <c r="AM52" s="8"/>
      <c r="AN52" s="8"/>
      <c r="AO52" s="8"/>
      <c r="AP52" s="8"/>
      <c r="AQ52" s="8"/>
    </row>
    <row r="53" spans="1:43" ht="23.25" customHeight="1" x14ac:dyDescent="0.3">
      <c r="A53" s="8" t="s">
        <v>806</v>
      </c>
      <c r="B53" s="8"/>
      <c r="C53" s="8"/>
      <c r="D53" s="10"/>
      <c r="E53" s="10"/>
      <c r="F53" s="10" t="str">
        <f t="shared" si="0"/>
        <v>gift-codes.html?game=時之樹少女</v>
      </c>
      <c r="G53" s="10"/>
      <c r="H53" s="10" t="str">
        <f t="shared" si="1"/>
        <v>https://www.ssbuy.tw/game-detail.html?game=時之樹少女</v>
      </c>
      <c r="I53" s="27" t="s">
        <v>807</v>
      </c>
      <c r="J53" s="32" t="s">
        <v>808</v>
      </c>
      <c r="K53" s="8">
        <v>2551</v>
      </c>
      <c r="L53" s="8" t="s">
        <v>809</v>
      </c>
      <c r="M53" s="8">
        <v>1323</v>
      </c>
      <c r="N53" s="8" t="s">
        <v>810</v>
      </c>
      <c r="O53" s="8">
        <v>786</v>
      </c>
      <c r="P53" s="8" t="s">
        <v>811</v>
      </c>
      <c r="Q53" s="8">
        <v>267</v>
      </c>
      <c r="R53" s="8" t="s">
        <v>812</v>
      </c>
      <c r="S53" s="8">
        <v>137</v>
      </c>
      <c r="T53" s="8" t="s">
        <v>813</v>
      </c>
      <c r="U53" s="8">
        <v>30</v>
      </c>
      <c r="V53" s="8"/>
      <c r="W53" s="8"/>
      <c r="X53" s="8"/>
      <c r="Y53" s="8"/>
      <c r="Z53" s="8"/>
      <c r="AA53" s="8"/>
      <c r="AB53" s="8"/>
      <c r="AC53" s="8"/>
      <c r="AD53" s="8"/>
      <c r="AE53" s="8"/>
      <c r="AF53" s="8"/>
      <c r="AG53" s="8"/>
      <c r="AH53" s="8"/>
      <c r="AI53" s="8"/>
      <c r="AJ53" s="8"/>
      <c r="AK53" s="8"/>
      <c r="AL53" s="8"/>
      <c r="AM53" s="8"/>
      <c r="AN53" s="8"/>
      <c r="AO53" s="8"/>
      <c r="AP53" s="8"/>
      <c r="AQ53" s="8"/>
    </row>
    <row r="54" spans="1:43" ht="23.25" customHeight="1" x14ac:dyDescent="0.3">
      <c r="A54" s="8" t="s">
        <v>814</v>
      </c>
      <c r="B54" s="8"/>
      <c r="C54" s="8"/>
      <c r="D54" s="10"/>
      <c r="E54" s="10"/>
      <c r="F54" s="10" t="str">
        <f t="shared" si="0"/>
        <v>gift-codes.html?game=錨點降臨Re：Code</v>
      </c>
      <c r="G54" s="10"/>
      <c r="H54" s="10" t="str">
        <f t="shared" si="1"/>
        <v>https://www.ssbuy.tw/game-detail.html?game=錨點降臨Re：Code</v>
      </c>
      <c r="I54" s="27" t="s">
        <v>815</v>
      </c>
      <c r="J54" s="32" t="s">
        <v>816</v>
      </c>
      <c r="K54" s="8">
        <v>2380</v>
      </c>
      <c r="L54" s="8" t="s">
        <v>817</v>
      </c>
      <c r="M54" s="8">
        <v>1230</v>
      </c>
      <c r="N54" s="8" t="s">
        <v>818</v>
      </c>
      <c r="O54" s="8">
        <v>786</v>
      </c>
      <c r="P54" s="8" t="s">
        <v>819</v>
      </c>
      <c r="Q54" s="8">
        <v>394</v>
      </c>
      <c r="R54" s="8" t="s">
        <v>820</v>
      </c>
      <c r="S54" s="8">
        <v>130</v>
      </c>
      <c r="T54" s="8" t="s">
        <v>821</v>
      </c>
      <c r="U54" s="8">
        <v>40</v>
      </c>
      <c r="V54" s="8"/>
      <c r="W54" s="8"/>
      <c r="X54" s="8"/>
      <c r="Y54" s="8"/>
      <c r="Z54" s="8"/>
      <c r="AA54" s="8"/>
      <c r="AB54" s="8"/>
      <c r="AC54" s="8"/>
      <c r="AD54" s="8"/>
      <c r="AE54" s="8"/>
      <c r="AF54" s="8"/>
      <c r="AG54" s="8"/>
      <c r="AH54" s="8"/>
      <c r="AI54" s="8"/>
      <c r="AJ54" s="8"/>
      <c r="AK54" s="8"/>
      <c r="AL54" s="8"/>
      <c r="AM54" s="8"/>
      <c r="AN54" s="8"/>
      <c r="AO54" s="8"/>
      <c r="AP54" s="8"/>
      <c r="AQ54" s="8"/>
    </row>
    <row r="55" spans="1:43" ht="23.25" customHeight="1" x14ac:dyDescent="0.3">
      <c r="A55" s="8" t="s">
        <v>822</v>
      </c>
      <c r="B55" s="8"/>
      <c r="C55" s="8"/>
      <c r="D55" s="10"/>
      <c r="E55" s="10"/>
      <c r="F55" s="10" t="str">
        <f t="shared" si="0"/>
        <v>gift-codes.html?game=神契氣靈師</v>
      </c>
      <c r="G55" s="10"/>
      <c r="H55" s="10" t="str">
        <f t="shared" si="1"/>
        <v>https://www.ssbuy.tw/game-detail.html?game=神契氣靈師</v>
      </c>
      <c r="I55" s="27" t="s">
        <v>823</v>
      </c>
      <c r="J55" s="32" t="s">
        <v>824</v>
      </c>
      <c r="K55" s="8">
        <v>2551</v>
      </c>
      <c r="L55" s="8" t="s">
        <v>825</v>
      </c>
      <c r="M55" s="8">
        <v>1323</v>
      </c>
      <c r="N55" s="8" t="s">
        <v>826</v>
      </c>
      <c r="O55" s="8">
        <v>990</v>
      </c>
      <c r="P55" s="8" t="s">
        <v>827</v>
      </c>
      <c r="Q55" s="8">
        <v>394</v>
      </c>
      <c r="R55" s="8" t="s">
        <v>804</v>
      </c>
      <c r="S55" s="8">
        <v>137</v>
      </c>
      <c r="T55" s="8" t="s">
        <v>828</v>
      </c>
      <c r="U55" s="8">
        <v>100</v>
      </c>
      <c r="V55" s="8" t="s">
        <v>829</v>
      </c>
      <c r="W55" s="8">
        <v>40</v>
      </c>
      <c r="X55" s="8"/>
      <c r="Y55" s="8"/>
      <c r="Z55" s="8"/>
      <c r="AA55" s="8"/>
      <c r="AB55" s="8"/>
      <c r="AC55" s="8"/>
      <c r="AD55" s="8"/>
      <c r="AE55" s="8"/>
      <c r="AF55" s="8"/>
      <c r="AG55" s="8"/>
      <c r="AH55" s="8"/>
      <c r="AI55" s="8"/>
      <c r="AJ55" s="8"/>
      <c r="AK55" s="8"/>
      <c r="AL55" s="8"/>
      <c r="AM55" s="8"/>
      <c r="AN55" s="8"/>
      <c r="AO55" s="8"/>
      <c r="AP55" s="8"/>
      <c r="AQ55" s="8"/>
    </row>
    <row r="56" spans="1:43" ht="23.25" customHeight="1" x14ac:dyDescent="0.3">
      <c r="A56" s="8" t="s">
        <v>830</v>
      </c>
      <c r="B56" s="8"/>
      <c r="C56" s="8"/>
      <c r="D56" s="10"/>
      <c r="E56" s="10"/>
      <c r="F56" s="10" t="str">
        <f t="shared" si="0"/>
        <v>gift-codes.html?game=不休旅途：繪卷世界</v>
      </c>
      <c r="G56" s="10"/>
      <c r="H56" s="10" t="str">
        <f t="shared" si="1"/>
        <v>https://www.ssbuy.tw/game-detail.html?game=不休旅途：繪卷世界</v>
      </c>
      <c r="I56" s="27" t="s">
        <v>831</v>
      </c>
      <c r="J56" s="32" t="s">
        <v>832</v>
      </c>
      <c r="K56" s="8">
        <v>2551</v>
      </c>
      <c r="L56" s="8" t="s">
        <v>833</v>
      </c>
      <c r="M56" s="8">
        <v>1323</v>
      </c>
      <c r="N56" s="8" t="s">
        <v>834</v>
      </c>
      <c r="O56" s="8">
        <v>539</v>
      </c>
      <c r="P56" s="8" t="s">
        <v>835</v>
      </c>
      <c r="Q56" s="8">
        <v>267</v>
      </c>
      <c r="R56" s="8" t="s">
        <v>836</v>
      </c>
      <c r="S56" s="8">
        <v>137</v>
      </c>
      <c r="T56" s="8" t="s">
        <v>837</v>
      </c>
      <c r="U56" s="8">
        <v>40</v>
      </c>
      <c r="V56" s="8"/>
      <c r="W56" s="8"/>
      <c r="X56" s="8"/>
      <c r="Y56" s="8"/>
      <c r="Z56" s="8"/>
      <c r="AA56" s="8"/>
      <c r="AB56" s="8"/>
      <c r="AC56" s="8"/>
      <c r="AD56" s="8"/>
      <c r="AE56" s="8"/>
      <c r="AF56" s="8"/>
      <c r="AG56" s="8"/>
      <c r="AH56" s="8"/>
      <c r="AI56" s="8"/>
      <c r="AJ56" s="8"/>
      <c r="AK56" s="8"/>
      <c r="AL56" s="8"/>
      <c r="AM56" s="8"/>
      <c r="AN56" s="8"/>
      <c r="AO56" s="8"/>
      <c r="AP56" s="8"/>
      <c r="AQ56" s="8"/>
    </row>
    <row r="57" spans="1:43" ht="23.25" customHeight="1" x14ac:dyDescent="0.3">
      <c r="A57" s="8" t="s">
        <v>838</v>
      </c>
      <c r="B57" s="8"/>
      <c r="C57" s="8"/>
      <c r="D57" s="10"/>
      <c r="E57" s="10"/>
      <c r="F57" s="10" t="str">
        <f t="shared" si="0"/>
        <v>gift-codes.html?game=別破防鴨</v>
      </c>
      <c r="G57" s="10"/>
      <c r="H57" s="10" t="str">
        <f t="shared" si="1"/>
        <v>https://www.ssbuy.tw/game-detail.html?game=別破防鴨</v>
      </c>
      <c r="I57" s="27" t="s">
        <v>839</v>
      </c>
      <c r="J57" s="32" t="s">
        <v>840</v>
      </c>
      <c r="K57" s="8">
        <v>2551</v>
      </c>
      <c r="L57" s="8" t="s">
        <v>841</v>
      </c>
      <c r="M57" s="8">
        <v>1323</v>
      </c>
      <c r="N57" s="8" t="s">
        <v>842</v>
      </c>
      <c r="O57" s="8">
        <v>539</v>
      </c>
      <c r="P57" s="8" t="s">
        <v>843</v>
      </c>
      <c r="Q57" s="8">
        <v>267</v>
      </c>
      <c r="R57" s="8" t="s">
        <v>844</v>
      </c>
      <c r="S57" s="8">
        <v>137</v>
      </c>
      <c r="T57" s="8" t="s">
        <v>845</v>
      </c>
      <c r="U57" s="8">
        <v>40</v>
      </c>
      <c r="V57" s="8"/>
      <c r="W57" s="8"/>
      <c r="X57" s="8"/>
      <c r="Y57" s="8"/>
      <c r="Z57" s="8"/>
      <c r="AA57" s="8"/>
      <c r="AB57" s="8"/>
      <c r="AC57" s="8"/>
      <c r="AD57" s="8"/>
      <c r="AE57" s="8"/>
      <c r="AF57" s="8"/>
      <c r="AG57" s="8"/>
      <c r="AH57" s="8"/>
      <c r="AI57" s="8"/>
      <c r="AJ57" s="8"/>
      <c r="AK57" s="8"/>
      <c r="AL57" s="8"/>
      <c r="AM57" s="8"/>
      <c r="AN57" s="8"/>
      <c r="AO57" s="8"/>
      <c r="AP57" s="8"/>
      <c r="AQ57" s="8"/>
    </row>
    <row r="58" spans="1:43" ht="23.25" customHeight="1" x14ac:dyDescent="0.3">
      <c r="A58" s="8" t="s">
        <v>846</v>
      </c>
      <c r="B58" s="8"/>
      <c r="C58" s="8"/>
      <c r="D58" s="10"/>
      <c r="E58" s="10"/>
      <c r="F58" s="10" t="str">
        <f t="shared" si="0"/>
        <v>gift-codes.html?game=超派救星幫幫忙</v>
      </c>
      <c r="G58" s="10"/>
      <c r="H58" s="10" t="str">
        <f t="shared" si="1"/>
        <v>https://www.ssbuy.tw/game-detail.html?game=超派救星幫幫忙</v>
      </c>
      <c r="I58" s="27" t="s">
        <v>847</v>
      </c>
      <c r="J58" s="32" t="s">
        <v>848</v>
      </c>
      <c r="K58" s="8">
        <v>2551</v>
      </c>
      <c r="L58" s="8" t="s">
        <v>849</v>
      </c>
      <c r="M58" s="8">
        <v>1323</v>
      </c>
      <c r="N58" s="8" t="s">
        <v>850</v>
      </c>
      <c r="O58" s="8">
        <v>786</v>
      </c>
      <c r="P58" s="8" t="s">
        <v>851</v>
      </c>
      <c r="Q58" s="8">
        <v>610</v>
      </c>
      <c r="R58" s="8" t="s">
        <v>852</v>
      </c>
      <c r="S58" s="8">
        <v>267</v>
      </c>
      <c r="T58" s="8" t="s">
        <v>853</v>
      </c>
      <c r="U58" s="8">
        <v>137</v>
      </c>
      <c r="V58" s="8" t="s">
        <v>854</v>
      </c>
      <c r="W58" s="8">
        <v>90</v>
      </c>
      <c r="X58" s="8" t="s">
        <v>855</v>
      </c>
      <c r="Y58" s="8">
        <v>70</v>
      </c>
      <c r="Z58" s="8" t="s">
        <v>856</v>
      </c>
      <c r="AA58" s="8">
        <v>40</v>
      </c>
      <c r="AB58" s="8"/>
      <c r="AC58" s="8"/>
      <c r="AD58" s="8"/>
      <c r="AE58" s="8"/>
      <c r="AF58" s="8"/>
      <c r="AG58" s="8"/>
      <c r="AH58" s="8"/>
      <c r="AI58" s="8"/>
      <c r="AJ58" s="8"/>
      <c r="AK58" s="8"/>
      <c r="AL58" s="8"/>
      <c r="AM58" s="8"/>
      <c r="AN58" s="8"/>
      <c r="AO58" s="8"/>
      <c r="AP58" s="8"/>
      <c r="AQ58" s="8"/>
    </row>
    <row r="59" spans="1:43" ht="23.25" customHeight="1" x14ac:dyDescent="0.3">
      <c r="A59" s="8" t="s">
        <v>857</v>
      </c>
      <c r="B59" s="8"/>
      <c r="C59" s="8"/>
      <c r="D59" s="10"/>
      <c r="E59" s="10"/>
      <c r="F59" s="10" t="str">
        <f t="shared" si="0"/>
        <v>gift-codes.html?game=時光大爆炸</v>
      </c>
      <c r="G59" s="10"/>
      <c r="H59" s="10" t="str">
        <f t="shared" si="1"/>
        <v>https://www.ssbuy.tw/game-detail.html?game=時光大爆炸</v>
      </c>
      <c r="I59" s="27" t="s">
        <v>858</v>
      </c>
      <c r="J59" s="32" t="s">
        <v>859</v>
      </c>
      <c r="K59" s="8">
        <v>2551</v>
      </c>
      <c r="L59" s="8" t="s">
        <v>860</v>
      </c>
      <c r="M59" s="8">
        <v>1323</v>
      </c>
      <c r="N59" s="8" t="s">
        <v>861</v>
      </c>
      <c r="O59" s="8">
        <v>786</v>
      </c>
      <c r="P59" s="8" t="s">
        <v>862</v>
      </c>
      <c r="Q59" s="8">
        <v>394</v>
      </c>
      <c r="R59" s="8" t="s">
        <v>863</v>
      </c>
      <c r="S59" s="8">
        <v>267</v>
      </c>
      <c r="T59" s="8" t="s">
        <v>864</v>
      </c>
      <c r="U59" s="8">
        <v>137</v>
      </c>
      <c r="V59" s="8" t="s">
        <v>865</v>
      </c>
      <c r="W59" s="8">
        <v>35</v>
      </c>
      <c r="X59" s="8"/>
      <c r="Y59" s="8"/>
      <c r="Z59" s="8"/>
      <c r="AA59" s="8"/>
      <c r="AB59" s="8"/>
      <c r="AC59" s="8"/>
      <c r="AD59" s="8"/>
      <c r="AE59" s="8"/>
      <c r="AF59" s="8"/>
      <c r="AG59" s="8"/>
      <c r="AH59" s="8"/>
      <c r="AI59" s="8"/>
      <c r="AJ59" s="8"/>
      <c r="AK59" s="8"/>
      <c r="AL59" s="8"/>
      <c r="AM59" s="8"/>
      <c r="AN59" s="8"/>
      <c r="AO59" s="8"/>
      <c r="AP59" s="8"/>
      <c r="AQ59" s="8"/>
    </row>
    <row r="60" spans="1:43" ht="23.25" customHeight="1" x14ac:dyDescent="0.3">
      <c r="A60" s="8" t="s">
        <v>866</v>
      </c>
      <c r="B60" s="8"/>
      <c r="C60" s="8"/>
      <c r="D60" s="10"/>
      <c r="E60" s="10"/>
      <c r="F60" s="10" t="str">
        <f t="shared" si="0"/>
        <v>gift-codes.html?game=深淵：不滅者</v>
      </c>
      <c r="G60" s="10"/>
      <c r="H60" s="10" t="str">
        <f t="shared" si="1"/>
        <v>https://www.ssbuy.tw/game-detail.html?game=深淵：不滅者</v>
      </c>
      <c r="I60" s="27" t="s">
        <v>867</v>
      </c>
      <c r="J60" s="32" t="s">
        <v>868</v>
      </c>
      <c r="K60" s="8">
        <v>2551</v>
      </c>
      <c r="L60" s="8" t="s">
        <v>869</v>
      </c>
      <c r="M60" s="8">
        <v>1323</v>
      </c>
      <c r="N60" s="8" t="s">
        <v>870</v>
      </c>
      <c r="O60" s="8">
        <v>786</v>
      </c>
      <c r="P60" s="8" t="s">
        <v>871</v>
      </c>
      <c r="Q60" s="8">
        <v>539</v>
      </c>
      <c r="R60" s="8" t="s">
        <v>872</v>
      </c>
      <c r="S60" s="8">
        <v>394</v>
      </c>
      <c r="T60" s="8" t="s">
        <v>873</v>
      </c>
      <c r="U60" s="8">
        <v>267</v>
      </c>
      <c r="V60" s="8" t="s">
        <v>874</v>
      </c>
      <c r="W60" s="8">
        <v>137</v>
      </c>
      <c r="X60" s="8" t="s">
        <v>875</v>
      </c>
      <c r="Y60" s="8">
        <v>40</v>
      </c>
      <c r="Z60" s="8"/>
      <c r="AA60" s="8"/>
      <c r="AB60" s="8"/>
      <c r="AC60" s="8"/>
      <c r="AD60" s="8"/>
      <c r="AE60" s="8"/>
      <c r="AF60" s="8"/>
      <c r="AG60" s="8"/>
      <c r="AH60" s="8"/>
      <c r="AI60" s="8"/>
      <c r="AJ60" s="8"/>
      <c r="AK60" s="8"/>
      <c r="AL60" s="8"/>
      <c r="AM60" s="8"/>
      <c r="AN60" s="8"/>
      <c r="AO60" s="8"/>
      <c r="AP60" s="8"/>
      <c r="AQ60" s="8"/>
    </row>
    <row r="61" spans="1:43" ht="23.25" customHeight="1" x14ac:dyDescent="0.3">
      <c r="A61" s="8" t="s">
        <v>2</v>
      </c>
      <c r="B61" s="8"/>
      <c r="C61" s="8"/>
      <c r="D61" s="10"/>
      <c r="E61" s="10"/>
      <c r="F61" s="10" t="str">
        <f t="shared" si="0"/>
        <v>gift-codes.html?game=Last War</v>
      </c>
      <c r="G61" s="10"/>
      <c r="H61" s="10" t="str">
        <f t="shared" si="1"/>
        <v>https://www.ssbuy.tw/game-detail.html?game=Last War</v>
      </c>
      <c r="I61" s="27" t="s">
        <v>876</v>
      </c>
      <c r="J61" s="32" t="s">
        <v>877</v>
      </c>
      <c r="K61" s="8">
        <v>2551</v>
      </c>
      <c r="L61" s="8" t="s">
        <v>878</v>
      </c>
      <c r="M61" s="8">
        <v>1320</v>
      </c>
      <c r="N61" s="8" t="s">
        <v>879</v>
      </c>
      <c r="O61" s="8">
        <v>530</v>
      </c>
      <c r="P61" s="8" t="s">
        <v>880</v>
      </c>
      <c r="Q61" s="8">
        <v>265</v>
      </c>
      <c r="R61" s="8" t="s">
        <v>881</v>
      </c>
      <c r="S61" s="8">
        <v>137</v>
      </c>
      <c r="T61" s="8" t="s">
        <v>882</v>
      </c>
      <c r="U61" s="8">
        <v>30</v>
      </c>
      <c r="V61" s="8"/>
      <c r="W61" s="8"/>
      <c r="X61" s="8"/>
      <c r="Y61" s="8"/>
      <c r="Z61" s="8"/>
      <c r="AA61" s="8"/>
      <c r="AB61" s="8"/>
      <c r="AC61" s="8"/>
      <c r="AD61" s="8"/>
      <c r="AE61" s="8"/>
      <c r="AF61" s="8"/>
      <c r="AG61" s="8"/>
      <c r="AH61" s="8"/>
      <c r="AI61" s="8"/>
      <c r="AJ61" s="8"/>
      <c r="AK61" s="8"/>
      <c r="AL61" s="8"/>
      <c r="AM61" s="8"/>
      <c r="AN61" s="8"/>
      <c r="AO61" s="8"/>
      <c r="AP61" s="8"/>
      <c r="AQ61" s="8"/>
    </row>
    <row r="62" spans="1:43" ht="23.25" customHeight="1" x14ac:dyDescent="0.3">
      <c r="A62" s="8" t="s">
        <v>883</v>
      </c>
      <c r="B62" s="8"/>
      <c r="C62" s="8"/>
      <c r="D62" s="10"/>
      <c r="E62" s="10"/>
      <c r="F62" s="10" t="str">
        <f t="shared" si="0"/>
        <v>gift-codes.html?game=勇士不要停</v>
      </c>
      <c r="G62" s="10"/>
      <c r="H62" s="10" t="str">
        <f t="shared" si="1"/>
        <v>https://www.ssbuy.tw/game-detail.html?game=勇士不要停</v>
      </c>
      <c r="I62" s="27" t="s">
        <v>884</v>
      </c>
      <c r="J62" s="32" t="s">
        <v>885</v>
      </c>
      <c r="K62" s="8">
        <v>2551</v>
      </c>
      <c r="L62" s="8" t="s">
        <v>886</v>
      </c>
      <c r="M62" s="8">
        <v>1323</v>
      </c>
      <c r="N62" s="8" t="s">
        <v>887</v>
      </c>
      <c r="O62" s="8">
        <v>539</v>
      </c>
      <c r="P62" s="8" t="s">
        <v>888</v>
      </c>
      <c r="Q62" s="8">
        <v>267</v>
      </c>
      <c r="R62" s="8" t="s">
        <v>889</v>
      </c>
      <c r="S62" s="8">
        <v>137</v>
      </c>
      <c r="T62" s="8" t="s">
        <v>734</v>
      </c>
      <c r="U62" s="8">
        <v>35</v>
      </c>
      <c r="V62" s="8"/>
      <c r="W62" s="8"/>
      <c r="X62" s="8"/>
      <c r="Y62" s="8"/>
      <c r="Z62" s="8"/>
      <c r="AA62" s="8"/>
      <c r="AB62" s="8"/>
      <c r="AC62" s="8"/>
      <c r="AD62" s="8"/>
      <c r="AE62" s="8"/>
      <c r="AF62" s="8"/>
      <c r="AG62" s="8"/>
      <c r="AH62" s="8"/>
      <c r="AI62" s="8"/>
      <c r="AJ62" s="8"/>
      <c r="AK62" s="8"/>
      <c r="AL62" s="8"/>
      <c r="AM62" s="8"/>
      <c r="AN62" s="8"/>
      <c r="AO62" s="8"/>
      <c r="AP62" s="8"/>
      <c r="AQ62" s="8"/>
    </row>
    <row r="63" spans="1:43" ht="23.25" customHeight="1" x14ac:dyDescent="0.3">
      <c r="A63" s="8" t="s">
        <v>890</v>
      </c>
      <c r="B63" s="8"/>
      <c r="C63" s="8"/>
      <c r="D63" s="10"/>
      <c r="E63" s="10"/>
      <c r="F63" s="10" t="str">
        <f t="shared" si="0"/>
        <v>gift-codes.html?game=元氣火柴人</v>
      </c>
      <c r="G63" s="10"/>
      <c r="H63" s="10" t="str">
        <f t="shared" si="1"/>
        <v>https://www.ssbuy.tw/game-detail.html?game=元氣火柴人</v>
      </c>
      <c r="I63" s="27" t="s">
        <v>891</v>
      </c>
      <c r="J63" s="32" t="s">
        <v>892</v>
      </c>
      <c r="K63" s="8">
        <v>2551</v>
      </c>
      <c r="L63" s="8" t="s">
        <v>893</v>
      </c>
      <c r="M63" s="8">
        <v>1323</v>
      </c>
      <c r="N63" s="8" t="s">
        <v>894</v>
      </c>
      <c r="O63" s="8">
        <v>786</v>
      </c>
      <c r="P63" s="8" t="s">
        <v>895</v>
      </c>
      <c r="Q63" s="8">
        <v>630</v>
      </c>
      <c r="R63" s="8" t="s">
        <v>896</v>
      </c>
      <c r="S63" s="8">
        <v>267</v>
      </c>
      <c r="T63" s="8" t="s">
        <v>897</v>
      </c>
      <c r="U63" s="8">
        <v>137</v>
      </c>
      <c r="V63" s="8" t="s">
        <v>898</v>
      </c>
      <c r="W63" s="8">
        <v>30</v>
      </c>
      <c r="X63" s="8"/>
      <c r="Y63" s="8"/>
      <c r="Z63" s="8"/>
      <c r="AA63" s="8"/>
      <c r="AB63" s="8"/>
      <c r="AC63" s="8"/>
      <c r="AD63" s="8"/>
      <c r="AE63" s="8"/>
      <c r="AF63" s="8"/>
      <c r="AG63" s="8"/>
      <c r="AH63" s="8"/>
      <c r="AI63" s="8"/>
      <c r="AJ63" s="8"/>
      <c r="AK63" s="8"/>
      <c r="AL63" s="8"/>
      <c r="AM63" s="8"/>
      <c r="AN63" s="8"/>
      <c r="AO63" s="8"/>
      <c r="AP63" s="8"/>
      <c r="AQ63" s="8"/>
    </row>
    <row r="64" spans="1:43" ht="23.25" customHeight="1" x14ac:dyDescent="0.3">
      <c r="A64" s="8" t="s">
        <v>899</v>
      </c>
      <c r="B64" s="8"/>
      <c r="C64" s="8"/>
      <c r="D64" s="10"/>
      <c r="E64" s="10"/>
      <c r="F64" s="10" t="str">
        <f t="shared" si="0"/>
        <v>gift-codes.html?game=深淵之影</v>
      </c>
      <c r="G64" s="10"/>
      <c r="H64" s="10" t="str">
        <f t="shared" si="1"/>
        <v>https://www.ssbuy.tw/game-detail.html?game=深淵之影</v>
      </c>
      <c r="I64" s="27" t="s">
        <v>900</v>
      </c>
      <c r="J64" s="32" t="s">
        <v>901</v>
      </c>
      <c r="K64" s="8">
        <v>170</v>
      </c>
      <c r="L64" s="8" t="s">
        <v>902</v>
      </c>
      <c r="M64" s="8">
        <v>80</v>
      </c>
      <c r="N64" s="8" t="s">
        <v>903</v>
      </c>
      <c r="O64" s="8">
        <v>30</v>
      </c>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row>
    <row r="65" spans="1:43" ht="23.25" customHeight="1" x14ac:dyDescent="0.3">
      <c r="A65" s="8" t="s">
        <v>904</v>
      </c>
      <c r="B65" s="8"/>
      <c r="C65" s="8"/>
      <c r="D65" s="10"/>
      <c r="E65" s="10"/>
      <c r="F65" s="10" t="str">
        <f t="shared" si="0"/>
        <v>gift-codes.html?game=玩星派對</v>
      </c>
      <c r="G65" s="10"/>
      <c r="H65" s="10" t="str">
        <f t="shared" si="1"/>
        <v>https://www.ssbuy.tw/game-detail.html?game=玩星派對</v>
      </c>
      <c r="I65" s="27" t="s">
        <v>905</v>
      </c>
      <c r="J65" s="32" t="s">
        <v>906</v>
      </c>
      <c r="K65" s="8">
        <v>12670</v>
      </c>
      <c r="L65" s="8" t="s">
        <v>907</v>
      </c>
      <c r="M65" s="8">
        <v>1323</v>
      </c>
      <c r="N65" s="8" t="s">
        <v>908</v>
      </c>
      <c r="O65" s="8">
        <v>786</v>
      </c>
      <c r="P65" s="8" t="s">
        <v>909</v>
      </c>
      <c r="Q65" s="8">
        <v>394</v>
      </c>
      <c r="R65" s="8" t="s">
        <v>910</v>
      </c>
      <c r="S65" s="8">
        <v>137</v>
      </c>
      <c r="T65" s="8" t="s">
        <v>911</v>
      </c>
      <c r="U65" s="8">
        <v>35</v>
      </c>
      <c r="V65" s="8"/>
      <c r="W65" s="8"/>
      <c r="X65" s="8"/>
      <c r="Y65" s="8"/>
      <c r="Z65" s="8"/>
      <c r="AA65" s="8"/>
      <c r="AB65" s="8"/>
      <c r="AC65" s="8"/>
      <c r="AD65" s="8"/>
      <c r="AE65" s="8"/>
      <c r="AF65" s="8"/>
      <c r="AG65" s="8"/>
      <c r="AH65" s="8"/>
      <c r="AI65" s="8"/>
      <c r="AJ65" s="8"/>
      <c r="AK65" s="8"/>
      <c r="AL65" s="8"/>
      <c r="AM65" s="8"/>
      <c r="AN65" s="8"/>
      <c r="AO65" s="8"/>
      <c r="AP65" s="8"/>
      <c r="AQ65" s="8"/>
    </row>
    <row r="66" spans="1:43" ht="23.25" customHeight="1" x14ac:dyDescent="0.3">
      <c r="A66" s="8" t="s">
        <v>912</v>
      </c>
      <c r="B66" s="8"/>
      <c r="C66" s="8"/>
      <c r="D66" s="10"/>
      <c r="E66" s="10"/>
      <c r="F66" s="10" t="str">
        <f t="shared" si="0"/>
        <v>gift-codes.html?game=進化吧!我的人生</v>
      </c>
      <c r="G66" s="10"/>
      <c r="H66" s="10" t="str">
        <f t="shared" si="1"/>
        <v>https://www.ssbuy.tw/game-detail.html?game=進化吧!我的人生</v>
      </c>
      <c r="I66" s="27" t="s">
        <v>913</v>
      </c>
      <c r="J66" s="32" t="s">
        <v>914</v>
      </c>
      <c r="K66" s="8">
        <v>2551</v>
      </c>
      <c r="L66" s="8" t="s">
        <v>915</v>
      </c>
      <c r="M66" s="8">
        <v>1323</v>
      </c>
      <c r="N66" s="8" t="s">
        <v>916</v>
      </c>
      <c r="O66" s="8">
        <v>539</v>
      </c>
      <c r="P66" s="8" t="s">
        <v>917</v>
      </c>
      <c r="Q66" s="8">
        <v>267</v>
      </c>
      <c r="R66" s="8" t="s">
        <v>918</v>
      </c>
      <c r="S66" s="8">
        <v>137</v>
      </c>
      <c r="T66" s="8" t="s">
        <v>919</v>
      </c>
      <c r="U66" s="8">
        <v>30</v>
      </c>
      <c r="V66" s="8"/>
      <c r="W66" s="8"/>
      <c r="X66" s="8"/>
      <c r="Y66" s="8"/>
      <c r="Z66" s="8"/>
      <c r="AA66" s="8"/>
      <c r="AB66" s="8"/>
      <c r="AC66" s="8"/>
      <c r="AD66" s="8"/>
      <c r="AE66" s="8"/>
      <c r="AF66" s="8"/>
      <c r="AG66" s="8"/>
      <c r="AH66" s="8"/>
      <c r="AI66" s="8"/>
      <c r="AJ66" s="8"/>
      <c r="AK66" s="8"/>
      <c r="AL66" s="8"/>
      <c r="AM66" s="8"/>
      <c r="AN66" s="8"/>
      <c r="AO66" s="8"/>
      <c r="AP66" s="8"/>
      <c r="AQ66" s="8"/>
    </row>
    <row r="67" spans="1:43" ht="23.25" customHeight="1" x14ac:dyDescent="0.3">
      <c r="A67" s="8" t="s">
        <v>920</v>
      </c>
      <c r="B67" s="8"/>
      <c r="C67" s="8"/>
      <c r="D67" s="10"/>
      <c r="E67" s="10"/>
      <c r="F67" s="10" t="str">
        <f t="shared" ref="F67:F130" si="2">"gift-codes.html?game=" &amp; A67</f>
        <v>gift-codes.html?game=星之夢幻島</v>
      </c>
      <c r="G67" s="10"/>
      <c r="H67" s="10" t="str">
        <f t="shared" ref="H67:H130" si="3">"https://www.ssbuy.tw/game-detail.html?game="&amp;A67</f>
        <v>https://www.ssbuy.tw/game-detail.html?game=星之夢幻島</v>
      </c>
      <c r="I67" s="27" t="s">
        <v>921</v>
      </c>
      <c r="J67" s="32" t="s">
        <v>922</v>
      </c>
      <c r="K67" s="8">
        <v>2950</v>
      </c>
      <c r="L67" s="8" t="s">
        <v>923</v>
      </c>
      <c r="M67" s="8">
        <v>1323</v>
      </c>
      <c r="N67" s="8" t="s">
        <v>924</v>
      </c>
      <c r="O67" s="8">
        <v>539</v>
      </c>
      <c r="P67" s="8" t="s">
        <v>925</v>
      </c>
      <c r="Q67" s="8">
        <v>267</v>
      </c>
      <c r="R67" s="8" t="s">
        <v>926</v>
      </c>
      <c r="S67" s="8">
        <v>137</v>
      </c>
      <c r="T67" s="8" t="s">
        <v>927</v>
      </c>
      <c r="U67" s="8">
        <v>70</v>
      </c>
      <c r="V67" s="8"/>
      <c r="W67" s="8"/>
      <c r="X67" s="8"/>
      <c r="Y67" s="8"/>
      <c r="Z67" s="8"/>
      <c r="AA67" s="8"/>
      <c r="AB67" s="8"/>
      <c r="AC67" s="8"/>
      <c r="AD67" s="8"/>
      <c r="AE67" s="8"/>
      <c r="AF67" s="8"/>
      <c r="AG67" s="8"/>
      <c r="AH67" s="8"/>
      <c r="AI67" s="8"/>
      <c r="AJ67" s="8"/>
      <c r="AK67" s="8"/>
      <c r="AL67" s="8"/>
      <c r="AM67" s="8"/>
      <c r="AN67" s="8"/>
      <c r="AO67" s="8"/>
      <c r="AP67" s="8"/>
      <c r="AQ67" s="8"/>
    </row>
    <row r="68" spans="1:43" ht="23.25" customHeight="1" x14ac:dyDescent="0.3">
      <c r="A68" s="8" t="s">
        <v>928</v>
      </c>
      <c r="B68" s="8"/>
      <c r="C68" s="8"/>
      <c r="D68" s="10"/>
      <c r="E68" s="10"/>
      <c r="F68" s="10" t="str">
        <f t="shared" si="2"/>
        <v>gift-codes.html?game=小冰冰傳奇：回到最初</v>
      </c>
      <c r="G68" s="10"/>
      <c r="H68" s="10" t="str">
        <f t="shared" si="3"/>
        <v>https://www.ssbuy.tw/game-detail.html?game=小冰冰傳奇：回到最初</v>
      </c>
      <c r="I68" s="27" t="s">
        <v>929</v>
      </c>
      <c r="J68" s="32" t="s">
        <v>930</v>
      </c>
      <c r="K68" s="8">
        <v>2551</v>
      </c>
      <c r="L68" s="8" t="s">
        <v>931</v>
      </c>
      <c r="M68" s="8">
        <v>2551</v>
      </c>
      <c r="N68" s="8" t="s">
        <v>932</v>
      </c>
      <c r="O68" s="8">
        <v>786</v>
      </c>
      <c r="P68" s="8" t="s">
        <v>933</v>
      </c>
      <c r="Q68" s="8">
        <v>460</v>
      </c>
      <c r="R68" s="8" t="s">
        <v>934</v>
      </c>
      <c r="S68" s="8">
        <v>137</v>
      </c>
      <c r="T68" s="8" t="s">
        <v>935</v>
      </c>
      <c r="U68" s="8">
        <v>35</v>
      </c>
      <c r="V68" s="8"/>
      <c r="W68" s="8"/>
      <c r="X68" s="8"/>
      <c r="Y68" s="8"/>
      <c r="Z68" s="8"/>
      <c r="AA68" s="8"/>
      <c r="AB68" s="8"/>
      <c r="AC68" s="8"/>
      <c r="AD68" s="8"/>
      <c r="AE68" s="8"/>
      <c r="AF68" s="8"/>
      <c r="AG68" s="8"/>
      <c r="AH68" s="8"/>
      <c r="AI68" s="8"/>
      <c r="AJ68" s="8"/>
      <c r="AK68" s="8"/>
      <c r="AL68" s="8"/>
      <c r="AM68" s="8"/>
      <c r="AN68" s="8"/>
      <c r="AO68" s="8"/>
      <c r="AP68" s="8"/>
      <c r="AQ68" s="8"/>
    </row>
    <row r="69" spans="1:43" ht="23.25" customHeight="1" x14ac:dyDescent="0.3">
      <c r="A69" s="8" t="s">
        <v>936</v>
      </c>
      <c r="B69" s="8"/>
      <c r="C69" s="8"/>
      <c r="D69" s="10"/>
      <c r="E69" s="10"/>
      <c r="F69" s="10" t="str">
        <f t="shared" si="2"/>
        <v>gift-codes.html?game=江湖風雲傳</v>
      </c>
      <c r="G69" s="10"/>
      <c r="H69" s="10" t="str">
        <f t="shared" si="3"/>
        <v>https://www.ssbuy.tw/game-detail.html?game=江湖風雲傳</v>
      </c>
      <c r="I69" s="27" t="s">
        <v>937</v>
      </c>
      <c r="J69" s="32" t="s">
        <v>938</v>
      </c>
      <c r="K69" s="8">
        <v>2551</v>
      </c>
      <c r="L69" s="8" t="s">
        <v>939</v>
      </c>
      <c r="M69" s="8">
        <v>1323</v>
      </c>
      <c r="N69" s="8" t="s">
        <v>940</v>
      </c>
      <c r="O69" s="8">
        <v>786</v>
      </c>
      <c r="P69" s="8" t="s">
        <v>941</v>
      </c>
      <c r="Q69" s="8">
        <v>539</v>
      </c>
      <c r="R69" s="8" t="s">
        <v>942</v>
      </c>
      <c r="S69" s="8">
        <v>460</v>
      </c>
      <c r="T69" s="8" t="s">
        <v>943</v>
      </c>
      <c r="U69" s="8">
        <v>240</v>
      </c>
      <c r="V69" s="8" t="s">
        <v>944</v>
      </c>
      <c r="W69" s="8">
        <v>137</v>
      </c>
      <c r="X69" s="8" t="s">
        <v>945</v>
      </c>
      <c r="Y69" s="8">
        <v>60</v>
      </c>
      <c r="Z69" s="8" t="s">
        <v>946</v>
      </c>
      <c r="AA69" s="8">
        <v>35</v>
      </c>
      <c r="AB69" s="8"/>
      <c r="AC69" s="8"/>
      <c r="AD69" s="8"/>
      <c r="AE69" s="8"/>
      <c r="AF69" s="8"/>
      <c r="AG69" s="8"/>
      <c r="AH69" s="8"/>
      <c r="AI69" s="8"/>
      <c r="AJ69" s="8"/>
      <c r="AK69" s="8"/>
      <c r="AL69" s="8"/>
      <c r="AM69" s="8"/>
      <c r="AN69" s="8"/>
      <c r="AO69" s="8"/>
      <c r="AP69" s="8"/>
      <c r="AQ69" s="8"/>
    </row>
    <row r="70" spans="1:43" ht="23.25" customHeight="1" x14ac:dyDescent="0.3">
      <c r="A70" s="8" t="s">
        <v>947</v>
      </c>
      <c r="B70" s="8"/>
      <c r="C70" s="8"/>
      <c r="D70" s="10"/>
      <c r="E70" s="10"/>
      <c r="F70" s="10" t="str">
        <f t="shared" si="2"/>
        <v>gift-codes.html?game=星願之冠：狼少女物語</v>
      </c>
      <c r="G70" s="10"/>
      <c r="H70" s="10" t="str">
        <f t="shared" si="3"/>
        <v>https://www.ssbuy.tw/game-detail.html?game=星願之冠：狼少女物語</v>
      </c>
      <c r="I70" s="27" t="s">
        <v>948</v>
      </c>
      <c r="J70" s="32" t="s">
        <v>949</v>
      </c>
      <c r="K70" s="8">
        <v>2450</v>
      </c>
      <c r="L70" s="8" t="s">
        <v>950</v>
      </c>
      <c r="M70" s="8">
        <v>1090</v>
      </c>
      <c r="N70" s="8" t="s">
        <v>951</v>
      </c>
      <c r="O70" s="8">
        <v>710</v>
      </c>
      <c r="P70" s="8" t="s">
        <v>952</v>
      </c>
      <c r="Q70" s="8">
        <v>270</v>
      </c>
      <c r="R70" s="8" t="s">
        <v>953</v>
      </c>
      <c r="S70" s="8">
        <v>137</v>
      </c>
      <c r="T70" s="8" t="s">
        <v>954</v>
      </c>
      <c r="U70" s="8">
        <v>35</v>
      </c>
      <c r="V70" s="8"/>
      <c r="W70" s="8"/>
      <c r="X70" s="8"/>
      <c r="Y70" s="8"/>
      <c r="Z70" s="8"/>
      <c r="AA70" s="8"/>
      <c r="AB70" s="8"/>
      <c r="AC70" s="8"/>
      <c r="AD70" s="8"/>
      <c r="AE70" s="8"/>
      <c r="AF70" s="8"/>
      <c r="AG70" s="8"/>
      <c r="AH70" s="8"/>
      <c r="AI70" s="8"/>
      <c r="AJ70" s="8"/>
      <c r="AK70" s="8"/>
      <c r="AL70" s="8"/>
      <c r="AM70" s="8"/>
      <c r="AN70" s="8"/>
      <c r="AO70" s="8"/>
      <c r="AP70" s="8"/>
      <c r="AQ70" s="8"/>
    </row>
    <row r="71" spans="1:43" ht="23.25" customHeight="1" x14ac:dyDescent="0.3">
      <c r="A71" s="8" t="s">
        <v>955</v>
      </c>
      <c r="B71" s="8"/>
      <c r="C71" s="8"/>
      <c r="D71" s="10"/>
      <c r="E71" s="10"/>
      <c r="F71" s="10" t="str">
        <f t="shared" si="2"/>
        <v>gift-codes.html?game=香蕉缺個芭樂</v>
      </c>
      <c r="G71" s="10"/>
      <c r="H71" s="10" t="str">
        <f t="shared" si="3"/>
        <v>https://www.ssbuy.tw/game-detail.html?game=香蕉缺個芭樂</v>
      </c>
      <c r="I71" s="27" t="s">
        <v>956</v>
      </c>
      <c r="J71" s="32" t="s">
        <v>957</v>
      </c>
      <c r="K71" s="8">
        <v>2551</v>
      </c>
      <c r="L71" s="8" t="s">
        <v>958</v>
      </c>
      <c r="M71" s="8">
        <v>1323</v>
      </c>
      <c r="N71" s="8" t="s">
        <v>959</v>
      </c>
      <c r="O71" s="8">
        <v>786</v>
      </c>
      <c r="P71" s="8" t="s">
        <v>960</v>
      </c>
      <c r="Q71" s="8">
        <v>460</v>
      </c>
      <c r="R71" s="8" t="s">
        <v>961</v>
      </c>
      <c r="S71" s="8">
        <v>137</v>
      </c>
      <c r="T71" s="8" t="s">
        <v>734</v>
      </c>
      <c r="U71" s="8">
        <v>35</v>
      </c>
      <c r="V71" s="8"/>
      <c r="W71" s="8"/>
      <c r="X71" s="8"/>
      <c r="Y71" s="8"/>
      <c r="Z71" s="8"/>
      <c r="AA71" s="8"/>
      <c r="AB71" s="8"/>
      <c r="AC71" s="8"/>
      <c r="AD71" s="8"/>
      <c r="AE71" s="8"/>
      <c r="AF71" s="8"/>
      <c r="AG71" s="8"/>
      <c r="AH71" s="8"/>
      <c r="AI71" s="8"/>
      <c r="AJ71" s="8"/>
      <c r="AK71" s="8"/>
      <c r="AL71" s="8"/>
      <c r="AM71" s="8"/>
      <c r="AN71" s="8"/>
      <c r="AO71" s="8"/>
      <c r="AP71" s="8"/>
      <c r="AQ71" s="8"/>
    </row>
    <row r="72" spans="1:43" ht="23.25" customHeight="1" x14ac:dyDescent="0.3">
      <c r="A72" s="8" t="s">
        <v>962</v>
      </c>
      <c r="B72" s="8"/>
      <c r="C72" s="8"/>
      <c r="D72" s="10"/>
      <c r="E72" s="10"/>
      <c r="F72" s="10" t="str">
        <f t="shared" si="2"/>
        <v>gift-codes.html?game=精靈塔塔開</v>
      </c>
      <c r="G72" s="10"/>
      <c r="H72" s="10" t="str">
        <f t="shared" si="3"/>
        <v>https://www.ssbuy.tw/game-detail.html?game=精靈塔塔開</v>
      </c>
      <c r="I72" s="27" t="s">
        <v>963</v>
      </c>
      <c r="J72" s="32" t="s">
        <v>964</v>
      </c>
      <c r="K72" s="8">
        <v>2560</v>
      </c>
      <c r="L72" s="8" t="s">
        <v>965</v>
      </c>
      <c r="M72" s="8">
        <v>1323</v>
      </c>
      <c r="N72" s="8" t="s">
        <v>966</v>
      </c>
      <c r="O72" s="8">
        <v>610</v>
      </c>
      <c r="P72" s="8" t="s">
        <v>967</v>
      </c>
      <c r="Q72" s="8">
        <v>267</v>
      </c>
      <c r="R72" s="8" t="s">
        <v>968</v>
      </c>
      <c r="S72" s="8">
        <v>137</v>
      </c>
      <c r="T72" s="8" t="s">
        <v>969</v>
      </c>
      <c r="U72" s="8">
        <v>35</v>
      </c>
      <c r="V72" s="8"/>
      <c r="W72" s="8"/>
      <c r="X72" s="8"/>
      <c r="Y72" s="8"/>
      <c r="Z72" s="8"/>
      <c r="AA72" s="8"/>
      <c r="AB72" s="8"/>
      <c r="AC72" s="8"/>
      <c r="AD72" s="8"/>
      <c r="AE72" s="8"/>
      <c r="AF72" s="8"/>
      <c r="AG72" s="8"/>
      <c r="AH72" s="8"/>
      <c r="AI72" s="8"/>
      <c r="AJ72" s="8"/>
      <c r="AK72" s="8"/>
      <c r="AL72" s="8"/>
      <c r="AM72" s="8"/>
      <c r="AN72" s="8"/>
      <c r="AO72" s="8"/>
      <c r="AP72" s="8"/>
      <c r="AQ72" s="8"/>
    </row>
    <row r="73" spans="1:43" ht="23.25" customHeight="1" x14ac:dyDescent="0.3">
      <c r="A73" s="8" t="s">
        <v>970</v>
      </c>
      <c r="B73" s="8"/>
      <c r="C73" s="8"/>
      <c r="D73" s="10"/>
      <c r="E73" s="10"/>
      <c r="F73" s="10" t="str">
        <f t="shared" si="2"/>
        <v>gift-codes.html?game=終末之歌</v>
      </c>
      <c r="G73" s="10"/>
      <c r="H73" s="10" t="str">
        <f t="shared" si="3"/>
        <v>https://www.ssbuy.tw/game-detail.html?game=終末之歌</v>
      </c>
      <c r="I73" s="27" t="s">
        <v>971</v>
      </c>
      <c r="J73" s="32" t="s">
        <v>972</v>
      </c>
      <c r="K73" s="8">
        <v>2551</v>
      </c>
      <c r="L73" s="8" t="s">
        <v>973</v>
      </c>
      <c r="M73" s="8">
        <v>1323</v>
      </c>
      <c r="N73" s="8" t="s">
        <v>974</v>
      </c>
      <c r="O73" s="8">
        <v>786</v>
      </c>
      <c r="P73" s="8" t="s">
        <v>975</v>
      </c>
      <c r="Q73" s="8">
        <v>460</v>
      </c>
      <c r="R73" s="8" t="s">
        <v>976</v>
      </c>
      <c r="S73" s="8">
        <v>137</v>
      </c>
      <c r="T73" s="8" t="s">
        <v>977</v>
      </c>
      <c r="U73" s="8">
        <v>30</v>
      </c>
      <c r="V73" s="8"/>
      <c r="W73" s="8"/>
      <c r="X73" s="8"/>
      <c r="Y73" s="8"/>
      <c r="Z73" s="8"/>
      <c r="AA73" s="8"/>
      <c r="AB73" s="8"/>
      <c r="AC73" s="8"/>
      <c r="AD73" s="8"/>
      <c r="AE73" s="8"/>
      <c r="AF73" s="8"/>
      <c r="AG73" s="8"/>
      <c r="AH73" s="8"/>
      <c r="AI73" s="8"/>
      <c r="AJ73" s="8"/>
      <c r="AK73" s="8"/>
      <c r="AL73" s="8"/>
      <c r="AM73" s="8"/>
      <c r="AN73" s="8"/>
      <c r="AO73" s="8"/>
      <c r="AP73" s="8"/>
      <c r="AQ73" s="8"/>
    </row>
    <row r="74" spans="1:43" ht="23.25" customHeight="1" x14ac:dyDescent="0.3">
      <c r="A74" s="8" t="s">
        <v>978</v>
      </c>
      <c r="B74" s="8"/>
      <c r="C74" s="8"/>
      <c r="D74" s="10"/>
      <c r="E74" s="10"/>
      <c r="F74" s="10" t="str">
        <f t="shared" si="2"/>
        <v>gift-codes.html?game=森靈奇境</v>
      </c>
      <c r="G74" s="10"/>
      <c r="H74" s="10" t="str">
        <f t="shared" si="3"/>
        <v>https://www.ssbuy.tw/game-detail.html?game=森靈奇境</v>
      </c>
      <c r="I74" s="27" t="s">
        <v>979</v>
      </c>
      <c r="J74" s="32" t="s">
        <v>980</v>
      </c>
      <c r="K74" s="8">
        <v>2551</v>
      </c>
      <c r="L74" s="8" t="s">
        <v>981</v>
      </c>
      <c r="M74" s="8">
        <v>1323</v>
      </c>
      <c r="N74" s="8" t="s">
        <v>982</v>
      </c>
      <c r="O74" s="8">
        <v>786</v>
      </c>
      <c r="P74" s="8" t="s">
        <v>983</v>
      </c>
      <c r="Q74" s="8">
        <v>539</v>
      </c>
      <c r="R74" s="8" t="s">
        <v>984</v>
      </c>
      <c r="S74" s="8">
        <v>267</v>
      </c>
      <c r="T74" s="8" t="s">
        <v>985</v>
      </c>
      <c r="U74" s="8">
        <v>137</v>
      </c>
      <c r="V74" s="8" t="s">
        <v>888</v>
      </c>
      <c r="W74" s="8">
        <v>35</v>
      </c>
      <c r="X74" s="8"/>
      <c r="Y74" s="8"/>
      <c r="Z74" s="8"/>
      <c r="AA74" s="8"/>
      <c r="AB74" s="8"/>
      <c r="AC74" s="8"/>
      <c r="AD74" s="8"/>
      <c r="AE74" s="8"/>
      <c r="AF74" s="8"/>
      <c r="AG74" s="8"/>
      <c r="AH74" s="8"/>
      <c r="AI74" s="8"/>
      <c r="AJ74" s="8"/>
      <c r="AK74" s="8"/>
      <c r="AL74" s="8"/>
      <c r="AM74" s="8"/>
      <c r="AN74" s="8"/>
      <c r="AO74" s="8"/>
      <c r="AP74" s="8"/>
      <c r="AQ74" s="8"/>
    </row>
    <row r="75" spans="1:43" ht="23.25" customHeight="1" x14ac:dyDescent="0.3">
      <c r="A75" s="8" t="s">
        <v>986</v>
      </c>
      <c r="B75" s="8"/>
      <c r="C75" s="8"/>
      <c r="D75" s="10"/>
      <c r="E75" s="10"/>
      <c r="F75" s="10" t="str">
        <f t="shared" si="2"/>
        <v>gift-codes.html?game=鬥破蒼穹：蕭門篇</v>
      </c>
      <c r="G75" s="10"/>
      <c r="H75" s="10" t="str">
        <f t="shared" si="3"/>
        <v>https://www.ssbuy.tw/game-detail.html?game=鬥破蒼穹：蕭門篇</v>
      </c>
      <c r="I75" s="27" t="s">
        <v>987</v>
      </c>
      <c r="J75" s="32" t="s">
        <v>988</v>
      </c>
      <c r="K75" s="8">
        <v>2551</v>
      </c>
      <c r="L75" s="8" t="s">
        <v>989</v>
      </c>
      <c r="M75" s="8">
        <v>1323</v>
      </c>
      <c r="N75" s="8" t="s">
        <v>990</v>
      </c>
      <c r="O75" s="8">
        <v>786</v>
      </c>
      <c r="P75" s="8" t="s">
        <v>991</v>
      </c>
      <c r="Q75" s="8">
        <v>394</v>
      </c>
      <c r="R75" s="8" t="s">
        <v>992</v>
      </c>
      <c r="S75" s="8">
        <v>267</v>
      </c>
      <c r="T75" s="8" t="s">
        <v>993</v>
      </c>
      <c r="U75" s="8">
        <v>137</v>
      </c>
      <c r="V75" s="8" t="s">
        <v>994</v>
      </c>
      <c r="W75" s="8">
        <v>35</v>
      </c>
      <c r="X75" s="8"/>
      <c r="Y75" s="8"/>
      <c r="Z75" s="8"/>
      <c r="AA75" s="8"/>
      <c r="AB75" s="8"/>
      <c r="AC75" s="8"/>
      <c r="AD75" s="8"/>
      <c r="AE75" s="8"/>
      <c r="AF75" s="8"/>
      <c r="AG75" s="8"/>
      <c r="AH75" s="8"/>
      <c r="AI75" s="8"/>
      <c r="AJ75" s="8"/>
      <c r="AK75" s="8"/>
      <c r="AL75" s="8"/>
      <c r="AM75" s="8"/>
      <c r="AN75" s="8"/>
      <c r="AO75" s="8"/>
      <c r="AP75" s="8"/>
      <c r="AQ75" s="8"/>
    </row>
    <row r="76" spans="1:43" ht="23.25" customHeight="1" x14ac:dyDescent="0.3">
      <c r="A76" s="8" t="s">
        <v>995</v>
      </c>
      <c r="B76" s="8"/>
      <c r="C76" s="8"/>
      <c r="D76" s="10"/>
      <c r="E76" s="10"/>
      <c r="F76" s="10" t="str">
        <f t="shared" si="2"/>
        <v>gift-codes.html?game=無畏的狼煙</v>
      </c>
      <c r="G76" s="10"/>
      <c r="H76" s="10" t="str">
        <f t="shared" si="3"/>
        <v>https://www.ssbuy.tw/game-detail.html?game=無畏的狼煙</v>
      </c>
      <c r="I76" s="27" t="s">
        <v>996</v>
      </c>
      <c r="J76" s="32" t="s">
        <v>997</v>
      </c>
      <c r="K76" s="8">
        <v>2551</v>
      </c>
      <c r="L76" s="8" t="s">
        <v>998</v>
      </c>
      <c r="M76" s="8">
        <v>1323</v>
      </c>
      <c r="N76" s="8" t="s">
        <v>999</v>
      </c>
      <c r="O76" s="8">
        <v>786</v>
      </c>
      <c r="P76" s="8" t="s">
        <v>1000</v>
      </c>
      <c r="Q76" s="8">
        <v>539</v>
      </c>
      <c r="R76" s="8" t="s">
        <v>1001</v>
      </c>
      <c r="S76" s="8">
        <v>267</v>
      </c>
      <c r="T76" s="8" t="s">
        <v>1002</v>
      </c>
      <c r="U76" s="8">
        <v>137</v>
      </c>
      <c r="V76" s="8" t="s">
        <v>1003</v>
      </c>
      <c r="W76" s="8">
        <v>35</v>
      </c>
      <c r="X76" s="8"/>
      <c r="Y76" s="8"/>
      <c r="Z76" s="8"/>
      <c r="AA76" s="8"/>
      <c r="AB76" s="8"/>
      <c r="AC76" s="8"/>
      <c r="AD76" s="8"/>
      <c r="AE76" s="8"/>
      <c r="AF76" s="8"/>
      <c r="AG76" s="8"/>
      <c r="AH76" s="8"/>
      <c r="AI76" s="8"/>
      <c r="AJ76" s="8"/>
      <c r="AK76" s="8"/>
      <c r="AL76" s="8"/>
      <c r="AM76" s="8"/>
      <c r="AN76" s="8"/>
      <c r="AO76" s="8"/>
      <c r="AP76" s="8"/>
      <c r="AQ76" s="8"/>
    </row>
    <row r="77" spans="1:43" ht="23.25" customHeight="1" x14ac:dyDescent="0.3">
      <c r="A77" s="16" t="s">
        <v>1004</v>
      </c>
      <c r="B77" s="8"/>
      <c r="C77" s="8"/>
      <c r="D77" s="10"/>
      <c r="E77" s="10"/>
      <c r="F77" s="10" t="str">
        <f t="shared" si="2"/>
        <v>gift-codes.html?game=代號：無頭</v>
      </c>
      <c r="G77" s="10"/>
      <c r="H77" s="10" t="str">
        <f t="shared" si="3"/>
        <v>https://www.ssbuy.tw/game-detail.html?game=代號：無頭</v>
      </c>
      <c r="I77" s="27" t="s">
        <v>1005</v>
      </c>
      <c r="J77" s="32" t="s">
        <v>1006</v>
      </c>
      <c r="K77" s="8">
        <v>2551</v>
      </c>
      <c r="L77" s="8" t="s">
        <v>1007</v>
      </c>
      <c r="M77" s="8">
        <v>1323</v>
      </c>
      <c r="N77" s="8" t="s">
        <v>1008</v>
      </c>
      <c r="O77" s="8">
        <v>539</v>
      </c>
      <c r="P77" s="8" t="s">
        <v>1009</v>
      </c>
      <c r="Q77" s="8">
        <v>267</v>
      </c>
      <c r="R77" s="8" t="s">
        <v>1010</v>
      </c>
      <c r="S77" s="8">
        <v>137</v>
      </c>
      <c r="T77" s="8" t="s">
        <v>1011</v>
      </c>
      <c r="U77" s="8">
        <v>30</v>
      </c>
      <c r="V77" s="8"/>
      <c r="W77" s="8"/>
      <c r="X77" s="8"/>
      <c r="Y77" s="8"/>
      <c r="Z77" s="8"/>
      <c r="AA77" s="8"/>
      <c r="AB77" s="8"/>
      <c r="AC77" s="8"/>
      <c r="AD77" s="8"/>
      <c r="AE77" s="8"/>
      <c r="AF77" s="8"/>
      <c r="AG77" s="8"/>
      <c r="AH77" s="8"/>
      <c r="AI77" s="8"/>
      <c r="AJ77" s="8"/>
      <c r="AK77" s="8"/>
      <c r="AL77" s="8"/>
      <c r="AM77" s="8"/>
      <c r="AN77" s="8"/>
      <c r="AO77" s="8"/>
      <c r="AP77" s="8"/>
      <c r="AQ77" s="8"/>
    </row>
    <row r="78" spans="1:43" ht="23.25" customHeight="1" x14ac:dyDescent="0.3">
      <c r="A78" s="8" t="s">
        <v>1012</v>
      </c>
      <c r="B78" s="8"/>
      <c r="C78" s="8"/>
      <c r="D78" s="10"/>
      <c r="E78" s="10"/>
      <c r="F78" s="10" t="str">
        <f t="shared" si="2"/>
        <v>gift-codes.html?game=牛頭人GO</v>
      </c>
      <c r="G78" s="10"/>
      <c r="H78" s="10" t="str">
        <f t="shared" si="3"/>
        <v>https://www.ssbuy.tw/game-detail.html?game=牛頭人GO</v>
      </c>
      <c r="I78" s="27" t="s">
        <v>1013</v>
      </c>
      <c r="J78" s="32" t="s">
        <v>1014</v>
      </c>
      <c r="K78" s="8">
        <v>2551</v>
      </c>
      <c r="L78" s="8" t="s">
        <v>1015</v>
      </c>
      <c r="M78" s="8">
        <v>1323</v>
      </c>
      <c r="N78" s="8" t="s">
        <v>1016</v>
      </c>
      <c r="O78" s="8">
        <v>539</v>
      </c>
      <c r="P78" s="8" t="s">
        <v>1017</v>
      </c>
      <c r="Q78" s="8">
        <v>267</v>
      </c>
      <c r="R78" s="8" t="s">
        <v>1018</v>
      </c>
      <c r="S78" s="8">
        <v>137</v>
      </c>
      <c r="T78" s="8" t="s">
        <v>1019</v>
      </c>
      <c r="U78" s="8">
        <v>90</v>
      </c>
      <c r="V78" s="8" t="s">
        <v>1020</v>
      </c>
      <c r="W78" s="8">
        <v>35</v>
      </c>
      <c r="X78" s="8"/>
      <c r="Y78" s="8"/>
      <c r="Z78" s="8"/>
      <c r="AA78" s="8"/>
      <c r="AB78" s="8"/>
      <c r="AC78" s="8"/>
      <c r="AD78" s="8"/>
      <c r="AE78" s="8"/>
      <c r="AF78" s="8"/>
      <c r="AG78" s="8"/>
      <c r="AH78" s="8"/>
      <c r="AI78" s="8"/>
      <c r="AJ78" s="8"/>
      <c r="AK78" s="8"/>
      <c r="AL78" s="8"/>
      <c r="AM78" s="8"/>
      <c r="AN78" s="8"/>
      <c r="AO78" s="8"/>
      <c r="AP78" s="8"/>
      <c r="AQ78" s="8"/>
    </row>
    <row r="79" spans="1:43" ht="23.25" customHeight="1" x14ac:dyDescent="0.3">
      <c r="A79" s="8" t="s">
        <v>1021</v>
      </c>
      <c r="B79" s="8"/>
      <c r="C79" s="8"/>
      <c r="D79" s="10"/>
      <c r="E79" s="10"/>
      <c r="F79" s="10" t="str">
        <f t="shared" si="2"/>
        <v>gift-codes.html?game=派對吧三國</v>
      </c>
      <c r="G79" s="10"/>
      <c r="H79" s="10" t="str">
        <f t="shared" si="3"/>
        <v>https://www.ssbuy.tw/game-detail.html?game=派對吧三國</v>
      </c>
      <c r="I79" s="27" t="s">
        <v>1022</v>
      </c>
      <c r="J79" s="32" t="s">
        <v>1023</v>
      </c>
      <c r="K79" s="8">
        <v>2551</v>
      </c>
      <c r="L79" s="8" t="s">
        <v>1024</v>
      </c>
      <c r="M79" s="8">
        <v>1960</v>
      </c>
      <c r="N79" s="8" t="s">
        <v>1025</v>
      </c>
      <c r="O79" s="8">
        <v>1323</v>
      </c>
      <c r="P79" s="8" t="s">
        <v>1026</v>
      </c>
      <c r="Q79" s="8">
        <v>786</v>
      </c>
      <c r="R79" s="8" t="s">
        <v>1027</v>
      </c>
      <c r="S79" s="8">
        <v>539</v>
      </c>
      <c r="T79" s="8" t="s">
        <v>1028</v>
      </c>
      <c r="U79" s="8">
        <v>394</v>
      </c>
      <c r="V79" s="8" t="s">
        <v>1029</v>
      </c>
      <c r="W79" s="8">
        <v>267</v>
      </c>
      <c r="X79" s="8" t="s">
        <v>1030</v>
      </c>
      <c r="Y79" s="8">
        <v>260</v>
      </c>
      <c r="Z79" s="8" t="s">
        <v>1031</v>
      </c>
      <c r="AA79" s="8">
        <v>137</v>
      </c>
      <c r="AB79" s="8" t="s">
        <v>1032</v>
      </c>
      <c r="AC79" s="8">
        <v>90</v>
      </c>
      <c r="AD79" s="8" t="s">
        <v>1033</v>
      </c>
      <c r="AE79" s="8">
        <v>60</v>
      </c>
      <c r="AF79" s="8" t="s">
        <v>1034</v>
      </c>
      <c r="AG79" s="8">
        <v>35</v>
      </c>
      <c r="AH79" s="8"/>
      <c r="AI79" s="8"/>
      <c r="AJ79" s="8"/>
      <c r="AK79" s="8"/>
      <c r="AL79" s="8"/>
      <c r="AM79" s="8"/>
      <c r="AN79" s="8"/>
      <c r="AO79" s="8"/>
      <c r="AP79" s="8"/>
      <c r="AQ79" s="8"/>
    </row>
    <row r="80" spans="1:43" ht="23.25" customHeight="1" x14ac:dyDescent="0.3">
      <c r="A80" s="8" t="s">
        <v>1035</v>
      </c>
      <c r="B80" s="8"/>
      <c r="C80" s="8"/>
      <c r="D80" s="10"/>
      <c r="E80" s="10"/>
      <c r="F80" s="10" t="str">
        <f t="shared" si="2"/>
        <v>gift-codes.html?game=酒酒大俠</v>
      </c>
      <c r="G80" s="10"/>
      <c r="H80" s="10" t="str">
        <f t="shared" si="3"/>
        <v>https://www.ssbuy.tw/game-detail.html?game=酒酒大俠</v>
      </c>
      <c r="I80" s="27" t="s">
        <v>1036</v>
      </c>
      <c r="J80" s="32" t="s">
        <v>1037</v>
      </c>
      <c r="K80" s="8">
        <v>2551</v>
      </c>
      <c r="L80" s="8" t="s">
        <v>1038</v>
      </c>
      <c r="M80" s="8">
        <v>1323</v>
      </c>
      <c r="N80" s="8" t="s">
        <v>1039</v>
      </c>
      <c r="O80" s="8">
        <v>786</v>
      </c>
      <c r="P80" s="8" t="s">
        <v>1040</v>
      </c>
      <c r="Q80" s="8">
        <v>394</v>
      </c>
      <c r="R80" s="8" t="s">
        <v>1041</v>
      </c>
      <c r="S80" s="8">
        <v>267</v>
      </c>
      <c r="T80" s="8" t="s">
        <v>1042</v>
      </c>
      <c r="U80" s="8">
        <v>137</v>
      </c>
      <c r="V80" s="8" t="s">
        <v>1043</v>
      </c>
      <c r="W80" s="8">
        <v>35</v>
      </c>
      <c r="X80" s="8"/>
      <c r="Y80" s="8"/>
      <c r="Z80" s="8"/>
      <c r="AA80" s="8"/>
      <c r="AB80" s="8"/>
      <c r="AC80" s="8"/>
      <c r="AD80" s="8"/>
      <c r="AE80" s="8"/>
      <c r="AF80" s="8"/>
      <c r="AG80" s="8"/>
      <c r="AH80" s="8"/>
      <c r="AI80" s="8"/>
      <c r="AJ80" s="8"/>
      <c r="AK80" s="8"/>
      <c r="AL80" s="8"/>
      <c r="AM80" s="8"/>
      <c r="AN80" s="8"/>
      <c r="AO80" s="8"/>
      <c r="AP80" s="8"/>
      <c r="AQ80" s="8"/>
    </row>
    <row r="81" spans="1:43" ht="23.25" customHeight="1" x14ac:dyDescent="0.3">
      <c r="A81" s="8" t="s">
        <v>1044</v>
      </c>
      <c r="B81" s="8"/>
      <c r="C81" s="8"/>
      <c r="D81" s="10"/>
      <c r="E81" s="10"/>
      <c r="F81" s="10" t="str">
        <f t="shared" si="2"/>
        <v>gift-codes.html?game=鼠衛家園</v>
      </c>
      <c r="G81" s="10"/>
      <c r="H81" s="10" t="str">
        <f t="shared" si="3"/>
        <v>https://www.ssbuy.tw/game-detail.html?game=鼠衛家園</v>
      </c>
      <c r="I81" s="27" t="s">
        <v>1045</v>
      </c>
      <c r="J81" s="32" t="s">
        <v>1046</v>
      </c>
      <c r="K81" s="8">
        <v>2551</v>
      </c>
      <c r="L81" s="8" t="s">
        <v>1047</v>
      </c>
      <c r="M81" s="8">
        <v>1280</v>
      </c>
      <c r="N81" s="8" t="s">
        <v>1048</v>
      </c>
      <c r="O81" s="8">
        <v>539</v>
      </c>
      <c r="P81" s="8" t="s">
        <v>1049</v>
      </c>
      <c r="Q81" s="8">
        <v>267</v>
      </c>
      <c r="R81" s="8" t="s">
        <v>1050</v>
      </c>
      <c r="S81" s="8">
        <v>137</v>
      </c>
      <c r="T81" s="8"/>
      <c r="U81" s="8"/>
      <c r="V81" s="8"/>
      <c r="W81" s="8"/>
      <c r="X81" s="8"/>
      <c r="Y81" s="8"/>
      <c r="Z81" s="8"/>
      <c r="AA81" s="8"/>
      <c r="AB81" s="8"/>
      <c r="AC81" s="8"/>
      <c r="AD81" s="8"/>
      <c r="AE81" s="8"/>
      <c r="AF81" s="8"/>
      <c r="AG81" s="8"/>
      <c r="AH81" s="8"/>
      <c r="AI81" s="8"/>
      <c r="AJ81" s="8"/>
      <c r="AK81" s="8"/>
      <c r="AL81" s="8"/>
      <c r="AM81" s="8"/>
      <c r="AN81" s="8"/>
      <c r="AO81" s="8"/>
      <c r="AP81" s="8"/>
      <c r="AQ81" s="8"/>
    </row>
    <row r="82" spans="1:43" ht="23.25" customHeight="1" x14ac:dyDescent="0.3">
      <c r="A82" s="8" t="s">
        <v>1051</v>
      </c>
      <c r="B82" s="8"/>
      <c r="C82" s="8"/>
      <c r="D82" s="10"/>
      <c r="E82" s="10"/>
      <c r="F82" s="10" t="str">
        <f t="shared" si="2"/>
        <v>gift-codes.html?game=未頌者之歌：異世界冒險奇譚</v>
      </c>
      <c r="G82" s="10"/>
      <c r="H82" s="10" t="str">
        <f t="shared" si="3"/>
        <v>https://www.ssbuy.tw/game-detail.html?game=未頌者之歌：異世界冒險奇譚</v>
      </c>
      <c r="I82" s="27" t="s">
        <v>1052</v>
      </c>
      <c r="J82" s="32" t="s">
        <v>1053</v>
      </c>
      <c r="K82" s="8">
        <v>2551</v>
      </c>
      <c r="L82" s="8" t="s">
        <v>1054</v>
      </c>
      <c r="M82" s="8">
        <v>1323</v>
      </c>
      <c r="N82" s="8" t="s">
        <v>1055</v>
      </c>
      <c r="O82" s="8">
        <v>539</v>
      </c>
      <c r="P82" s="8" t="s">
        <v>1056</v>
      </c>
      <c r="Q82" s="8">
        <v>267</v>
      </c>
      <c r="R82" s="8" t="s">
        <v>1057</v>
      </c>
      <c r="S82" s="8">
        <v>137</v>
      </c>
      <c r="T82" s="8" t="s">
        <v>1058</v>
      </c>
      <c r="U82" s="8">
        <v>35</v>
      </c>
      <c r="V82" s="8"/>
      <c r="W82" s="8"/>
      <c r="X82" s="8"/>
      <c r="Y82" s="8"/>
      <c r="Z82" s="8"/>
      <c r="AA82" s="8"/>
      <c r="AB82" s="8"/>
      <c r="AC82" s="8"/>
      <c r="AD82" s="8"/>
      <c r="AE82" s="8"/>
      <c r="AF82" s="8"/>
      <c r="AG82" s="8"/>
      <c r="AH82" s="8"/>
      <c r="AI82" s="8"/>
      <c r="AJ82" s="8"/>
      <c r="AK82" s="8"/>
      <c r="AL82" s="8"/>
      <c r="AM82" s="8"/>
      <c r="AN82" s="8"/>
      <c r="AO82" s="8"/>
      <c r="AP82" s="8"/>
      <c r="AQ82" s="8"/>
    </row>
    <row r="83" spans="1:43" ht="23.25" customHeight="1" x14ac:dyDescent="0.3">
      <c r="A83" s="8" t="s">
        <v>1059</v>
      </c>
      <c r="B83" s="8"/>
      <c r="C83" s="8"/>
      <c r="D83" s="10"/>
      <c r="E83" s="10"/>
      <c r="F83" s="10" t="str">
        <f t="shared" si="2"/>
        <v>gift-codes.html?game=熱練戰士</v>
      </c>
      <c r="G83" s="10"/>
      <c r="H83" s="10" t="str">
        <f t="shared" si="3"/>
        <v>https://www.ssbuy.tw/game-detail.html?game=熱練戰士</v>
      </c>
      <c r="I83" s="27" t="s">
        <v>1060</v>
      </c>
      <c r="J83" s="32" t="s">
        <v>1061</v>
      </c>
      <c r="K83" s="8">
        <v>2590</v>
      </c>
      <c r="L83" s="8" t="s">
        <v>1062</v>
      </c>
      <c r="M83" s="8">
        <v>740</v>
      </c>
      <c r="N83" s="8" t="s">
        <v>1063</v>
      </c>
      <c r="O83" s="8">
        <v>137</v>
      </c>
      <c r="P83" s="8"/>
      <c r="Q83" s="8"/>
      <c r="R83" s="8"/>
      <c r="S83" s="8"/>
      <c r="T83" s="8"/>
      <c r="U83" s="8"/>
      <c r="V83" s="8"/>
      <c r="W83" s="8"/>
      <c r="X83" s="8"/>
      <c r="Y83" s="8"/>
      <c r="Z83" s="8"/>
      <c r="AA83" s="8"/>
      <c r="AB83" s="8"/>
      <c r="AC83" s="8"/>
      <c r="AD83" s="8"/>
      <c r="AE83" s="8"/>
      <c r="AF83" s="8"/>
      <c r="AG83" s="8"/>
      <c r="AH83" s="8"/>
      <c r="AI83" s="8"/>
      <c r="AJ83" s="8"/>
      <c r="AK83" s="8"/>
      <c r="AL83" s="8"/>
      <c r="AM83" s="8"/>
      <c r="AN83" s="8"/>
      <c r="AO83" s="8"/>
      <c r="AP83" s="8"/>
      <c r="AQ83" s="8"/>
    </row>
    <row r="84" spans="1:43" ht="23.25" customHeight="1" x14ac:dyDescent="0.3">
      <c r="A84" s="8" t="s">
        <v>1064</v>
      </c>
      <c r="B84" s="8"/>
      <c r="C84" s="8"/>
      <c r="D84" s="10"/>
      <c r="E84" s="10"/>
      <c r="F84" s="10" t="str">
        <f t="shared" si="2"/>
        <v>gift-codes.html?game=聯盟戰棋</v>
      </c>
      <c r="G84" s="10"/>
      <c r="H84" s="10" t="str">
        <f t="shared" si="3"/>
        <v>https://www.ssbuy.tw/game-detail.html?game=聯盟戰棋</v>
      </c>
      <c r="I84" s="27" t="s">
        <v>1065</v>
      </c>
      <c r="J84" s="32" t="s">
        <v>1066</v>
      </c>
      <c r="K84" s="8">
        <v>2430</v>
      </c>
      <c r="L84" s="8" t="s">
        <v>1067</v>
      </c>
      <c r="M84" s="8">
        <v>1220</v>
      </c>
      <c r="N84" s="8" t="s">
        <v>1068</v>
      </c>
      <c r="O84" s="8">
        <v>850</v>
      </c>
      <c r="P84" s="8" t="s">
        <v>1069</v>
      </c>
      <c r="Q84" s="8">
        <v>539</v>
      </c>
      <c r="R84" s="8" t="s">
        <v>1070</v>
      </c>
      <c r="S84" s="8">
        <v>270</v>
      </c>
      <c r="T84" s="8" t="s">
        <v>1071</v>
      </c>
      <c r="U84" s="8">
        <v>137</v>
      </c>
      <c r="V84" s="8"/>
      <c r="W84" s="8"/>
      <c r="X84" s="8"/>
      <c r="Y84" s="8"/>
      <c r="Z84" s="8"/>
      <c r="AA84" s="8"/>
      <c r="AB84" s="8"/>
      <c r="AC84" s="8"/>
      <c r="AD84" s="8"/>
      <c r="AE84" s="8"/>
      <c r="AF84" s="8"/>
      <c r="AG84" s="8"/>
      <c r="AH84" s="8"/>
      <c r="AI84" s="8"/>
      <c r="AJ84" s="8"/>
      <c r="AK84" s="8"/>
      <c r="AL84" s="8"/>
      <c r="AM84" s="8"/>
      <c r="AN84" s="8"/>
      <c r="AO84" s="8"/>
      <c r="AP84" s="8"/>
      <c r="AQ84" s="8"/>
    </row>
    <row r="85" spans="1:43" ht="23.25" customHeight="1" x14ac:dyDescent="0.3">
      <c r="A85" s="8" t="s">
        <v>1072</v>
      </c>
      <c r="B85" s="8"/>
      <c r="C85" s="8"/>
      <c r="D85" s="10"/>
      <c r="E85" s="10"/>
      <c r="F85" s="10" t="str">
        <f t="shared" si="2"/>
        <v>gift-codes.html?game=劍客物語</v>
      </c>
      <c r="G85" s="10"/>
      <c r="H85" s="10" t="str">
        <f t="shared" si="3"/>
        <v>https://www.ssbuy.tw/game-detail.html?game=劍客物語</v>
      </c>
      <c r="I85" s="27" t="s">
        <v>1073</v>
      </c>
      <c r="J85" s="32" t="s">
        <v>1074</v>
      </c>
      <c r="K85" s="8">
        <v>2551</v>
      </c>
      <c r="L85" s="8" t="s">
        <v>1075</v>
      </c>
      <c r="M85" s="8">
        <v>1300</v>
      </c>
      <c r="N85" s="8" t="s">
        <v>1076</v>
      </c>
      <c r="O85" s="8">
        <v>786</v>
      </c>
      <c r="P85" s="8" t="s">
        <v>1077</v>
      </c>
      <c r="Q85" s="8">
        <v>270</v>
      </c>
      <c r="R85" s="8" t="s">
        <v>1078</v>
      </c>
      <c r="S85" s="8">
        <v>137</v>
      </c>
      <c r="T85" s="8" t="s">
        <v>1079</v>
      </c>
      <c r="U85" s="8">
        <v>90</v>
      </c>
      <c r="V85" s="8"/>
      <c r="W85" s="8"/>
      <c r="X85" s="8"/>
      <c r="Y85" s="8"/>
      <c r="Z85" s="8"/>
      <c r="AA85" s="8"/>
      <c r="AB85" s="8"/>
      <c r="AC85" s="8"/>
      <c r="AD85" s="8"/>
      <c r="AE85" s="8"/>
      <c r="AF85" s="8"/>
      <c r="AG85" s="8"/>
      <c r="AH85" s="8"/>
      <c r="AI85" s="8"/>
      <c r="AJ85" s="8"/>
      <c r="AK85" s="8"/>
      <c r="AL85" s="8"/>
      <c r="AM85" s="8"/>
      <c r="AN85" s="8"/>
      <c r="AO85" s="8"/>
      <c r="AP85" s="8"/>
      <c r="AQ85" s="8"/>
    </row>
    <row r="86" spans="1:43" ht="23.25" customHeight="1" x14ac:dyDescent="0.3">
      <c r="A86" s="8" t="s">
        <v>1080</v>
      </c>
      <c r="B86" s="8"/>
      <c r="C86" s="8"/>
      <c r="D86" s="10"/>
      <c r="E86" s="10"/>
      <c r="F86" s="10" t="str">
        <f t="shared" si="2"/>
        <v>gift-codes.html?game=人在塔在</v>
      </c>
      <c r="G86" s="10"/>
      <c r="H86" s="10" t="str">
        <f t="shared" si="3"/>
        <v>https://www.ssbuy.tw/game-detail.html?game=人在塔在</v>
      </c>
      <c r="I86" s="27" t="s">
        <v>1081</v>
      </c>
      <c r="J86" s="32" t="s">
        <v>1082</v>
      </c>
      <c r="K86" s="8">
        <v>2551</v>
      </c>
      <c r="L86" s="8" t="s">
        <v>1083</v>
      </c>
      <c r="M86" s="8">
        <v>1390</v>
      </c>
      <c r="N86" s="8" t="s">
        <v>966</v>
      </c>
      <c r="O86" s="8">
        <v>539</v>
      </c>
      <c r="P86" s="8" t="s">
        <v>1084</v>
      </c>
      <c r="Q86" s="8">
        <v>267</v>
      </c>
      <c r="R86" s="8" t="s">
        <v>1085</v>
      </c>
      <c r="S86" s="8">
        <v>137</v>
      </c>
      <c r="T86" s="8" t="s">
        <v>1086</v>
      </c>
      <c r="U86" s="8">
        <v>40</v>
      </c>
      <c r="V86" s="8"/>
      <c r="W86" s="8"/>
      <c r="X86" s="8"/>
      <c r="Y86" s="8"/>
      <c r="Z86" s="8"/>
      <c r="AA86" s="8"/>
      <c r="AB86" s="8"/>
      <c r="AC86" s="8"/>
      <c r="AD86" s="8"/>
      <c r="AE86" s="8"/>
      <c r="AF86" s="8"/>
      <c r="AG86" s="8"/>
      <c r="AH86" s="8"/>
      <c r="AI86" s="8"/>
      <c r="AJ86" s="8"/>
      <c r="AK86" s="8"/>
      <c r="AL86" s="8"/>
      <c r="AM86" s="8"/>
      <c r="AN86" s="8"/>
      <c r="AO86" s="8"/>
      <c r="AP86" s="8"/>
      <c r="AQ86" s="8"/>
    </row>
    <row r="87" spans="1:43" ht="23.25" customHeight="1" x14ac:dyDescent="0.3">
      <c r="A87" s="8" t="s">
        <v>1087</v>
      </c>
      <c r="B87" s="8"/>
      <c r="C87" s="8"/>
      <c r="D87" s="10"/>
      <c r="E87" s="10"/>
      <c r="F87" s="10" t="str">
        <f t="shared" si="2"/>
        <v>gift-codes.html?game=龍語霜城</v>
      </c>
      <c r="G87" s="10"/>
      <c r="H87" s="10" t="str">
        <f t="shared" si="3"/>
        <v>https://www.ssbuy.tw/game-detail.html?game=龍語霜城</v>
      </c>
      <c r="I87" s="27" t="s">
        <v>1088</v>
      </c>
      <c r="J87" s="32" t="s">
        <v>1089</v>
      </c>
      <c r="K87" s="8">
        <v>2551</v>
      </c>
      <c r="L87" s="8" t="s">
        <v>1090</v>
      </c>
      <c r="M87" s="8">
        <v>1323</v>
      </c>
      <c r="N87" s="8" t="s">
        <v>1091</v>
      </c>
      <c r="O87" s="8">
        <v>1100</v>
      </c>
      <c r="P87" s="8" t="s">
        <v>1092</v>
      </c>
      <c r="Q87" s="8">
        <v>820</v>
      </c>
      <c r="R87" s="8" t="s">
        <v>1093</v>
      </c>
      <c r="S87" s="8">
        <v>539</v>
      </c>
      <c r="T87" s="8" t="s">
        <v>1094</v>
      </c>
      <c r="U87" s="8">
        <v>420</v>
      </c>
      <c r="V87" s="8" t="s">
        <v>1095</v>
      </c>
      <c r="W87" s="8">
        <v>320</v>
      </c>
      <c r="X87" s="8" t="s">
        <v>1096</v>
      </c>
      <c r="Y87" s="8">
        <v>180</v>
      </c>
      <c r="Z87" s="8"/>
      <c r="AA87" s="8"/>
      <c r="AB87" s="8"/>
      <c r="AC87" s="8"/>
      <c r="AD87" s="8"/>
      <c r="AE87" s="8"/>
      <c r="AF87" s="8"/>
      <c r="AG87" s="8"/>
      <c r="AH87" s="8"/>
      <c r="AI87" s="8"/>
      <c r="AJ87" s="8"/>
      <c r="AK87" s="8"/>
      <c r="AL87" s="8"/>
      <c r="AM87" s="8"/>
      <c r="AN87" s="8"/>
      <c r="AO87" s="8"/>
      <c r="AP87" s="8"/>
      <c r="AQ87" s="8"/>
    </row>
    <row r="88" spans="1:43" ht="23.25" customHeight="1" x14ac:dyDescent="0.3">
      <c r="A88" s="8" t="s">
        <v>1097</v>
      </c>
      <c r="B88" s="8"/>
      <c r="C88" s="8"/>
      <c r="D88" s="10"/>
      <c r="E88" s="10"/>
      <c r="F88" s="10" t="str">
        <f t="shared" si="2"/>
        <v>gift-codes.html?game=洛伊的移動要塞</v>
      </c>
      <c r="G88" s="10"/>
      <c r="H88" s="10" t="str">
        <f t="shared" si="3"/>
        <v>https://www.ssbuy.tw/game-detail.html?game=洛伊的移動要塞</v>
      </c>
      <c r="I88" s="27" t="s">
        <v>1098</v>
      </c>
      <c r="J88" s="32" t="s">
        <v>1099</v>
      </c>
      <c r="K88" s="8">
        <v>2551</v>
      </c>
      <c r="L88" s="8" t="s">
        <v>1100</v>
      </c>
      <c r="M88" s="8">
        <v>2150</v>
      </c>
      <c r="N88" s="8" t="s">
        <v>1101</v>
      </c>
      <c r="O88" s="8">
        <v>2000</v>
      </c>
      <c r="P88" s="8" t="s">
        <v>1102</v>
      </c>
      <c r="Q88" s="8">
        <v>1700</v>
      </c>
      <c r="R88" s="8" t="s">
        <v>1103</v>
      </c>
      <c r="S88" s="8">
        <v>1323</v>
      </c>
      <c r="T88" s="8" t="s">
        <v>1104</v>
      </c>
      <c r="U88" s="8">
        <v>1100</v>
      </c>
      <c r="V88" s="8" t="s">
        <v>1105</v>
      </c>
      <c r="W88" s="8">
        <v>786</v>
      </c>
      <c r="X88" s="8" t="s">
        <v>1106</v>
      </c>
      <c r="Y88" s="8">
        <v>700</v>
      </c>
      <c r="Z88" s="8" t="s">
        <v>1107</v>
      </c>
      <c r="AA88" s="8">
        <v>620</v>
      </c>
      <c r="AB88" s="8" t="s">
        <v>1108</v>
      </c>
      <c r="AC88" s="8">
        <v>490</v>
      </c>
      <c r="AD88" s="8" t="s">
        <v>1109</v>
      </c>
      <c r="AE88" s="8">
        <v>450</v>
      </c>
      <c r="AF88" s="8" t="s">
        <v>1110</v>
      </c>
      <c r="AG88" s="8">
        <v>267</v>
      </c>
      <c r="AH88" s="8" t="s">
        <v>1111</v>
      </c>
      <c r="AI88" s="8">
        <v>180</v>
      </c>
      <c r="AJ88" s="8" t="s">
        <v>1112</v>
      </c>
      <c r="AK88" s="8">
        <v>137</v>
      </c>
      <c r="AL88" s="8"/>
      <c r="AM88" s="8"/>
      <c r="AN88" s="8"/>
      <c r="AO88" s="8"/>
      <c r="AP88" s="8"/>
      <c r="AQ88" s="8"/>
    </row>
    <row r="89" spans="1:43" ht="23.25" customHeight="1" x14ac:dyDescent="0.3">
      <c r="A89" s="8" t="s">
        <v>1113</v>
      </c>
      <c r="B89" s="8"/>
      <c r="C89" s="8"/>
      <c r="D89" s="10"/>
      <c r="E89" s="10"/>
      <c r="F89" s="10" t="str">
        <f t="shared" si="2"/>
        <v>gift-codes.html?game=喵喵王國</v>
      </c>
      <c r="G89" s="10"/>
      <c r="H89" s="10" t="str">
        <f t="shared" si="3"/>
        <v>https://www.ssbuy.tw/game-detail.html?game=喵喵王國</v>
      </c>
      <c r="I89" s="27" t="s">
        <v>1114</v>
      </c>
      <c r="J89" s="32" t="s">
        <v>1115</v>
      </c>
      <c r="K89" s="8">
        <v>2300</v>
      </c>
      <c r="L89" s="8" t="s">
        <v>1116</v>
      </c>
      <c r="M89" s="8">
        <v>1150</v>
      </c>
      <c r="N89" s="8" t="s">
        <v>1117</v>
      </c>
      <c r="O89" s="8">
        <v>650</v>
      </c>
      <c r="P89" s="8" t="s">
        <v>1118</v>
      </c>
      <c r="Q89" s="8">
        <v>267</v>
      </c>
      <c r="R89" s="8" t="s">
        <v>1119</v>
      </c>
      <c r="S89" s="8">
        <v>120</v>
      </c>
      <c r="T89" s="8" t="s">
        <v>1120</v>
      </c>
      <c r="U89" s="8">
        <v>30</v>
      </c>
      <c r="V89" s="8"/>
      <c r="W89" s="8"/>
      <c r="X89" s="8"/>
      <c r="Y89" s="8"/>
      <c r="Z89" s="8"/>
      <c r="AA89" s="8"/>
      <c r="AB89" s="8"/>
      <c r="AC89" s="8"/>
      <c r="AD89" s="8"/>
      <c r="AE89" s="8"/>
      <c r="AF89" s="8"/>
      <c r="AG89" s="8"/>
      <c r="AH89" s="8"/>
      <c r="AI89" s="8"/>
      <c r="AJ89" s="8"/>
      <c r="AK89" s="8"/>
      <c r="AL89" s="8"/>
      <c r="AM89" s="8"/>
      <c r="AN89" s="8"/>
      <c r="AO89" s="8"/>
      <c r="AP89" s="8"/>
      <c r="AQ89" s="8"/>
    </row>
    <row r="90" spans="1:43" ht="23.25" customHeight="1" x14ac:dyDescent="0.3">
      <c r="A90" s="8" t="s">
        <v>1121</v>
      </c>
      <c r="B90" s="8"/>
      <c r="C90" s="8"/>
      <c r="D90" s="10"/>
      <c r="E90" s="10"/>
      <c r="F90" s="10" t="str">
        <f t="shared" si="2"/>
        <v>gift-codes.html?game=東京謎影者</v>
      </c>
      <c r="G90" s="10"/>
      <c r="H90" s="10" t="str">
        <f t="shared" si="3"/>
        <v>https://www.ssbuy.tw/game-detail.html?game=東京謎影者</v>
      </c>
      <c r="I90" s="27" t="s">
        <v>1122</v>
      </c>
      <c r="J90" s="32" t="s">
        <v>1123</v>
      </c>
      <c r="K90" s="8">
        <v>2700</v>
      </c>
      <c r="L90" s="8" t="s">
        <v>1124</v>
      </c>
      <c r="M90" s="8">
        <v>1100</v>
      </c>
      <c r="N90" s="8" t="s">
        <v>1125</v>
      </c>
      <c r="O90" s="8">
        <v>539</v>
      </c>
      <c r="P90" s="8" t="s">
        <v>1126</v>
      </c>
      <c r="Q90" s="8">
        <v>267</v>
      </c>
      <c r="R90" s="8" t="s">
        <v>1127</v>
      </c>
      <c r="S90" s="8">
        <v>200</v>
      </c>
      <c r="T90" s="8" t="s">
        <v>1128</v>
      </c>
      <c r="U90" s="8">
        <v>60</v>
      </c>
      <c r="V90" s="8"/>
      <c r="W90" s="8"/>
      <c r="X90" s="8"/>
      <c r="Y90" s="8"/>
      <c r="Z90" s="8"/>
      <c r="AA90" s="8"/>
      <c r="AB90" s="8"/>
      <c r="AC90" s="8"/>
      <c r="AD90" s="8"/>
      <c r="AE90" s="8"/>
      <c r="AF90" s="8"/>
      <c r="AG90" s="8"/>
      <c r="AH90" s="8"/>
      <c r="AI90" s="8"/>
      <c r="AJ90" s="8"/>
      <c r="AK90" s="8"/>
      <c r="AL90" s="8"/>
      <c r="AM90" s="8"/>
      <c r="AN90" s="8"/>
      <c r="AO90" s="8"/>
      <c r="AP90" s="8"/>
      <c r="AQ90" s="8"/>
    </row>
    <row r="91" spans="1:43" ht="23.25" customHeight="1" x14ac:dyDescent="0.3">
      <c r="A91" s="8" t="s">
        <v>1129</v>
      </c>
      <c r="B91" s="8"/>
      <c r="C91" s="8"/>
      <c r="D91" s="10"/>
      <c r="E91" s="10"/>
      <c r="F91" s="10" t="str">
        <f t="shared" si="2"/>
        <v>gift-codes.html?game=戰極死遊</v>
      </c>
      <c r="G91" s="10"/>
      <c r="H91" s="10" t="str">
        <f t="shared" si="3"/>
        <v>https://www.ssbuy.tw/game-detail.html?game=戰極死遊</v>
      </c>
      <c r="I91" s="27" t="s">
        <v>1130</v>
      </c>
      <c r="J91" s="32" t="s">
        <v>1131</v>
      </c>
      <c r="K91" s="8">
        <v>1900</v>
      </c>
      <c r="L91" s="8" t="s">
        <v>1132</v>
      </c>
      <c r="M91" s="8">
        <v>1050</v>
      </c>
      <c r="N91" s="8" t="s">
        <v>1133</v>
      </c>
      <c r="O91" s="8">
        <v>540</v>
      </c>
      <c r="P91" s="8" t="s">
        <v>1134</v>
      </c>
      <c r="Q91" s="8">
        <v>190</v>
      </c>
      <c r="R91" s="8" t="s">
        <v>1135</v>
      </c>
      <c r="S91" s="8">
        <v>90</v>
      </c>
      <c r="T91" s="8" t="s">
        <v>1136</v>
      </c>
      <c r="U91" s="8">
        <v>35</v>
      </c>
      <c r="V91" s="8"/>
      <c r="W91" s="8"/>
      <c r="X91" s="8"/>
      <c r="Y91" s="8"/>
      <c r="Z91" s="8"/>
      <c r="AA91" s="8"/>
      <c r="AB91" s="8"/>
      <c r="AC91" s="8"/>
      <c r="AD91" s="8"/>
      <c r="AE91" s="8"/>
      <c r="AF91" s="8"/>
      <c r="AG91" s="8"/>
      <c r="AH91" s="8"/>
      <c r="AI91" s="8"/>
      <c r="AJ91" s="8"/>
      <c r="AK91" s="8"/>
      <c r="AL91" s="8"/>
      <c r="AM91" s="8"/>
      <c r="AN91" s="8"/>
      <c r="AO91" s="8"/>
      <c r="AP91" s="8"/>
      <c r="AQ91" s="8"/>
    </row>
    <row r="92" spans="1:43" ht="23.25" customHeight="1" x14ac:dyDescent="0.3">
      <c r="A92" s="8" t="s">
        <v>1137</v>
      </c>
      <c r="B92" s="8"/>
      <c r="C92" s="8"/>
      <c r="D92" s="10"/>
      <c r="E92" s="10"/>
      <c r="F92" s="10" t="str">
        <f t="shared" si="2"/>
        <v>gift-codes.html?game=進擊的蝸牛</v>
      </c>
      <c r="G92" s="10"/>
      <c r="H92" s="10" t="str">
        <f t="shared" si="3"/>
        <v>https://www.ssbuy.tw/game-detail.html?game=進擊的蝸牛</v>
      </c>
      <c r="I92" s="27" t="s">
        <v>1138</v>
      </c>
      <c r="J92" s="32" t="s">
        <v>1139</v>
      </c>
      <c r="K92" s="8">
        <v>2551</v>
      </c>
      <c r="L92" s="8" t="s">
        <v>1140</v>
      </c>
      <c r="M92" s="8">
        <v>1323</v>
      </c>
      <c r="N92" s="8" t="s">
        <v>1141</v>
      </c>
      <c r="O92" s="8">
        <v>539</v>
      </c>
      <c r="P92" s="8" t="s">
        <v>1142</v>
      </c>
      <c r="Q92" s="8">
        <v>267</v>
      </c>
      <c r="R92" s="8" t="s">
        <v>1143</v>
      </c>
      <c r="S92" s="8">
        <v>137</v>
      </c>
      <c r="T92" s="8" t="s">
        <v>1144</v>
      </c>
      <c r="U92" s="8">
        <v>40</v>
      </c>
      <c r="V92" s="8"/>
      <c r="W92" s="8"/>
      <c r="X92" s="8"/>
      <c r="Y92" s="8"/>
      <c r="Z92" s="8"/>
      <c r="AA92" s="8"/>
      <c r="AB92" s="8"/>
      <c r="AC92" s="8"/>
      <c r="AD92" s="8"/>
      <c r="AE92" s="8"/>
      <c r="AF92" s="8"/>
      <c r="AG92" s="8"/>
      <c r="AH92" s="8"/>
      <c r="AI92" s="8"/>
      <c r="AJ92" s="8"/>
      <c r="AK92" s="8"/>
      <c r="AL92" s="8"/>
      <c r="AM92" s="8"/>
      <c r="AN92" s="8"/>
      <c r="AO92" s="8"/>
      <c r="AP92" s="8"/>
      <c r="AQ92" s="8"/>
    </row>
    <row r="93" spans="1:43" ht="23.25" customHeight="1" x14ac:dyDescent="0.3">
      <c r="A93" s="8" t="s">
        <v>1145</v>
      </c>
      <c r="B93" s="8"/>
      <c r="C93" s="8"/>
      <c r="D93" s="10"/>
      <c r="E93" s="10"/>
      <c r="F93" s="10" t="str">
        <f t="shared" si="2"/>
        <v>gift-codes.html?game=純白大作戰</v>
      </c>
      <c r="G93" s="10"/>
      <c r="H93" s="10" t="str">
        <f t="shared" si="3"/>
        <v>https://www.ssbuy.tw/game-detail.html?game=純白大作戰</v>
      </c>
      <c r="I93" s="27" t="s">
        <v>1146</v>
      </c>
      <c r="J93" s="32" t="s">
        <v>1147</v>
      </c>
      <c r="K93" s="8">
        <v>2551</v>
      </c>
      <c r="L93" s="8" t="s">
        <v>1148</v>
      </c>
      <c r="M93" s="8">
        <v>1323</v>
      </c>
      <c r="N93" s="8" t="s">
        <v>1149</v>
      </c>
      <c r="O93" s="8">
        <v>786</v>
      </c>
      <c r="P93" s="8" t="s">
        <v>1150</v>
      </c>
      <c r="Q93" s="8">
        <v>450</v>
      </c>
      <c r="R93" s="8" t="s">
        <v>1151</v>
      </c>
      <c r="S93" s="8">
        <v>137</v>
      </c>
      <c r="T93" s="8" t="s">
        <v>1152</v>
      </c>
      <c r="U93" s="8">
        <v>60</v>
      </c>
      <c r="V93" s="8"/>
      <c r="W93" s="8"/>
      <c r="X93" s="8"/>
      <c r="Y93" s="8"/>
      <c r="Z93" s="8"/>
      <c r="AA93" s="8"/>
      <c r="AB93" s="8"/>
      <c r="AC93" s="8"/>
      <c r="AD93" s="8"/>
      <c r="AE93" s="8"/>
      <c r="AF93" s="8"/>
      <c r="AG93" s="8"/>
      <c r="AH93" s="8"/>
      <c r="AI93" s="8"/>
      <c r="AJ93" s="8"/>
      <c r="AK93" s="8"/>
      <c r="AL93" s="8"/>
      <c r="AM93" s="8"/>
      <c r="AN93" s="8"/>
      <c r="AO93" s="8"/>
      <c r="AP93" s="8"/>
      <c r="AQ93" s="8"/>
    </row>
    <row r="94" spans="1:43" ht="23.25" customHeight="1" x14ac:dyDescent="0.3">
      <c r="A94" s="8" t="s">
        <v>1153</v>
      </c>
      <c r="B94" s="8"/>
      <c r="C94" s="8"/>
      <c r="D94" s="10"/>
      <c r="E94" s="10"/>
      <c r="F94" s="10" t="str">
        <f t="shared" si="2"/>
        <v>gift-codes.html?game=黑星勇者</v>
      </c>
      <c r="G94" s="10"/>
      <c r="H94" s="10" t="str">
        <f t="shared" si="3"/>
        <v>https://www.ssbuy.tw/game-detail.html?game=黑星勇者</v>
      </c>
      <c r="I94" s="27" t="s">
        <v>1154</v>
      </c>
      <c r="J94" s="32" t="s">
        <v>1155</v>
      </c>
      <c r="K94" s="8">
        <v>2551</v>
      </c>
      <c r="L94" s="8" t="s">
        <v>1156</v>
      </c>
      <c r="M94" s="8">
        <v>1323</v>
      </c>
      <c r="N94" s="8" t="s">
        <v>1157</v>
      </c>
      <c r="O94" s="8">
        <v>630</v>
      </c>
      <c r="P94" s="8" t="s">
        <v>1158</v>
      </c>
      <c r="Q94" s="8">
        <v>267</v>
      </c>
      <c r="R94" s="8" t="s">
        <v>1159</v>
      </c>
      <c r="S94" s="8">
        <v>137</v>
      </c>
      <c r="T94" s="8" t="s">
        <v>1160</v>
      </c>
      <c r="U94" s="8">
        <v>40</v>
      </c>
      <c r="V94" s="8"/>
      <c r="W94" s="8"/>
      <c r="X94" s="8"/>
      <c r="Y94" s="8"/>
      <c r="Z94" s="8"/>
      <c r="AA94" s="8"/>
      <c r="AB94" s="8"/>
      <c r="AC94" s="8"/>
      <c r="AD94" s="8"/>
      <c r="AE94" s="8"/>
      <c r="AF94" s="8"/>
      <c r="AG94" s="8"/>
      <c r="AH94" s="8"/>
      <c r="AI94" s="8"/>
      <c r="AJ94" s="8"/>
      <c r="AK94" s="8"/>
      <c r="AL94" s="8"/>
      <c r="AM94" s="8"/>
      <c r="AN94" s="8"/>
      <c r="AO94" s="8"/>
      <c r="AP94" s="8"/>
      <c r="AQ94" s="8"/>
    </row>
    <row r="95" spans="1:43" ht="23.25" customHeight="1" x14ac:dyDescent="0.3">
      <c r="A95" s="8" t="s">
        <v>1161</v>
      </c>
      <c r="B95" s="8"/>
      <c r="C95" s="8"/>
      <c r="D95" s="10"/>
      <c r="E95" s="10"/>
      <c r="F95" s="8" t="str">
        <f t="shared" si="2"/>
        <v>gift-codes.html?game=龍之谷：經典再現</v>
      </c>
      <c r="G95" s="10"/>
      <c r="H95" s="10" t="str">
        <f t="shared" si="3"/>
        <v>https://www.ssbuy.tw/game-detail.html?game=龍之谷：經典再現</v>
      </c>
      <c r="I95" s="27" t="s">
        <v>1162</v>
      </c>
      <c r="J95" s="32" t="s">
        <v>1163</v>
      </c>
      <c r="K95" s="8">
        <v>2551</v>
      </c>
      <c r="L95" s="8" t="s">
        <v>1164</v>
      </c>
      <c r="M95" s="8">
        <v>1323</v>
      </c>
      <c r="N95" s="8" t="s">
        <v>1165</v>
      </c>
      <c r="O95" s="8">
        <v>990</v>
      </c>
      <c r="P95" s="8" t="s">
        <v>1166</v>
      </c>
      <c r="Q95" s="8">
        <v>540</v>
      </c>
      <c r="R95" s="8" t="s">
        <v>1167</v>
      </c>
      <c r="S95" s="8">
        <v>270</v>
      </c>
      <c r="T95" s="8" t="s">
        <v>1168</v>
      </c>
      <c r="U95" s="8">
        <v>137</v>
      </c>
      <c r="V95" s="8" t="s">
        <v>1169</v>
      </c>
      <c r="W95" s="8">
        <v>40</v>
      </c>
      <c r="X95" s="8"/>
      <c r="Y95" s="8"/>
      <c r="Z95" s="8"/>
      <c r="AA95" s="8"/>
      <c r="AB95" s="8"/>
      <c r="AC95" s="8"/>
      <c r="AD95" s="8"/>
      <c r="AE95" s="8"/>
      <c r="AF95" s="8"/>
      <c r="AG95" s="8"/>
      <c r="AH95" s="8"/>
      <c r="AI95" s="8"/>
      <c r="AJ95" s="8"/>
      <c r="AK95" s="8"/>
      <c r="AL95" s="8"/>
      <c r="AM95" s="8"/>
      <c r="AN95" s="8"/>
      <c r="AO95" s="8"/>
      <c r="AP95" s="8"/>
      <c r="AQ95" s="8"/>
    </row>
    <row r="96" spans="1:43" ht="23.25" customHeight="1" x14ac:dyDescent="0.3">
      <c r="A96" s="8" t="s">
        <v>1170</v>
      </c>
      <c r="B96" s="8"/>
      <c r="C96" s="8"/>
      <c r="D96" s="10"/>
      <c r="E96" s="10"/>
      <c r="F96" s="8" t="str">
        <f t="shared" si="2"/>
        <v>gift-codes.html?game=楓之谷Artale</v>
      </c>
      <c r="G96" s="10"/>
      <c r="H96" s="10" t="str">
        <f t="shared" si="3"/>
        <v>https://www.ssbuy.tw/game-detail.html?game=楓之谷Artale</v>
      </c>
      <c r="I96" s="27" t="s">
        <v>1171</v>
      </c>
      <c r="J96" s="32" t="s">
        <v>1172</v>
      </c>
      <c r="K96" s="8">
        <v>1580</v>
      </c>
      <c r="L96" s="8"/>
      <c r="M96" s="8"/>
      <c r="N96" s="8"/>
      <c r="O96" s="8"/>
      <c r="P96" s="8"/>
      <c r="Q96" s="8"/>
      <c r="R96" s="8"/>
      <c r="S96" s="8"/>
      <c r="T96" s="8"/>
      <c r="U96" s="8"/>
      <c r="V96" s="8"/>
      <c r="W96" s="8"/>
      <c r="X96" s="8"/>
      <c r="Y96" s="8"/>
      <c r="Z96" s="8"/>
      <c r="AA96" s="8"/>
      <c r="AB96" s="8"/>
      <c r="AC96" s="8"/>
      <c r="AD96" s="8"/>
      <c r="AE96" s="8"/>
      <c r="AF96" s="8"/>
      <c r="AG96" s="8"/>
      <c r="AH96" s="8"/>
      <c r="AI96" s="8"/>
      <c r="AJ96" s="8"/>
      <c r="AK96" s="8"/>
      <c r="AL96" s="8"/>
      <c r="AM96" s="8"/>
      <c r="AN96" s="8"/>
      <c r="AO96" s="8"/>
      <c r="AP96" s="8"/>
      <c r="AQ96" s="8"/>
    </row>
    <row r="97" spans="1:43" ht="23.25" customHeight="1" x14ac:dyDescent="0.3">
      <c r="A97" s="8" t="s">
        <v>1173</v>
      </c>
      <c r="B97" s="8"/>
      <c r="C97" s="8"/>
      <c r="D97" s="10"/>
      <c r="E97" s="10"/>
      <c r="F97" s="8" t="str">
        <f t="shared" si="2"/>
        <v>gift-codes.html?game=出發吧麥芬</v>
      </c>
      <c r="G97" s="10"/>
      <c r="H97" s="10" t="str">
        <f t="shared" si="3"/>
        <v>https://www.ssbuy.tw/game-detail.html?game=出發吧麥芬</v>
      </c>
      <c r="I97" s="27" t="s">
        <v>1174</v>
      </c>
      <c r="J97" s="32" t="s">
        <v>1175</v>
      </c>
      <c r="K97" s="8">
        <v>2390</v>
      </c>
      <c r="L97" s="8" t="s">
        <v>1176</v>
      </c>
      <c r="M97" s="8">
        <v>1380</v>
      </c>
      <c r="N97" s="8" t="s">
        <v>1177</v>
      </c>
      <c r="O97" s="8">
        <v>810</v>
      </c>
      <c r="P97" s="8" t="s">
        <v>1178</v>
      </c>
      <c r="Q97" s="8">
        <v>410</v>
      </c>
      <c r="R97" s="8" t="s">
        <v>1179</v>
      </c>
      <c r="S97" s="8">
        <v>270</v>
      </c>
      <c r="T97" s="8" t="s">
        <v>1180</v>
      </c>
      <c r="U97" s="8">
        <v>40</v>
      </c>
      <c r="V97" s="8"/>
      <c r="W97" s="8"/>
      <c r="X97" s="8"/>
      <c r="Y97" s="8"/>
      <c r="Z97" s="8"/>
      <c r="AA97" s="8"/>
      <c r="AB97" s="8"/>
      <c r="AC97" s="8"/>
      <c r="AD97" s="8"/>
      <c r="AE97" s="8"/>
      <c r="AF97" s="8"/>
      <c r="AG97" s="8"/>
      <c r="AH97" s="8"/>
      <c r="AI97" s="8"/>
      <c r="AJ97" s="8"/>
      <c r="AK97" s="8"/>
      <c r="AL97" s="8"/>
      <c r="AM97" s="8"/>
      <c r="AN97" s="8"/>
      <c r="AO97" s="8"/>
      <c r="AP97" s="8"/>
      <c r="AQ97" s="8"/>
    </row>
    <row r="98" spans="1:43" ht="23.25" customHeight="1" x14ac:dyDescent="0.3">
      <c r="A98" s="8" t="s">
        <v>1181</v>
      </c>
      <c r="B98" s="8"/>
      <c r="C98" s="8"/>
      <c r="D98" s="10"/>
      <c r="E98" s="10"/>
      <c r="F98" s="8" t="str">
        <f t="shared" si="2"/>
        <v>gift-codes.html?game=RO仙境傳說：守護永恆的愛 Classic</v>
      </c>
      <c r="G98" s="10"/>
      <c r="H98" s="10" t="str">
        <f t="shared" si="3"/>
        <v>https://www.ssbuy.tw/game-detail.html?game=RO仙境傳說：守護永恆的愛 Classic</v>
      </c>
      <c r="I98" s="27" t="s">
        <v>1182</v>
      </c>
      <c r="J98" s="32" t="s">
        <v>1183</v>
      </c>
      <c r="K98" s="8">
        <v>2320</v>
      </c>
      <c r="L98" s="8" t="s">
        <v>1184</v>
      </c>
      <c r="M98" s="8">
        <v>1330</v>
      </c>
      <c r="N98" s="8" t="s">
        <v>1185</v>
      </c>
      <c r="O98" s="8">
        <v>520</v>
      </c>
      <c r="P98" s="8" t="s">
        <v>1186</v>
      </c>
      <c r="Q98" s="8">
        <v>267</v>
      </c>
      <c r="R98" s="8" t="s">
        <v>1187</v>
      </c>
      <c r="S98" s="8">
        <v>137</v>
      </c>
      <c r="T98" s="8" t="s">
        <v>1188</v>
      </c>
      <c r="U98" s="8">
        <v>90</v>
      </c>
      <c r="V98" s="8"/>
      <c r="W98" s="8"/>
      <c r="X98" s="8"/>
      <c r="Y98" s="8"/>
      <c r="Z98" s="8"/>
      <c r="AA98" s="8"/>
      <c r="AB98" s="8"/>
      <c r="AC98" s="8"/>
      <c r="AD98" s="8"/>
      <c r="AE98" s="8"/>
      <c r="AF98" s="8"/>
      <c r="AG98" s="8"/>
      <c r="AH98" s="8"/>
      <c r="AI98" s="8"/>
      <c r="AJ98" s="8"/>
      <c r="AK98" s="8"/>
      <c r="AL98" s="8"/>
      <c r="AM98" s="8"/>
      <c r="AN98" s="8"/>
      <c r="AO98" s="8"/>
      <c r="AP98" s="8"/>
      <c r="AQ98" s="8"/>
    </row>
    <row r="99" spans="1:43" ht="23.25" customHeight="1" x14ac:dyDescent="0.3">
      <c r="A99" s="8" t="s">
        <v>1189</v>
      </c>
      <c r="B99" s="8"/>
      <c r="C99" s="8"/>
      <c r="D99" s="10"/>
      <c r="E99" s="10"/>
      <c r="F99" s="8" t="str">
        <f t="shared" si="2"/>
        <v>gift-codes.html?game=魔力寶貝：復興</v>
      </c>
      <c r="G99" s="10"/>
      <c r="H99" s="10" t="str">
        <f t="shared" si="3"/>
        <v>https://www.ssbuy.tw/game-detail.html?game=魔力寶貝：復興</v>
      </c>
      <c r="I99" s="27" t="s">
        <v>1190</v>
      </c>
      <c r="J99" s="32" t="s">
        <v>1191</v>
      </c>
      <c r="K99" s="8">
        <v>2290</v>
      </c>
      <c r="L99" s="8" t="s">
        <v>1192</v>
      </c>
      <c r="M99" s="8">
        <v>2000</v>
      </c>
      <c r="N99" s="8" t="s">
        <v>1193</v>
      </c>
      <c r="O99" s="8">
        <v>1150</v>
      </c>
      <c r="P99" s="8" t="s">
        <v>1194</v>
      </c>
      <c r="Q99" s="8">
        <v>786</v>
      </c>
      <c r="R99" s="8" t="s">
        <v>1195</v>
      </c>
      <c r="S99" s="8">
        <v>450</v>
      </c>
      <c r="T99" s="8" t="s">
        <v>1196</v>
      </c>
      <c r="U99" s="8">
        <v>260</v>
      </c>
      <c r="V99" s="8" t="s">
        <v>1197</v>
      </c>
      <c r="W99" s="8">
        <v>137</v>
      </c>
      <c r="X99" s="8" t="s">
        <v>1198</v>
      </c>
      <c r="Y99" s="8">
        <v>50</v>
      </c>
      <c r="Z99" s="8"/>
      <c r="AA99" s="8"/>
      <c r="AB99" s="8"/>
      <c r="AC99" s="8"/>
      <c r="AD99" s="8"/>
      <c r="AE99" s="8"/>
      <c r="AF99" s="8"/>
      <c r="AG99" s="8"/>
      <c r="AH99" s="8"/>
      <c r="AI99" s="8"/>
      <c r="AJ99" s="8"/>
      <c r="AK99" s="8"/>
      <c r="AL99" s="8"/>
      <c r="AM99" s="8"/>
      <c r="AN99" s="8"/>
      <c r="AO99" s="8"/>
      <c r="AP99" s="8"/>
      <c r="AQ99" s="8"/>
    </row>
    <row r="100" spans="1:43" ht="23.25" customHeight="1" x14ac:dyDescent="0.3">
      <c r="A100" s="8" t="s">
        <v>1199</v>
      </c>
      <c r="B100" s="8"/>
      <c r="C100" s="8"/>
      <c r="D100" s="10"/>
      <c r="E100" s="10"/>
      <c r="F100" s="8" t="str">
        <f t="shared" si="2"/>
        <v>gift-codes.html?game=東京喰種Awakening</v>
      </c>
      <c r="G100" s="10"/>
      <c r="H100" s="10" t="str">
        <f t="shared" si="3"/>
        <v>https://www.ssbuy.tw/game-detail.html?game=東京喰種Awakening</v>
      </c>
      <c r="I100" s="27" t="s">
        <v>1200</v>
      </c>
      <c r="J100" s="32" t="s">
        <v>1201</v>
      </c>
      <c r="K100" s="8">
        <v>2551</v>
      </c>
      <c r="L100" s="8" t="s">
        <v>1202</v>
      </c>
      <c r="M100" s="8">
        <v>1370</v>
      </c>
      <c r="N100" s="8" t="s">
        <v>1203</v>
      </c>
      <c r="O100" s="8">
        <v>740</v>
      </c>
      <c r="P100" s="8" t="s">
        <v>1204</v>
      </c>
      <c r="Q100" s="8">
        <v>394</v>
      </c>
      <c r="R100" s="8" t="s">
        <v>1205</v>
      </c>
      <c r="S100" s="8">
        <v>137</v>
      </c>
      <c r="T100" s="8" t="s">
        <v>1206</v>
      </c>
      <c r="U100" s="8">
        <v>40</v>
      </c>
      <c r="V100" s="8"/>
      <c r="W100" s="8"/>
      <c r="X100" s="8"/>
      <c r="Y100" s="8"/>
      <c r="Z100" s="8"/>
      <c r="AA100" s="8"/>
      <c r="AB100" s="8"/>
      <c r="AC100" s="8"/>
      <c r="AD100" s="8"/>
      <c r="AE100" s="8"/>
      <c r="AF100" s="8"/>
      <c r="AG100" s="8"/>
      <c r="AH100" s="8"/>
      <c r="AI100" s="8"/>
      <c r="AJ100" s="8"/>
      <c r="AK100" s="8"/>
      <c r="AL100" s="8"/>
      <c r="AM100" s="8"/>
      <c r="AN100" s="8"/>
      <c r="AO100" s="8"/>
      <c r="AP100" s="8"/>
      <c r="AQ100" s="8"/>
    </row>
    <row r="101" spans="1:43" ht="23.25" customHeight="1" x14ac:dyDescent="0.3">
      <c r="A101" s="8" t="s">
        <v>1207</v>
      </c>
      <c r="B101" s="8"/>
      <c r="C101" s="8"/>
      <c r="D101" s="10"/>
      <c r="E101" s="10"/>
      <c r="F101" s="8" t="str">
        <f t="shared" si="2"/>
        <v>gift-codes.html?game=晶核</v>
      </c>
      <c r="G101" s="10"/>
      <c r="H101" s="10" t="str">
        <f t="shared" si="3"/>
        <v>https://www.ssbuy.tw/game-detail.html?game=晶核</v>
      </c>
      <c r="I101" s="27" t="s">
        <v>1208</v>
      </c>
      <c r="J101" s="32" t="s">
        <v>1209</v>
      </c>
      <c r="K101" s="8">
        <v>2420</v>
      </c>
      <c r="L101" s="8" t="s">
        <v>1210</v>
      </c>
      <c r="M101" s="8">
        <v>1340</v>
      </c>
      <c r="N101" s="8" t="s">
        <v>1211</v>
      </c>
      <c r="O101" s="8">
        <v>786</v>
      </c>
      <c r="P101" s="8" t="s">
        <v>1212</v>
      </c>
      <c r="Q101" s="8">
        <v>394</v>
      </c>
      <c r="R101" s="8" t="s">
        <v>1213</v>
      </c>
      <c r="S101" s="8">
        <v>137</v>
      </c>
      <c r="T101" s="8" t="s">
        <v>1214</v>
      </c>
      <c r="U101" s="8">
        <v>40</v>
      </c>
      <c r="V101" s="8" t="s">
        <v>1215</v>
      </c>
      <c r="W101" s="8">
        <v>137</v>
      </c>
      <c r="X101" s="8"/>
      <c r="Y101" s="8"/>
      <c r="Z101" s="8"/>
      <c r="AA101" s="8"/>
      <c r="AB101" s="8"/>
      <c r="AC101" s="8"/>
      <c r="AD101" s="8"/>
      <c r="AE101" s="8"/>
      <c r="AF101" s="8"/>
      <c r="AG101" s="8"/>
      <c r="AH101" s="8"/>
      <c r="AI101" s="8"/>
      <c r="AJ101" s="8"/>
      <c r="AK101" s="8"/>
      <c r="AL101" s="8"/>
      <c r="AM101" s="8"/>
      <c r="AN101" s="8"/>
      <c r="AO101" s="8"/>
      <c r="AP101" s="8"/>
      <c r="AQ101" s="8"/>
    </row>
    <row r="102" spans="1:43" ht="23.25" customHeight="1" thickBot="1" x14ac:dyDescent="0.35">
      <c r="A102" s="8" t="s">
        <v>1216</v>
      </c>
      <c r="B102" s="8"/>
      <c r="C102" s="8"/>
      <c r="D102" s="10"/>
      <c r="E102" s="10"/>
      <c r="F102" s="8" t="str">
        <f t="shared" si="2"/>
        <v>gift-codes.html?game=無盡夢迴</v>
      </c>
      <c r="G102" s="10"/>
      <c r="H102" s="10" t="str">
        <f t="shared" si="3"/>
        <v>https://www.ssbuy.tw/game-detail.html?game=無盡夢迴</v>
      </c>
      <c r="I102" s="27" t="s">
        <v>1217</v>
      </c>
      <c r="J102" s="32" t="s">
        <v>1218</v>
      </c>
      <c r="K102" s="8">
        <v>2520</v>
      </c>
      <c r="L102" s="8" t="s">
        <v>1219</v>
      </c>
      <c r="M102" s="8">
        <v>1330</v>
      </c>
      <c r="N102" s="8" t="s">
        <v>1220</v>
      </c>
      <c r="O102" s="8">
        <v>830</v>
      </c>
      <c r="P102" s="8" t="s">
        <v>1221</v>
      </c>
      <c r="Q102" s="8">
        <v>420</v>
      </c>
      <c r="R102" s="8" t="s">
        <v>1222</v>
      </c>
      <c r="S102" s="8">
        <v>137</v>
      </c>
      <c r="T102" s="8" t="s">
        <v>1223</v>
      </c>
      <c r="U102" s="8">
        <v>40</v>
      </c>
      <c r="V102" s="8" t="s">
        <v>1224</v>
      </c>
      <c r="W102" s="8">
        <v>137</v>
      </c>
      <c r="X102" s="8"/>
      <c r="Y102" s="8"/>
      <c r="Z102" s="8"/>
      <c r="AA102" s="8"/>
      <c r="AB102" s="8"/>
      <c r="AC102" s="8"/>
      <c r="AD102" s="8"/>
      <c r="AE102" s="8"/>
      <c r="AF102" s="8"/>
      <c r="AG102" s="8"/>
      <c r="AH102" s="8"/>
      <c r="AI102" s="8"/>
      <c r="AJ102" s="8"/>
      <c r="AK102" s="8"/>
      <c r="AL102" s="8"/>
      <c r="AM102" s="8"/>
      <c r="AN102" s="8"/>
      <c r="AO102" s="8"/>
      <c r="AP102" s="8"/>
      <c r="AQ102" s="8"/>
    </row>
    <row r="103" spans="1:43" ht="23.25" customHeight="1" thickBot="1" x14ac:dyDescent="0.35">
      <c r="A103" s="16" t="s">
        <v>1225</v>
      </c>
      <c r="B103" s="8"/>
      <c r="C103" s="8"/>
      <c r="D103" s="10"/>
      <c r="E103" s="10"/>
      <c r="F103" s="8" t="str">
        <f t="shared" si="2"/>
        <v>gift-codes.html?game=RO仙境傳說：放推冒險團</v>
      </c>
      <c r="G103" s="10"/>
      <c r="H103" s="10" t="str">
        <f t="shared" si="3"/>
        <v>https://www.ssbuy.tw/game-detail.html?game=RO仙境傳說：放推冒險團</v>
      </c>
      <c r="I103" s="27" t="s">
        <v>1226</v>
      </c>
      <c r="J103" s="35" t="s">
        <v>1227</v>
      </c>
      <c r="K103" s="12">
        <v>2551</v>
      </c>
      <c r="L103" s="11" t="s">
        <v>1228</v>
      </c>
      <c r="M103" s="12">
        <v>1323</v>
      </c>
      <c r="N103" s="11" t="s">
        <v>1229</v>
      </c>
      <c r="O103" s="12">
        <v>539</v>
      </c>
      <c r="P103" s="11" t="s">
        <v>1230</v>
      </c>
      <c r="Q103" s="12">
        <v>394</v>
      </c>
      <c r="R103" s="11" t="s">
        <v>1231</v>
      </c>
      <c r="S103" s="12">
        <v>137</v>
      </c>
      <c r="T103" s="11" t="s">
        <v>1232</v>
      </c>
      <c r="U103" s="12">
        <v>35</v>
      </c>
      <c r="V103" s="8"/>
      <c r="W103" s="8"/>
      <c r="X103" s="8"/>
      <c r="Y103" s="8"/>
      <c r="Z103" s="8"/>
      <c r="AA103" s="8"/>
      <c r="AB103" s="8"/>
      <c r="AC103" s="8"/>
      <c r="AD103" s="8"/>
      <c r="AE103" s="8"/>
      <c r="AF103" s="8"/>
      <c r="AG103" s="8"/>
      <c r="AH103" s="8"/>
      <c r="AI103" s="8"/>
      <c r="AJ103" s="8"/>
      <c r="AK103" s="8"/>
      <c r="AL103" s="8"/>
      <c r="AM103" s="8"/>
      <c r="AN103" s="8"/>
      <c r="AO103" s="8"/>
      <c r="AP103" s="8"/>
      <c r="AQ103" s="8"/>
    </row>
    <row r="104" spans="1:43" ht="23.25" customHeight="1" thickBot="1" x14ac:dyDescent="0.35">
      <c r="A104" s="16" t="s">
        <v>1233</v>
      </c>
      <c r="B104" s="8"/>
      <c r="C104" s="8"/>
      <c r="D104" s="10"/>
      <c r="E104" s="10"/>
      <c r="F104" s="8" t="str">
        <f t="shared" si="2"/>
        <v>gift-codes.html?game=英雄刷刷刷</v>
      </c>
      <c r="G104" s="10"/>
      <c r="H104" s="10" t="str">
        <f t="shared" si="3"/>
        <v>https://www.ssbuy.tw/game-detail.html?game=英雄刷刷刷</v>
      </c>
      <c r="I104" s="27" t="s">
        <v>1234</v>
      </c>
      <c r="J104" s="35" t="s">
        <v>1235</v>
      </c>
      <c r="K104" s="12">
        <v>2551</v>
      </c>
      <c r="L104" s="11" t="s">
        <v>1236</v>
      </c>
      <c r="M104" s="12">
        <v>1323</v>
      </c>
      <c r="N104" s="11" t="s">
        <v>1237</v>
      </c>
      <c r="O104" s="12">
        <v>812</v>
      </c>
      <c r="P104" s="11" t="s">
        <v>1238</v>
      </c>
      <c r="Q104" s="12">
        <v>539</v>
      </c>
      <c r="R104" s="11" t="s">
        <v>1239</v>
      </c>
      <c r="S104" s="12">
        <v>394</v>
      </c>
      <c r="T104" s="11" t="s">
        <v>1240</v>
      </c>
      <c r="U104" s="12">
        <v>267</v>
      </c>
      <c r="V104" s="11" t="s">
        <v>1241</v>
      </c>
      <c r="W104" s="12">
        <v>137</v>
      </c>
      <c r="X104" s="11" t="s">
        <v>1242</v>
      </c>
      <c r="Y104" s="8">
        <v>89</v>
      </c>
      <c r="Z104" s="11" t="s">
        <v>1243</v>
      </c>
      <c r="AA104" s="8">
        <v>53</v>
      </c>
      <c r="AB104" s="11" t="s">
        <v>1244</v>
      </c>
      <c r="AC104" s="8">
        <v>30</v>
      </c>
      <c r="AD104" s="8"/>
      <c r="AE104" s="8"/>
      <c r="AF104" s="8"/>
      <c r="AG104" s="8"/>
      <c r="AH104" s="8"/>
      <c r="AI104" s="8"/>
      <c r="AJ104" s="8"/>
      <c r="AK104" s="8"/>
      <c r="AL104" s="8"/>
      <c r="AM104" s="8"/>
      <c r="AN104" s="8"/>
      <c r="AO104" s="8"/>
      <c r="AP104" s="8"/>
      <c r="AQ104" s="8"/>
    </row>
    <row r="105" spans="1:43" ht="23.25" customHeight="1" thickBot="1" x14ac:dyDescent="0.35">
      <c r="A105" s="11" t="s">
        <v>1245</v>
      </c>
      <c r="B105" s="8"/>
      <c r="C105" s="8"/>
      <c r="D105" s="10"/>
      <c r="E105" s="10"/>
      <c r="F105" s="8" t="str">
        <f t="shared" si="2"/>
        <v>gift-codes.html?game=萬靈物語</v>
      </c>
      <c r="G105" s="10"/>
      <c r="H105" s="10" t="str">
        <f t="shared" si="3"/>
        <v>https://www.ssbuy.tw/game-detail.html?game=萬靈物語</v>
      </c>
      <c r="I105" s="27" t="s">
        <v>1246</v>
      </c>
      <c r="J105" s="35" t="s">
        <v>12</v>
      </c>
      <c r="K105" s="12">
        <v>2551</v>
      </c>
      <c r="L105" s="11" t="s">
        <v>13</v>
      </c>
      <c r="M105" s="12">
        <v>1323</v>
      </c>
      <c r="N105" s="11" t="s">
        <v>14</v>
      </c>
      <c r="O105" s="12">
        <v>539</v>
      </c>
      <c r="P105" s="11" t="s">
        <v>15</v>
      </c>
      <c r="Q105" s="12">
        <v>394</v>
      </c>
      <c r="R105" s="11" t="s">
        <v>16</v>
      </c>
      <c r="S105" s="12">
        <v>137</v>
      </c>
      <c r="T105" s="11" t="s">
        <v>7</v>
      </c>
      <c r="U105" s="12">
        <v>35</v>
      </c>
      <c r="V105" s="8"/>
      <c r="W105" s="8"/>
      <c r="X105" s="8"/>
      <c r="Y105" s="8"/>
      <c r="Z105" s="8"/>
      <c r="AA105" s="8"/>
      <c r="AB105" s="8"/>
      <c r="AC105" s="8"/>
      <c r="AD105" s="8"/>
      <c r="AE105" s="8"/>
      <c r="AF105" s="8"/>
      <c r="AG105" s="8"/>
      <c r="AH105" s="8"/>
      <c r="AI105" s="8"/>
      <c r="AJ105" s="8"/>
      <c r="AK105" s="8"/>
      <c r="AL105" s="8"/>
      <c r="AM105" s="8"/>
      <c r="AN105" s="8"/>
      <c r="AO105" s="8"/>
      <c r="AP105" s="8"/>
      <c r="AQ105" s="8"/>
    </row>
    <row r="106" spans="1:43" ht="23.25" customHeight="1" thickBot="1" x14ac:dyDescent="0.35">
      <c r="A106" s="11" t="s">
        <v>1247</v>
      </c>
      <c r="B106" s="8"/>
      <c r="C106" s="8"/>
      <c r="D106" s="10"/>
      <c r="E106" s="10"/>
      <c r="F106" s="8" t="str">
        <f t="shared" si="2"/>
        <v>gift-codes.html?game=斗羅大陸：逆轉時空</v>
      </c>
      <c r="G106" s="10"/>
      <c r="H106" s="10" t="str">
        <f t="shared" si="3"/>
        <v>https://www.ssbuy.tw/game-detail.html?game=斗羅大陸：逆轉時空</v>
      </c>
      <c r="I106" s="27" t="s">
        <v>1248</v>
      </c>
      <c r="J106" s="35" t="s">
        <v>1249</v>
      </c>
      <c r="K106" s="12">
        <v>2551</v>
      </c>
      <c r="L106" s="11" t="s">
        <v>1250</v>
      </c>
      <c r="M106" s="12">
        <v>1323</v>
      </c>
      <c r="N106" s="11" t="s">
        <v>1251</v>
      </c>
      <c r="O106" s="12">
        <v>803</v>
      </c>
      <c r="P106" s="11" t="s">
        <v>1252</v>
      </c>
      <c r="Q106" s="12">
        <v>539</v>
      </c>
      <c r="R106" s="11" t="s">
        <v>1253</v>
      </c>
      <c r="S106" s="12">
        <v>394</v>
      </c>
      <c r="T106" s="11" t="s">
        <v>1254</v>
      </c>
      <c r="U106" s="12">
        <v>267</v>
      </c>
      <c r="V106" s="11" t="s">
        <v>1255</v>
      </c>
      <c r="W106" s="12">
        <v>137</v>
      </c>
      <c r="X106" s="11" t="s">
        <v>1256</v>
      </c>
      <c r="Y106" s="12">
        <v>35</v>
      </c>
      <c r="Z106" s="8"/>
      <c r="AA106" s="8"/>
      <c r="AB106" s="8"/>
      <c r="AC106" s="8"/>
      <c r="AD106" s="8"/>
      <c r="AE106" s="8"/>
      <c r="AF106" s="8"/>
      <c r="AG106" s="8"/>
      <c r="AH106" s="8"/>
      <c r="AI106" s="8"/>
      <c r="AJ106" s="8"/>
      <c r="AK106" s="8"/>
      <c r="AL106" s="8"/>
      <c r="AM106" s="8"/>
      <c r="AN106" s="8"/>
      <c r="AO106" s="8"/>
      <c r="AP106" s="8"/>
      <c r="AQ106" s="8"/>
    </row>
    <row r="107" spans="1:43" ht="23.25" customHeight="1" thickBot="1" x14ac:dyDescent="0.35">
      <c r="A107" s="11" t="s">
        <v>1257</v>
      </c>
      <c r="B107" s="8"/>
      <c r="C107" s="8"/>
      <c r="D107" s="10"/>
      <c r="E107" s="10"/>
      <c r="F107" s="8" t="str">
        <f t="shared" si="2"/>
        <v>gift-codes.html?game=魔靈召喚：保衛戰</v>
      </c>
      <c r="G107" s="10"/>
      <c r="H107" s="10" t="str">
        <f t="shared" si="3"/>
        <v>https://www.ssbuy.tw/game-detail.html?game=魔靈召喚：保衛戰</v>
      </c>
      <c r="I107" s="27" t="s">
        <v>1258</v>
      </c>
      <c r="J107" s="35" t="s">
        <v>1259</v>
      </c>
      <c r="K107" s="12">
        <v>2551</v>
      </c>
      <c r="L107" s="11" t="s">
        <v>1260</v>
      </c>
      <c r="M107" s="12">
        <v>1631</v>
      </c>
      <c r="N107" s="11" t="s">
        <v>1261</v>
      </c>
      <c r="O107" s="12">
        <v>975</v>
      </c>
      <c r="P107" s="11" t="s">
        <v>1262</v>
      </c>
      <c r="Q107" s="12">
        <v>574</v>
      </c>
      <c r="R107" s="11" t="s">
        <v>1263</v>
      </c>
      <c r="S107" s="12">
        <v>241</v>
      </c>
      <c r="T107" s="11" t="s">
        <v>1264</v>
      </c>
      <c r="U107" s="12">
        <v>89</v>
      </c>
      <c r="V107" s="8"/>
      <c r="W107" s="8"/>
      <c r="X107" s="8"/>
      <c r="Y107" s="8"/>
      <c r="Z107" s="8"/>
      <c r="AA107" s="8"/>
      <c r="AB107" s="8"/>
      <c r="AC107" s="8"/>
      <c r="AD107" s="8"/>
      <c r="AE107" s="8"/>
      <c r="AF107" s="8"/>
      <c r="AG107" s="8"/>
      <c r="AH107" s="8"/>
      <c r="AI107" s="8"/>
      <c r="AJ107" s="8"/>
      <c r="AK107" s="8"/>
      <c r="AL107" s="8"/>
      <c r="AM107" s="8"/>
      <c r="AN107" s="8"/>
      <c r="AO107" s="8"/>
      <c r="AP107" s="8"/>
      <c r="AQ107" s="8"/>
    </row>
    <row r="108" spans="1:43" ht="23.25" customHeight="1" thickBot="1" x14ac:dyDescent="0.35">
      <c r="A108" s="11" t="s">
        <v>1265</v>
      </c>
      <c r="B108" s="8"/>
      <c r="C108" s="8"/>
      <c r="D108" s="10"/>
      <c r="E108" s="10"/>
      <c r="F108" s="8" t="str">
        <f t="shared" si="2"/>
        <v>gift-codes.html?game=潘多蘭島</v>
      </c>
      <c r="G108" s="10"/>
      <c r="H108" s="10" t="str">
        <f t="shared" si="3"/>
        <v>https://www.ssbuy.tw/game-detail.html?game=潘多蘭島</v>
      </c>
      <c r="I108" s="27" t="s">
        <v>1266</v>
      </c>
      <c r="J108" s="35" t="s">
        <v>1267</v>
      </c>
      <c r="K108" s="12">
        <v>2551</v>
      </c>
      <c r="L108" s="11" t="s">
        <v>1268</v>
      </c>
      <c r="M108" s="12">
        <v>1323</v>
      </c>
      <c r="N108" s="11" t="s">
        <v>1269</v>
      </c>
      <c r="O108" s="12">
        <v>539</v>
      </c>
      <c r="P108" s="11" t="s">
        <v>232</v>
      </c>
      <c r="Q108" s="12">
        <v>267</v>
      </c>
      <c r="R108" s="11" t="s">
        <v>16</v>
      </c>
      <c r="S108" s="12">
        <v>137</v>
      </c>
      <c r="T108" s="11" t="s">
        <v>1270</v>
      </c>
      <c r="U108" s="12">
        <v>283</v>
      </c>
      <c r="V108" s="11" t="s">
        <v>1271</v>
      </c>
      <c r="W108" s="12">
        <v>812</v>
      </c>
      <c r="X108" s="11" t="s">
        <v>1272</v>
      </c>
      <c r="Y108" s="12">
        <v>137</v>
      </c>
      <c r="Z108" s="11" t="s">
        <v>1273</v>
      </c>
      <c r="AA108" s="12">
        <v>137</v>
      </c>
      <c r="AB108" s="8"/>
      <c r="AC108" s="8"/>
      <c r="AD108" s="8"/>
      <c r="AE108" s="8"/>
      <c r="AF108" s="8"/>
      <c r="AG108" s="8"/>
      <c r="AH108" s="8"/>
      <c r="AI108" s="8"/>
      <c r="AJ108" s="8"/>
      <c r="AK108" s="8"/>
      <c r="AL108" s="8"/>
      <c r="AM108" s="8"/>
      <c r="AN108" s="8"/>
      <c r="AO108" s="8"/>
      <c r="AP108" s="8"/>
      <c r="AQ108" s="8"/>
    </row>
    <row r="109" spans="1:43" ht="23.25" customHeight="1" thickBot="1" x14ac:dyDescent="0.35">
      <c r="A109" s="11" t="s">
        <v>1274</v>
      </c>
      <c r="B109" s="8"/>
      <c r="C109" s="8"/>
      <c r="D109" s="10"/>
      <c r="E109" s="10"/>
      <c r="F109" s="8" t="str">
        <f t="shared" si="2"/>
        <v>gift-codes.html?game=電鋸果汁大亂鬥</v>
      </c>
      <c r="G109" s="10"/>
      <c r="H109" s="10" t="str">
        <f t="shared" si="3"/>
        <v>https://www.ssbuy.tw/game-detail.html?game=電鋸果汁大亂鬥</v>
      </c>
      <c r="I109" s="27" t="s">
        <v>1416</v>
      </c>
      <c r="J109" s="35" t="s">
        <v>1275</v>
      </c>
      <c r="K109" s="12">
        <v>2551</v>
      </c>
      <c r="L109" s="11" t="s">
        <v>5</v>
      </c>
      <c r="M109" s="12">
        <v>1323</v>
      </c>
      <c r="N109" s="11" t="s">
        <v>17</v>
      </c>
      <c r="O109" s="12">
        <v>539</v>
      </c>
      <c r="P109" s="11" t="s">
        <v>1276</v>
      </c>
      <c r="Q109" s="12">
        <v>267</v>
      </c>
      <c r="R109" s="11" t="s">
        <v>1277</v>
      </c>
      <c r="S109" s="12">
        <v>137</v>
      </c>
      <c r="T109" s="11" t="s">
        <v>1278</v>
      </c>
      <c r="U109" s="12">
        <v>324</v>
      </c>
      <c r="V109" s="11" t="s">
        <v>1279</v>
      </c>
      <c r="W109" s="12">
        <v>266</v>
      </c>
      <c r="X109" s="8"/>
      <c r="Y109" s="8"/>
      <c r="Z109" s="8"/>
      <c r="AA109" s="8"/>
      <c r="AB109" s="8"/>
      <c r="AC109" s="8"/>
      <c r="AD109" s="8"/>
      <c r="AE109" s="8"/>
      <c r="AF109" s="8"/>
      <c r="AG109" s="8"/>
      <c r="AH109" s="8"/>
      <c r="AI109" s="8"/>
      <c r="AJ109" s="8"/>
      <c r="AK109" s="8"/>
      <c r="AL109" s="8"/>
      <c r="AM109" s="8"/>
      <c r="AN109" s="8"/>
      <c r="AO109" s="8"/>
      <c r="AP109" s="8"/>
      <c r="AQ109" s="8"/>
    </row>
    <row r="110" spans="1:43" ht="23.25" customHeight="1" thickBot="1" x14ac:dyDescent="0.35">
      <c r="A110" s="11" t="s">
        <v>1280</v>
      </c>
      <c r="B110" s="8"/>
      <c r="C110" s="8"/>
      <c r="D110" s="10"/>
      <c r="E110" s="10"/>
      <c r="F110" s="8" t="str">
        <f t="shared" si="2"/>
        <v>gift-codes.html?game=風色幻想NeXus</v>
      </c>
      <c r="G110" s="10"/>
      <c r="H110" s="10" t="str">
        <f t="shared" si="3"/>
        <v>https://www.ssbuy.tw/game-detail.html?game=風色幻想NeXus</v>
      </c>
      <c r="I110" s="27" t="s">
        <v>1281</v>
      </c>
      <c r="J110" s="35" t="s">
        <v>1282</v>
      </c>
      <c r="K110" s="12">
        <v>2551</v>
      </c>
      <c r="L110" s="11" t="s">
        <v>1283</v>
      </c>
      <c r="M110" s="12">
        <v>1323</v>
      </c>
      <c r="N110" s="11" t="s">
        <v>1284</v>
      </c>
      <c r="O110" s="12">
        <v>812</v>
      </c>
      <c r="P110" s="11" t="s">
        <v>1285</v>
      </c>
      <c r="Q110" s="12">
        <v>394</v>
      </c>
      <c r="R110" s="11" t="s">
        <v>1286</v>
      </c>
      <c r="S110" s="12">
        <v>137</v>
      </c>
      <c r="T110" s="11" t="s">
        <v>1287</v>
      </c>
      <c r="U110" s="12">
        <v>539</v>
      </c>
      <c r="V110" s="11" t="s">
        <v>1288</v>
      </c>
      <c r="W110" s="12">
        <v>267</v>
      </c>
      <c r="X110" s="11" t="s">
        <v>1289</v>
      </c>
      <c r="Y110" s="12">
        <v>137</v>
      </c>
      <c r="Z110" s="8"/>
      <c r="AA110" s="8"/>
      <c r="AB110" s="8"/>
      <c r="AC110" s="8"/>
      <c r="AD110" s="8"/>
      <c r="AE110" s="8"/>
      <c r="AF110" s="8"/>
      <c r="AG110" s="8"/>
      <c r="AH110" s="8"/>
      <c r="AI110" s="8"/>
      <c r="AJ110" s="8"/>
      <c r="AK110" s="8"/>
      <c r="AL110" s="8"/>
      <c r="AM110" s="8"/>
      <c r="AN110" s="8"/>
      <c r="AO110" s="8"/>
      <c r="AP110" s="8"/>
      <c r="AQ110" s="8"/>
    </row>
    <row r="111" spans="1:43" ht="23.25" customHeight="1" thickBot="1" x14ac:dyDescent="0.35">
      <c r="A111" s="11" t="s">
        <v>1290</v>
      </c>
      <c r="B111" s="8"/>
      <c r="C111" s="8"/>
      <c r="D111" s="10"/>
      <c r="E111" s="10"/>
      <c r="F111" s="8" t="str">
        <f t="shared" si="2"/>
        <v>gift-codes.html?game=星河訣愛</v>
      </c>
      <c r="G111" s="10"/>
      <c r="H111" s="10" t="str">
        <f t="shared" si="3"/>
        <v>https://www.ssbuy.tw/game-detail.html?game=星河訣愛</v>
      </c>
      <c r="I111" s="27" t="s">
        <v>1291</v>
      </c>
      <c r="J111" s="35" t="s">
        <v>235</v>
      </c>
      <c r="K111" s="12">
        <v>2551</v>
      </c>
      <c r="L111" s="11" t="s">
        <v>236</v>
      </c>
      <c r="M111" s="12">
        <v>1323</v>
      </c>
      <c r="N111" s="11" t="s">
        <v>1292</v>
      </c>
      <c r="O111" s="12">
        <v>812</v>
      </c>
      <c r="P111" s="11" t="s">
        <v>237</v>
      </c>
      <c r="Q111" s="12">
        <v>539</v>
      </c>
      <c r="R111" s="11" t="s">
        <v>238</v>
      </c>
      <c r="S111" s="12">
        <v>267</v>
      </c>
      <c r="T111" s="11" t="s">
        <v>239</v>
      </c>
      <c r="U111" s="12">
        <v>137</v>
      </c>
      <c r="V111" s="11" t="s">
        <v>240</v>
      </c>
      <c r="W111" s="12">
        <v>35</v>
      </c>
      <c r="X111" s="8"/>
      <c r="Y111" s="8"/>
      <c r="Z111" s="8"/>
      <c r="AA111" s="8"/>
      <c r="AB111" s="8"/>
      <c r="AC111" s="8"/>
      <c r="AD111" s="8"/>
      <c r="AE111" s="8"/>
      <c r="AF111" s="8"/>
      <c r="AG111" s="8"/>
      <c r="AH111" s="8"/>
      <c r="AI111" s="8"/>
      <c r="AJ111" s="8"/>
      <c r="AK111" s="8"/>
      <c r="AL111" s="8"/>
      <c r="AM111" s="8"/>
      <c r="AN111" s="8"/>
      <c r="AO111" s="8"/>
      <c r="AP111" s="8"/>
      <c r="AQ111" s="8"/>
    </row>
    <row r="112" spans="1:43" ht="23.25" customHeight="1" thickBot="1" x14ac:dyDescent="0.35">
      <c r="A112" s="16" t="s">
        <v>3</v>
      </c>
      <c r="B112" s="8"/>
      <c r="C112" s="8"/>
      <c r="D112" s="10"/>
      <c r="E112" s="10"/>
      <c r="F112" s="8" t="str">
        <f t="shared" si="2"/>
        <v>gift-codes.html?game=kingshot</v>
      </c>
      <c r="G112" s="10"/>
      <c r="H112" s="10" t="str">
        <f t="shared" si="3"/>
        <v>https://www.ssbuy.tw/game-detail.html?game=kingshot</v>
      </c>
      <c r="I112" s="27" t="s">
        <v>1293</v>
      </c>
      <c r="J112" s="36" t="s">
        <v>245</v>
      </c>
      <c r="K112" s="8">
        <v>2551</v>
      </c>
      <c r="L112" s="16" t="s">
        <v>246</v>
      </c>
      <c r="M112" s="8">
        <v>1323</v>
      </c>
      <c r="N112" s="16" t="s">
        <v>4</v>
      </c>
      <c r="O112" s="8">
        <v>539</v>
      </c>
      <c r="P112" s="16" t="s">
        <v>5</v>
      </c>
      <c r="Q112" s="8">
        <v>267</v>
      </c>
      <c r="R112" s="16" t="s">
        <v>1294</v>
      </c>
      <c r="S112" s="8">
        <v>137</v>
      </c>
      <c r="T112" s="16" t="s">
        <v>6</v>
      </c>
      <c r="U112" s="8">
        <v>35</v>
      </c>
      <c r="V112" s="16" t="s">
        <v>1295</v>
      </c>
      <c r="W112" s="8">
        <v>267</v>
      </c>
      <c r="X112" s="16" t="s">
        <v>1296</v>
      </c>
      <c r="Y112" s="8">
        <v>137</v>
      </c>
      <c r="Z112" s="16" t="s">
        <v>206</v>
      </c>
      <c r="AA112" s="8">
        <v>88</v>
      </c>
      <c r="AB112" s="8"/>
      <c r="AC112" s="8"/>
      <c r="AD112" s="8"/>
      <c r="AE112" s="8"/>
      <c r="AF112" s="8"/>
      <c r="AG112" s="8"/>
      <c r="AH112" s="8"/>
      <c r="AI112" s="8"/>
      <c r="AJ112" s="8"/>
      <c r="AK112" s="8"/>
      <c r="AL112" s="8"/>
      <c r="AM112" s="8"/>
      <c r="AN112" s="8"/>
      <c r="AO112" s="8"/>
      <c r="AP112" s="8"/>
      <c r="AQ112" s="8"/>
    </row>
    <row r="113" spans="1:43" ht="23.25" customHeight="1" thickBot="1" x14ac:dyDescent="0.35">
      <c r="A113" s="16" t="s">
        <v>1297</v>
      </c>
      <c r="B113" s="8"/>
      <c r="C113" s="8"/>
      <c r="D113" s="10"/>
      <c r="E113" s="10"/>
      <c r="F113" s="8" t="str">
        <f t="shared" si="2"/>
        <v>gift-codes.html?game=胡鬧地牢</v>
      </c>
      <c r="G113" s="10"/>
      <c r="H113" s="10" t="str">
        <f t="shared" si="3"/>
        <v>https://www.ssbuy.tw/game-detail.html?game=胡鬧地牢</v>
      </c>
      <c r="I113" s="27" t="s">
        <v>1298</v>
      </c>
      <c r="J113" s="36" t="s">
        <v>1299</v>
      </c>
      <c r="K113" s="8">
        <v>2442</v>
      </c>
      <c r="L113" s="16" t="s">
        <v>1300</v>
      </c>
      <c r="M113" s="8">
        <v>1234</v>
      </c>
      <c r="N113" s="16" t="s">
        <v>1301</v>
      </c>
      <c r="O113" s="8">
        <v>413</v>
      </c>
      <c r="P113" s="16" t="s">
        <v>1302</v>
      </c>
      <c r="Q113" s="8">
        <v>137</v>
      </c>
      <c r="R113" s="11" t="s">
        <v>7</v>
      </c>
      <c r="S113" s="12">
        <v>27</v>
      </c>
      <c r="T113" s="8"/>
      <c r="U113" s="8"/>
      <c r="V113" s="8"/>
      <c r="W113" s="8"/>
      <c r="X113" s="8"/>
      <c r="Y113" s="8"/>
      <c r="Z113" s="8"/>
      <c r="AA113" s="8"/>
      <c r="AB113" s="8"/>
      <c r="AC113" s="8"/>
      <c r="AD113" s="8"/>
      <c r="AE113" s="8"/>
      <c r="AF113" s="8"/>
      <c r="AG113" s="8"/>
      <c r="AH113" s="8"/>
      <c r="AI113" s="8"/>
      <c r="AJ113" s="8"/>
      <c r="AK113" s="8"/>
      <c r="AL113" s="8"/>
      <c r="AM113" s="8"/>
      <c r="AN113" s="8"/>
      <c r="AO113" s="8"/>
      <c r="AP113" s="8"/>
      <c r="AQ113" s="8"/>
    </row>
    <row r="114" spans="1:43" ht="23.25" customHeight="1" thickBot="1" x14ac:dyDescent="0.35">
      <c r="A114" s="16" t="s">
        <v>1303</v>
      </c>
      <c r="B114" s="8"/>
      <c r="C114" s="8"/>
      <c r="D114" s="10"/>
      <c r="E114" s="10"/>
      <c r="F114" s="8" t="str">
        <f t="shared" si="2"/>
        <v>gift-codes.html?game=小小軍團-重生</v>
      </c>
      <c r="G114" s="10"/>
      <c r="H114" s="10" t="str">
        <f t="shared" si="3"/>
        <v>https://www.ssbuy.tw/game-detail.html?game=小小軍團-重生</v>
      </c>
      <c r="I114" s="27" t="s">
        <v>1304</v>
      </c>
      <c r="J114" s="35" t="s">
        <v>1305</v>
      </c>
      <c r="K114" s="12">
        <v>2442</v>
      </c>
      <c r="L114" s="11" t="s">
        <v>1306</v>
      </c>
      <c r="M114" s="12">
        <v>1234</v>
      </c>
      <c r="N114" s="11" t="s">
        <v>1307</v>
      </c>
      <c r="O114" s="12">
        <v>582</v>
      </c>
      <c r="P114" s="11" t="s">
        <v>1308</v>
      </c>
      <c r="Q114" s="12">
        <v>270</v>
      </c>
      <c r="R114" s="11" t="s">
        <v>1309</v>
      </c>
      <c r="S114" s="12">
        <v>137</v>
      </c>
      <c r="T114" s="11" t="s">
        <v>1310</v>
      </c>
      <c r="U114" s="12">
        <v>27</v>
      </c>
      <c r="V114" s="11" t="s">
        <v>1311</v>
      </c>
      <c r="W114" s="12">
        <v>270</v>
      </c>
      <c r="X114" s="11" t="s">
        <v>1312</v>
      </c>
      <c r="Y114" s="12">
        <v>137</v>
      </c>
      <c r="Z114" s="11" t="s">
        <v>1313</v>
      </c>
      <c r="AA114" s="12">
        <v>413</v>
      </c>
      <c r="AB114" s="8"/>
      <c r="AC114" s="8"/>
      <c r="AD114" s="8"/>
      <c r="AE114" s="8"/>
      <c r="AF114" s="8"/>
      <c r="AG114" s="8"/>
      <c r="AH114" s="8"/>
      <c r="AI114" s="8"/>
      <c r="AJ114" s="8"/>
      <c r="AK114" s="8"/>
      <c r="AL114" s="8"/>
      <c r="AM114" s="8"/>
      <c r="AN114" s="8"/>
      <c r="AO114" s="8"/>
      <c r="AP114" s="8"/>
      <c r="AQ114" s="8"/>
    </row>
    <row r="115" spans="1:43" ht="23.25" customHeight="1" thickBot="1" x14ac:dyDescent="0.35">
      <c r="A115" s="11" t="s">
        <v>1314</v>
      </c>
      <c r="B115" s="8"/>
      <c r="C115" s="8"/>
      <c r="D115" s="10"/>
      <c r="E115" s="10"/>
      <c r="F115" s="8" t="str">
        <f t="shared" si="2"/>
        <v>gift-codes.html?game=爪爪遠征</v>
      </c>
      <c r="G115" s="10"/>
      <c r="H115" s="10" t="str">
        <f t="shared" si="3"/>
        <v>https://www.ssbuy.tw/game-detail.html?game=爪爪遠征</v>
      </c>
      <c r="I115" s="27" t="s">
        <v>1315</v>
      </c>
      <c r="J115" s="35" t="s">
        <v>1316</v>
      </c>
      <c r="K115" s="12">
        <v>1232</v>
      </c>
      <c r="L115" s="11" t="s">
        <v>1317</v>
      </c>
      <c r="M115" s="12">
        <v>818</v>
      </c>
      <c r="N115" s="11" t="s">
        <v>1318</v>
      </c>
      <c r="O115" s="12">
        <v>578</v>
      </c>
      <c r="P115" s="11" t="s">
        <v>1319</v>
      </c>
      <c r="Q115" s="12">
        <v>185</v>
      </c>
      <c r="R115" s="11" t="s">
        <v>1320</v>
      </c>
      <c r="S115" s="12">
        <v>83</v>
      </c>
      <c r="T115" s="11" t="s">
        <v>1321</v>
      </c>
      <c r="U115" s="12">
        <v>35</v>
      </c>
      <c r="V115" s="11" t="s">
        <v>1322</v>
      </c>
      <c r="W115" s="12">
        <v>185</v>
      </c>
      <c r="X115" s="11" t="s">
        <v>1323</v>
      </c>
      <c r="Y115" s="12">
        <v>185</v>
      </c>
      <c r="Z115" s="8"/>
      <c r="AA115" s="8"/>
      <c r="AB115" s="8"/>
      <c r="AC115" s="8"/>
      <c r="AD115" s="8"/>
      <c r="AE115" s="8"/>
      <c r="AF115" s="8"/>
      <c r="AG115" s="8"/>
      <c r="AH115" s="8"/>
      <c r="AI115" s="8"/>
      <c r="AJ115" s="8"/>
      <c r="AK115" s="8"/>
      <c r="AL115" s="8"/>
      <c r="AM115" s="8"/>
      <c r="AN115" s="8"/>
      <c r="AO115" s="8"/>
      <c r="AP115" s="8"/>
      <c r="AQ115" s="8"/>
    </row>
    <row r="116" spans="1:43" ht="23.25" customHeight="1" thickBot="1" x14ac:dyDescent="0.35">
      <c r="A116" s="11" t="s">
        <v>1324</v>
      </c>
      <c r="B116" s="8"/>
      <c r="C116" s="8"/>
      <c r="D116" s="10"/>
      <c r="E116" s="10"/>
      <c r="F116" s="8" t="str">
        <f t="shared" si="2"/>
        <v>gift-codes.html?game=勇士團團轉</v>
      </c>
      <c r="G116" s="10"/>
      <c r="H116" s="10" t="str">
        <f t="shared" si="3"/>
        <v>https://www.ssbuy.tw/game-detail.html?game=勇士團團轉</v>
      </c>
      <c r="I116" s="27" t="s">
        <v>1325</v>
      </c>
      <c r="J116" s="35" t="s">
        <v>1326</v>
      </c>
      <c r="K116" s="12">
        <v>578</v>
      </c>
      <c r="L116" s="11" t="s">
        <v>1327</v>
      </c>
      <c r="M116" s="12">
        <v>269</v>
      </c>
      <c r="N116" s="11" t="s">
        <v>1328</v>
      </c>
      <c r="O116" s="12">
        <v>110</v>
      </c>
      <c r="P116" s="11" t="s">
        <v>1329</v>
      </c>
      <c r="Q116" s="12">
        <v>83</v>
      </c>
      <c r="R116" s="11" t="s">
        <v>1330</v>
      </c>
      <c r="S116" s="12">
        <v>411</v>
      </c>
      <c r="T116" s="8"/>
      <c r="U116" s="8"/>
      <c r="V116" s="8"/>
      <c r="W116" s="8"/>
      <c r="X116" s="8"/>
      <c r="Y116" s="8"/>
      <c r="Z116" s="8"/>
      <c r="AA116" s="8"/>
      <c r="AB116" s="8"/>
      <c r="AC116" s="8"/>
      <c r="AD116" s="8"/>
      <c r="AE116" s="8"/>
      <c r="AF116" s="8"/>
      <c r="AG116" s="8"/>
      <c r="AH116" s="8"/>
      <c r="AI116" s="8"/>
      <c r="AJ116" s="8"/>
      <c r="AK116" s="8"/>
      <c r="AL116" s="8"/>
      <c r="AM116" s="8"/>
      <c r="AN116" s="8"/>
      <c r="AO116" s="8"/>
      <c r="AP116" s="8"/>
      <c r="AQ116" s="8"/>
    </row>
    <row r="117" spans="1:43" ht="23.25" customHeight="1" thickBot="1" x14ac:dyDescent="0.35">
      <c r="A117" s="11" t="s">
        <v>1331</v>
      </c>
      <c r="B117" s="8"/>
      <c r="C117" s="8"/>
      <c r="D117" s="10"/>
      <c r="E117" s="10"/>
      <c r="F117" s="8" t="str">
        <f t="shared" si="2"/>
        <v>gift-codes.html?game=魁 三國志大戰</v>
      </c>
      <c r="G117" s="10"/>
      <c r="H117" s="10" t="str">
        <f t="shared" si="3"/>
        <v>https://www.ssbuy.tw/game-detail.html?game=魁 三國志大戰</v>
      </c>
      <c r="I117" s="27" t="s">
        <v>1332</v>
      </c>
      <c r="J117" s="35" t="s">
        <v>1333</v>
      </c>
      <c r="K117" s="12">
        <v>1622</v>
      </c>
      <c r="L117" s="11" t="s">
        <v>1334</v>
      </c>
      <c r="M117" s="12">
        <v>818</v>
      </c>
      <c r="N117" s="11" t="s">
        <v>1335</v>
      </c>
      <c r="O117" s="12">
        <v>411</v>
      </c>
      <c r="P117" s="11" t="s">
        <v>1336</v>
      </c>
      <c r="Q117" s="12">
        <v>83</v>
      </c>
      <c r="R117" s="11" t="s">
        <v>1337</v>
      </c>
      <c r="S117" s="12">
        <v>35</v>
      </c>
      <c r="T117" s="11" t="s">
        <v>1338</v>
      </c>
      <c r="U117" s="12">
        <v>110</v>
      </c>
      <c r="V117" s="8"/>
      <c r="W117" s="8"/>
      <c r="X117" s="8"/>
      <c r="Y117" s="8"/>
      <c r="Z117" s="8"/>
      <c r="AA117" s="8"/>
      <c r="AB117" s="8"/>
      <c r="AC117" s="8"/>
      <c r="AD117" s="8"/>
      <c r="AE117" s="8"/>
      <c r="AF117" s="8"/>
      <c r="AG117" s="8"/>
      <c r="AH117" s="8"/>
      <c r="AI117" s="8"/>
      <c r="AJ117" s="8"/>
      <c r="AK117" s="8"/>
      <c r="AL117" s="8"/>
      <c r="AM117" s="8"/>
      <c r="AN117" s="8"/>
      <c r="AO117" s="8"/>
      <c r="AP117" s="8"/>
      <c r="AQ117" s="8"/>
    </row>
    <row r="118" spans="1:43" ht="23.25" customHeight="1" thickBot="1" x14ac:dyDescent="0.35">
      <c r="A118" s="11" t="s">
        <v>8</v>
      </c>
      <c r="B118" s="8"/>
      <c r="C118" s="8"/>
      <c r="D118" s="10"/>
      <c r="E118" s="10"/>
      <c r="F118" s="8" t="str">
        <f t="shared" si="2"/>
        <v>gift-codes.html?game=tokyo beast</v>
      </c>
      <c r="G118" s="10"/>
      <c r="H118" s="10" t="str">
        <f t="shared" si="3"/>
        <v>https://www.ssbuy.tw/game-detail.html?game=tokyo beast</v>
      </c>
      <c r="I118" s="27" t="s">
        <v>1339</v>
      </c>
      <c r="J118" s="35" t="s">
        <v>1340</v>
      </c>
      <c r="K118" s="12">
        <v>2414</v>
      </c>
      <c r="L118" s="11" t="s">
        <v>1341</v>
      </c>
      <c r="M118" s="12">
        <v>1622</v>
      </c>
      <c r="N118" s="11" t="s">
        <v>1342</v>
      </c>
      <c r="O118" s="12">
        <v>1232</v>
      </c>
      <c r="P118" s="11" t="s">
        <v>1343</v>
      </c>
      <c r="Q118" s="12">
        <v>818</v>
      </c>
      <c r="R118" s="11" t="s">
        <v>1344</v>
      </c>
      <c r="S118" s="12">
        <v>578</v>
      </c>
      <c r="T118" s="11" t="s">
        <v>1345</v>
      </c>
      <c r="U118" s="12">
        <v>269</v>
      </c>
      <c r="V118" s="11" t="s">
        <v>1346</v>
      </c>
      <c r="W118" s="12">
        <v>138</v>
      </c>
      <c r="X118" s="11" t="s">
        <v>1347</v>
      </c>
      <c r="Y118" s="12">
        <v>83</v>
      </c>
      <c r="Z118" s="11" t="s">
        <v>1348</v>
      </c>
      <c r="AA118" s="12">
        <v>35</v>
      </c>
      <c r="AB118" s="11" t="s">
        <v>1349</v>
      </c>
      <c r="AC118" s="12">
        <v>2414</v>
      </c>
      <c r="AD118" s="11" t="s">
        <v>1350</v>
      </c>
      <c r="AE118" s="12">
        <v>818</v>
      </c>
      <c r="AF118" s="8"/>
      <c r="AG118" s="8"/>
      <c r="AH118" s="8"/>
      <c r="AI118" s="8"/>
      <c r="AJ118" s="8"/>
      <c r="AK118" s="8"/>
      <c r="AL118" s="8"/>
      <c r="AM118" s="8"/>
      <c r="AN118" s="8"/>
      <c r="AO118" s="8"/>
      <c r="AP118" s="8"/>
      <c r="AQ118" s="8"/>
    </row>
    <row r="119" spans="1:43" ht="23.25" customHeight="1" thickBot="1" x14ac:dyDescent="0.35">
      <c r="A119" s="17" t="s">
        <v>1351</v>
      </c>
      <c r="B119" s="8"/>
      <c r="C119" s="8"/>
      <c r="D119" s="10"/>
      <c r="E119" s="10"/>
      <c r="F119" s="8" t="str">
        <f t="shared" si="2"/>
        <v>gift-codes.html?game=切換英雄：放置型RPG</v>
      </c>
      <c r="G119" s="10"/>
      <c r="H119" s="10" t="str">
        <f t="shared" si="3"/>
        <v>https://www.ssbuy.tw/game-detail.html?game=切換英雄：放置型RPG</v>
      </c>
      <c r="I119" s="27" t="s">
        <v>1352</v>
      </c>
      <c r="J119" s="35" t="s">
        <v>1353</v>
      </c>
      <c r="K119" s="12">
        <v>1867</v>
      </c>
      <c r="L119" s="11" t="s">
        <v>1354</v>
      </c>
      <c r="M119" s="12">
        <v>1232</v>
      </c>
      <c r="N119" s="11" t="s">
        <v>1355</v>
      </c>
      <c r="O119" s="12">
        <v>818</v>
      </c>
      <c r="P119" s="11" t="s">
        <v>1356</v>
      </c>
      <c r="Q119" s="12">
        <v>327</v>
      </c>
      <c r="R119" s="11" t="s">
        <v>1357</v>
      </c>
      <c r="S119" s="12">
        <v>185</v>
      </c>
      <c r="T119" s="11" t="s">
        <v>1358</v>
      </c>
      <c r="U119" s="12">
        <v>110</v>
      </c>
      <c r="V119" s="11" t="s">
        <v>1278</v>
      </c>
      <c r="W119" s="12">
        <v>185</v>
      </c>
      <c r="X119" s="11" t="s">
        <v>1359</v>
      </c>
      <c r="Y119" s="12">
        <v>818</v>
      </c>
      <c r="Z119" s="11" t="s">
        <v>1360</v>
      </c>
      <c r="AA119" s="12">
        <v>578</v>
      </c>
      <c r="AB119" s="11" t="s">
        <v>1361</v>
      </c>
      <c r="AC119" s="12">
        <v>327</v>
      </c>
      <c r="AD119" s="8"/>
      <c r="AE119" s="8"/>
      <c r="AF119" s="8"/>
      <c r="AG119" s="8"/>
      <c r="AH119" s="8"/>
      <c r="AI119" s="8"/>
      <c r="AJ119" s="8"/>
      <c r="AK119" s="8"/>
      <c r="AL119" s="8"/>
      <c r="AM119" s="8"/>
      <c r="AN119" s="8"/>
      <c r="AO119" s="8"/>
      <c r="AP119" s="8"/>
      <c r="AQ119" s="8"/>
    </row>
    <row r="120" spans="1:43" ht="23.25" customHeight="1" thickBot="1" x14ac:dyDescent="0.35">
      <c r="A120" s="8" t="s">
        <v>1362</v>
      </c>
      <c r="B120" s="8"/>
      <c r="C120" s="8"/>
      <c r="D120" s="10"/>
      <c r="E120" s="10"/>
      <c r="F120" s="8" t="str">
        <f t="shared" si="2"/>
        <v>gift-codes.html?game=小死神傳奇</v>
      </c>
      <c r="G120" s="10"/>
      <c r="H120" s="10" t="str">
        <f t="shared" si="3"/>
        <v>https://www.ssbuy.tw/game-detail.html?game=小死神傳奇</v>
      </c>
      <c r="I120" s="27" t="s">
        <v>1363</v>
      </c>
      <c r="J120" s="35" t="s">
        <v>1364</v>
      </c>
      <c r="K120" s="12">
        <v>2011</v>
      </c>
      <c r="L120" s="11" t="s">
        <v>1365</v>
      </c>
      <c r="M120" s="12">
        <v>1066</v>
      </c>
      <c r="N120" s="11" t="s">
        <v>1366</v>
      </c>
      <c r="O120" s="12">
        <v>244</v>
      </c>
      <c r="P120" s="11" t="s">
        <v>1367</v>
      </c>
      <c r="Q120" s="12">
        <v>110</v>
      </c>
      <c r="R120" s="11" t="s">
        <v>1368</v>
      </c>
      <c r="S120" s="12">
        <v>35</v>
      </c>
      <c r="T120" s="11" t="s">
        <v>9</v>
      </c>
      <c r="U120" s="12">
        <v>653</v>
      </c>
      <c r="V120" s="11" t="s">
        <v>10</v>
      </c>
      <c r="W120" s="12">
        <v>244</v>
      </c>
      <c r="X120" s="11" t="s">
        <v>11</v>
      </c>
      <c r="Y120" s="12">
        <v>110</v>
      </c>
      <c r="Z120" s="8"/>
      <c r="AA120" s="8"/>
      <c r="AB120" s="8"/>
      <c r="AC120" s="8"/>
      <c r="AD120" s="8"/>
      <c r="AE120" s="8"/>
      <c r="AF120" s="8"/>
      <c r="AG120" s="8"/>
      <c r="AH120" s="8"/>
      <c r="AI120" s="8"/>
      <c r="AJ120" s="8"/>
      <c r="AK120" s="8"/>
      <c r="AL120" s="8"/>
      <c r="AM120" s="8"/>
      <c r="AN120" s="8"/>
      <c r="AO120" s="8"/>
      <c r="AP120" s="8"/>
      <c r="AQ120" s="8"/>
    </row>
    <row r="121" spans="1:43" ht="23.25" customHeight="1" thickBot="1" x14ac:dyDescent="0.35">
      <c r="A121" s="8" t="s">
        <v>1369</v>
      </c>
      <c r="B121" s="8"/>
      <c r="C121" s="8"/>
      <c r="D121" s="10"/>
      <c r="E121" s="10"/>
      <c r="F121" s="8" t="str">
        <f t="shared" si="2"/>
        <v>gift-codes.html?game=闇影詩章：凌越世界</v>
      </c>
      <c r="G121" s="10"/>
      <c r="H121" s="10" t="str">
        <f t="shared" si="3"/>
        <v>https://www.ssbuy.tw/game-detail.html?game=闇影詩章：凌越世界</v>
      </c>
      <c r="I121" s="27" t="s">
        <v>1370</v>
      </c>
      <c r="J121" s="35" t="s">
        <v>1371</v>
      </c>
      <c r="K121" s="12">
        <v>1948</v>
      </c>
      <c r="L121" s="11" t="s">
        <v>1372</v>
      </c>
      <c r="M121" s="12">
        <v>984</v>
      </c>
      <c r="N121" s="11" t="s">
        <v>1373</v>
      </c>
      <c r="O121" s="12">
        <v>620</v>
      </c>
      <c r="P121" s="11" t="s">
        <v>1374</v>
      </c>
      <c r="Q121" s="12">
        <v>419</v>
      </c>
      <c r="R121" s="11" t="s">
        <v>1375</v>
      </c>
      <c r="S121" s="12">
        <v>210</v>
      </c>
      <c r="T121" s="11" t="s">
        <v>1376</v>
      </c>
      <c r="U121" s="12">
        <v>115</v>
      </c>
      <c r="V121" s="11" t="s">
        <v>1377</v>
      </c>
      <c r="W121" s="12">
        <v>32</v>
      </c>
      <c r="X121" s="11" t="s">
        <v>1378</v>
      </c>
      <c r="Y121" s="12">
        <v>984</v>
      </c>
      <c r="Z121" s="11" t="s">
        <v>1329</v>
      </c>
      <c r="AA121" s="12">
        <v>419</v>
      </c>
      <c r="AB121" s="8"/>
      <c r="AC121" s="8"/>
      <c r="AD121" s="8"/>
      <c r="AE121" s="8"/>
      <c r="AF121" s="8"/>
      <c r="AG121" s="8"/>
      <c r="AH121" s="8"/>
      <c r="AI121" s="8"/>
      <c r="AJ121" s="8"/>
      <c r="AK121" s="8"/>
      <c r="AL121" s="8"/>
      <c r="AM121" s="8"/>
      <c r="AN121" s="8"/>
      <c r="AO121" s="8"/>
      <c r="AP121" s="8"/>
      <c r="AQ121" s="8"/>
    </row>
    <row r="122" spans="1:43" ht="23.25" customHeight="1" thickBot="1" x14ac:dyDescent="0.35">
      <c r="A122" s="11" t="s">
        <v>1379</v>
      </c>
      <c r="B122" s="8"/>
      <c r="C122" s="8"/>
      <c r="D122" s="10"/>
      <c r="E122" s="10"/>
      <c r="F122" s="8" t="str">
        <f t="shared" si="2"/>
        <v>gift-codes.html?game=雪月風花</v>
      </c>
      <c r="G122" s="10"/>
      <c r="H122" s="10" t="str">
        <f t="shared" si="3"/>
        <v>https://www.ssbuy.tw/game-detail.html?game=雪月風花</v>
      </c>
      <c r="I122" s="27" t="s">
        <v>1380</v>
      </c>
      <c r="J122" s="35" t="s">
        <v>18</v>
      </c>
      <c r="K122" s="12">
        <v>2551</v>
      </c>
      <c r="L122" s="11" t="s">
        <v>19</v>
      </c>
      <c r="M122" s="12">
        <v>1323</v>
      </c>
      <c r="N122" s="11" t="s">
        <v>20</v>
      </c>
      <c r="O122" s="12">
        <v>786</v>
      </c>
      <c r="P122" s="11" t="s">
        <v>21</v>
      </c>
      <c r="Q122" s="12">
        <v>539</v>
      </c>
      <c r="R122" s="11" t="s">
        <v>22</v>
      </c>
      <c r="S122" s="12">
        <v>267</v>
      </c>
      <c r="T122" s="11" t="s">
        <v>23</v>
      </c>
      <c r="U122" s="12">
        <v>138</v>
      </c>
      <c r="V122" s="8"/>
      <c r="W122" s="8"/>
      <c r="X122" s="8"/>
      <c r="Y122" s="8"/>
      <c r="Z122" s="8"/>
      <c r="AA122" s="8"/>
      <c r="AB122" s="8"/>
      <c r="AC122" s="8"/>
      <c r="AD122" s="8"/>
      <c r="AE122" s="8"/>
      <c r="AF122" s="8"/>
      <c r="AG122" s="8"/>
      <c r="AH122" s="8"/>
      <c r="AI122" s="8"/>
      <c r="AJ122" s="8"/>
      <c r="AK122" s="8"/>
      <c r="AL122" s="8"/>
      <c r="AM122" s="8"/>
      <c r="AN122" s="8"/>
      <c r="AO122" s="8"/>
      <c r="AP122" s="8"/>
      <c r="AQ122" s="8"/>
    </row>
    <row r="123" spans="1:43" ht="23.25" customHeight="1" thickBot="1" x14ac:dyDescent="0.35">
      <c r="A123" s="11" t="s">
        <v>1381</v>
      </c>
      <c r="B123" s="8"/>
      <c r="C123" s="8"/>
      <c r="D123" s="10"/>
      <c r="E123" s="10"/>
      <c r="F123" s="8" t="str">
        <f t="shared" si="2"/>
        <v>gift-codes.html?game=文明帝國：同盟時代</v>
      </c>
      <c r="G123" s="10"/>
      <c r="H123" s="10" t="str">
        <f t="shared" si="3"/>
        <v>https://www.ssbuy.tw/game-detail.html?game=文明帝國：同盟時代</v>
      </c>
      <c r="I123" s="27" t="s">
        <v>1382</v>
      </c>
      <c r="J123" s="35" t="s">
        <v>12</v>
      </c>
      <c r="K123" s="12">
        <v>2551</v>
      </c>
      <c r="L123" s="11" t="s">
        <v>13</v>
      </c>
      <c r="M123" s="12">
        <v>1323</v>
      </c>
      <c r="N123" s="11" t="s">
        <v>24</v>
      </c>
      <c r="O123" s="12">
        <v>786</v>
      </c>
      <c r="P123" s="11" t="s">
        <v>14</v>
      </c>
      <c r="Q123" s="12">
        <v>539</v>
      </c>
      <c r="R123" s="11" t="s">
        <v>16</v>
      </c>
      <c r="S123" s="12">
        <v>138</v>
      </c>
      <c r="T123" s="11" t="s">
        <v>25</v>
      </c>
      <c r="U123" s="12">
        <v>267</v>
      </c>
      <c r="V123" s="11" t="s">
        <v>26</v>
      </c>
      <c r="W123" s="12">
        <v>138</v>
      </c>
      <c r="X123" s="8"/>
      <c r="Y123" s="8"/>
      <c r="Z123" s="8"/>
      <c r="AA123" s="8"/>
      <c r="AB123" s="8"/>
      <c r="AC123" s="8"/>
      <c r="AD123" s="8"/>
      <c r="AE123" s="8"/>
      <c r="AF123" s="8"/>
      <c r="AG123" s="8"/>
      <c r="AH123" s="8"/>
      <c r="AI123" s="8"/>
      <c r="AJ123" s="8"/>
      <c r="AK123" s="8"/>
      <c r="AL123" s="8"/>
      <c r="AM123" s="8"/>
      <c r="AN123" s="8"/>
      <c r="AO123" s="8"/>
      <c r="AP123" s="8"/>
      <c r="AQ123" s="8"/>
    </row>
    <row r="124" spans="1:43" ht="23.25" customHeight="1" thickBot="1" x14ac:dyDescent="0.35">
      <c r="A124" s="11" t="s">
        <v>1383</v>
      </c>
      <c r="B124" s="8"/>
      <c r="C124" s="8"/>
      <c r="D124" s="10"/>
      <c r="E124" s="10"/>
      <c r="F124" s="8" t="str">
        <f t="shared" si="2"/>
        <v>gift-codes.html?game=魔法商店大亨</v>
      </c>
      <c r="G124" s="10"/>
      <c r="H124" s="10" t="str">
        <f t="shared" si="3"/>
        <v>https://www.ssbuy.tw/game-detail.html?game=魔法商店大亨</v>
      </c>
      <c r="I124" s="27" t="s">
        <v>1384</v>
      </c>
      <c r="J124" s="35" t="s">
        <v>27</v>
      </c>
      <c r="K124" s="12">
        <v>559</v>
      </c>
      <c r="L124" s="11" t="s">
        <v>28</v>
      </c>
      <c r="M124" s="12">
        <v>397</v>
      </c>
      <c r="N124" s="11" t="s">
        <v>29</v>
      </c>
      <c r="O124" s="12">
        <v>236</v>
      </c>
      <c r="P124" s="11" t="s">
        <v>30</v>
      </c>
      <c r="Q124" s="12">
        <v>133</v>
      </c>
      <c r="R124" s="11" t="s">
        <v>31</v>
      </c>
      <c r="S124" s="12">
        <v>80</v>
      </c>
      <c r="T124" s="11" t="s">
        <v>32</v>
      </c>
      <c r="U124" s="12">
        <v>53</v>
      </c>
      <c r="V124" s="8"/>
      <c r="W124" s="8"/>
      <c r="X124" s="8"/>
      <c r="Y124" s="8"/>
      <c r="Z124" s="8"/>
      <c r="AA124" s="8"/>
      <c r="AB124" s="8"/>
      <c r="AC124" s="8"/>
      <c r="AD124" s="8"/>
      <c r="AE124" s="8"/>
      <c r="AF124" s="8"/>
      <c r="AG124" s="8"/>
      <c r="AH124" s="8"/>
      <c r="AI124" s="8"/>
      <c r="AJ124" s="8"/>
      <c r="AK124" s="8"/>
      <c r="AL124" s="8"/>
      <c r="AM124" s="8"/>
      <c r="AN124" s="8"/>
      <c r="AO124" s="8"/>
      <c r="AP124" s="8"/>
      <c r="AQ124" s="8"/>
    </row>
    <row r="125" spans="1:43" ht="23.25" customHeight="1" thickBot="1" x14ac:dyDescent="0.35">
      <c r="A125" s="11" t="s">
        <v>1385</v>
      </c>
      <c r="B125" s="8"/>
      <c r="C125" s="8"/>
      <c r="D125" s="10"/>
      <c r="E125" s="10"/>
      <c r="F125" s="8" t="str">
        <f t="shared" si="2"/>
        <v>gift-codes.html?game=新仙劍奇俠傳lite</v>
      </c>
      <c r="G125" s="10"/>
      <c r="H125" s="10" t="str">
        <f t="shared" si="3"/>
        <v>https://www.ssbuy.tw/game-detail.html?game=新仙劍奇俠傳lite</v>
      </c>
      <c r="I125" s="27" t="s">
        <v>1386</v>
      </c>
      <c r="J125" s="35" t="s">
        <v>33</v>
      </c>
      <c r="K125" s="12">
        <v>2450</v>
      </c>
      <c r="L125" s="11" t="s">
        <v>34</v>
      </c>
      <c r="M125" s="12">
        <v>1328</v>
      </c>
      <c r="N125" s="11" t="s">
        <v>35</v>
      </c>
      <c r="O125" s="12">
        <v>808</v>
      </c>
      <c r="P125" s="11" t="s">
        <v>36</v>
      </c>
      <c r="Q125" s="12">
        <v>437</v>
      </c>
      <c r="R125" s="11" t="s">
        <v>37</v>
      </c>
      <c r="S125" s="12">
        <v>273</v>
      </c>
      <c r="T125" s="11" t="s">
        <v>38</v>
      </c>
      <c r="U125" s="12">
        <v>137</v>
      </c>
      <c r="V125" s="11" t="s">
        <v>39</v>
      </c>
      <c r="W125" s="12">
        <v>30</v>
      </c>
      <c r="X125" s="8"/>
      <c r="Y125" s="8"/>
      <c r="Z125" s="8"/>
      <c r="AA125" s="8"/>
      <c r="AB125" s="8"/>
      <c r="AC125" s="8"/>
      <c r="AD125" s="8"/>
      <c r="AE125" s="8"/>
      <c r="AF125" s="8"/>
      <c r="AG125" s="8"/>
      <c r="AH125" s="8"/>
      <c r="AI125" s="8"/>
      <c r="AJ125" s="8"/>
      <c r="AK125" s="8"/>
      <c r="AL125" s="8"/>
      <c r="AM125" s="8"/>
      <c r="AN125" s="8"/>
      <c r="AO125" s="8"/>
      <c r="AP125" s="8"/>
      <c r="AQ125" s="8"/>
    </row>
    <row r="126" spans="1:43" ht="23.25" customHeight="1" thickBot="1" x14ac:dyDescent="0.35">
      <c r="A126" s="11" t="s">
        <v>1387</v>
      </c>
      <c r="B126" s="8"/>
      <c r="C126" s="8"/>
      <c r="D126" s="10"/>
      <c r="E126" s="10"/>
      <c r="F126" s="8" t="str">
        <f t="shared" si="2"/>
        <v>gift-codes.html?game=神州M</v>
      </c>
      <c r="G126" s="10"/>
      <c r="H126" s="10" t="str">
        <f t="shared" si="3"/>
        <v>https://www.ssbuy.tw/game-detail.html?game=神州M</v>
      </c>
      <c r="I126" s="27" t="s">
        <v>1388</v>
      </c>
      <c r="J126" s="35" t="s">
        <v>40</v>
      </c>
      <c r="K126" s="12">
        <v>2333</v>
      </c>
      <c r="L126" s="11" t="s">
        <v>41</v>
      </c>
      <c r="M126" s="12">
        <v>1030</v>
      </c>
      <c r="N126" s="11" t="s">
        <v>42</v>
      </c>
      <c r="O126" s="12">
        <v>631</v>
      </c>
      <c r="P126" s="11" t="s">
        <v>43</v>
      </c>
      <c r="Q126" s="12">
        <v>236</v>
      </c>
      <c r="R126" s="11" t="s">
        <v>44</v>
      </c>
      <c r="S126" s="12">
        <v>115</v>
      </c>
      <c r="T126" s="11" t="s">
        <v>45</v>
      </c>
      <c r="U126" s="12">
        <v>35</v>
      </c>
      <c r="V126" s="11" t="s">
        <v>46</v>
      </c>
      <c r="W126" s="12">
        <v>2333</v>
      </c>
      <c r="X126" s="11" t="s">
        <v>47</v>
      </c>
      <c r="Y126" s="12">
        <v>1030</v>
      </c>
      <c r="Z126" s="11" t="s">
        <v>9</v>
      </c>
      <c r="AA126" s="12">
        <v>631</v>
      </c>
      <c r="AB126" s="11" t="s">
        <v>10</v>
      </c>
      <c r="AC126" s="12">
        <v>236</v>
      </c>
      <c r="AD126" s="8"/>
      <c r="AE126" s="8"/>
      <c r="AF126" s="8"/>
      <c r="AG126" s="8"/>
      <c r="AH126" s="8"/>
      <c r="AI126" s="8"/>
      <c r="AJ126" s="8"/>
      <c r="AK126" s="8"/>
      <c r="AL126" s="8"/>
      <c r="AM126" s="8"/>
      <c r="AN126" s="8"/>
      <c r="AO126" s="8"/>
      <c r="AP126" s="8"/>
      <c r="AQ126" s="8"/>
    </row>
    <row r="127" spans="1:43" ht="23.25" customHeight="1" thickBot="1" x14ac:dyDescent="0.35">
      <c r="A127" s="8" t="s">
        <v>1389</v>
      </c>
      <c r="B127" s="8"/>
      <c r="C127" s="8"/>
      <c r="D127" s="10"/>
      <c r="E127" s="10"/>
      <c r="F127" s="8" t="str">
        <f t="shared" si="2"/>
        <v>gift-codes.html?game=英雄傳說：卡卡布三部曲</v>
      </c>
      <c r="G127" s="10"/>
      <c r="H127" s="10" t="str">
        <f t="shared" si="3"/>
        <v>https://www.ssbuy.tw/game-detail.html?game=英雄傳說：卡卡布三部曲</v>
      </c>
      <c r="I127" s="27" t="s">
        <v>1390</v>
      </c>
      <c r="J127" s="35" t="s">
        <v>48</v>
      </c>
      <c r="K127" s="12">
        <v>2333</v>
      </c>
      <c r="L127" s="11" t="s">
        <v>49</v>
      </c>
      <c r="M127" s="12">
        <v>1190</v>
      </c>
      <c r="N127" s="11" t="s">
        <v>50</v>
      </c>
      <c r="O127" s="12">
        <v>539</v>
      </c>
      <c r="P127" s="11" t="s">
        <v>51</v>
      </c>
      <c r="Q127" s="12">
        <v>267</v>
      </c>
      <c r="R127" s="11" t="s">
        <v>52</v>
      </c>
      <c r="S127" s="12">
        <v>115</v>
      </c>
      <c r="T127" s="11" t="s">
        <v>53</v>
      </c>
      <c r="U127" s="12">
        <v>35</v>
      </c>
      <c r="V127" s="11" t="s">
        <v>54</v>
      </c>
      <c r="W127" s="12">
        <v>138</v>
      </c>
      <c r="X127" s="11" t="s">
        <v>55</v>
      </c>
      <c r="Y127" s="12">
        <v>267</v>
      </c>
      <c r="Z127" s="11" t="s">
        <v>56</v>
      </c>
      <c r="AA127" s="12">
        <v>539</v>
      </c>
      <c r="AB127" s="8"/>
      <c r="AC127" s="8"/>
      <c r="AD127" s="8"/>
      <c r="AE127" s="8"/>
      <c r="AF127" s="8"/>
      <c r="AG127" s="8"/>
      <c r="AH127" s="8"/>
      <c r="AI127" s="8"/>
      <c r="AJ127" s="8"/>
      <c r="AK127" s="8"/>
      <c r="AL127" s="8"/>
      <c r="AM127" s="8"/>
      <c r="AN127" s="8"/>
      <c r="AO127" s="8"/>
      <c r="AP127" s="8"/>
      <c r="AQ127" s="8"/>
    </row>
    <row r="128" spans="1:43" ht="23.25" customHeight="1" thickBot="1" x14ac:dyDescent="0.35">
      <c r="A128" s="11" t="s">
        <v>57</v>
      </c>
      <c r="B128" s="8"/>
      <c r="C128" s="8"/>
      <c r="D128" s="10"/>
      <c r="E128" s="10"/>
      <c r="F128" s="8" t="str">
        <f t="shared" si="2"/>
        <v>gift-codes.html?game=胡來英雄</v>
      </c>
      <c r="G128" s="10"/>
      <c r="H128" s="10" t="str">
        <f t="shared" si="3"/>
        <v>https://www.ssbuy.tw/game-detail.html?game=胡來英雄</v>
      </c>
      <c r="I128" s="28" t="s">
        <v>1391</v>
      </c>
      <c r="J128" s="35" t="s">
        <v>61</v>
      </c>
      <c r="K128" s="12">
        <v>2551</v>
      </c>
      <c r="L128" s="11" t="s">
        <v>62</v>
      </c>
      <c r="M128" s="12">
        <v>1323</v>
      </c>
      <c r="N128" s="11" t="s">
        <v>63</v>
      </c>
      <c r="O128" s="12">
        <v>786</v>
      </c>
      <c r="P128" s="11" t="s">
        <v>64</v>
      </c>
      <c r="Q128" s="12">
        <v>539</v>
      </c>
      <c r="R128" s="11" t="s">
        <v>65</v>
      </c>
      <c r="S128" s="12">
        <v>267</v>
      </c>
      <c r="T128" s="11" t="s">
        <v>16</v>
      </c>
      <c r="U128" s="12">
        <v>138</v>
      </c>
      <c r="V128" s="11" t="s">
        <v>7</v>
      </c>
      <c r="W128" s="12">
        <v>35</v>
      </c>
      <c r="X128" s="11" t="s">
        <v>66</v>
      </c>
      <c r="Y128" s="12">
        <v>267</v>
      </c>
      <c r="Z128" s="11" t="s">
        <v>67</v>
      </c>
      <c r="AA128" s="12">
        <v>267</v>
      </c>
      <c r="AB128" s="11" t="s">
        <v>68</v>
      </c>
      <c r="AC128" s="12">
        <v>539</v>
      </c>
      <c r="AD128" s="8"/>
      <c r="AE128" s="8"/>
      <c r="AF128" s="8"/>
      <c r="AG128" s="8"/>
      <c r="AH128" s="8"/>
      <c r="AI128" s="8"/>
      <c r="AJ128" s="8"/>
      <c r="AK128" s="8"/>
      <c r="AL128" s="8"/>
      <c r="AM128" s="8"/>
      <c r="AN128" s="8"/>
      <c r="AO128" s="8"/>
      <c r="AP128" s="8"/>
      <c r="AQ128" s="8"/>
    </row>
    <row r="129" spans="1:43" ht="23.25" customHeight="1" thickBot="1" x14ac:dyDescent="0.35">
      <c r="A129" s="11" t="s">
        <v>58</v>
      </c>
      <c r="B129" s="8"/>
      <c r="C129" s="8"/>
      <c r="D129" s="10"/>
      <c r="E129" s="10"/>
      <c r="F129" s="8" t="str">
        <f t="shared" si="2"/>
        <v>gift-codes.html?game=一天又一天的RPG</v>
      </c>
      <c r="G129" s="10"/>
      <c r="H129" s="10" t="str">
        <f t="shared" si="3"/>
        <v>https://www.ssbuy.tw/game-detail.html?game=一天又一天的RPG</v>
      </c>
      <c r="I129" s="28" t="s">
        <v>1392</v>
      </c>
      <c r="J129" s="35" t="s">
        <v>69</v>
      </c>
      <c r="K129" s="12">
        <v>2551</v>
      </c>
      <c r="L129" s="11" t="s">
        <v>70</v>
      </c>
      <c r="M129" s="12">
        <v>1804</v>
      </c>
      <c r="N129" s="11" t="s">
        <v>71</v>
      </c>
      <c r="O129" s="12">
        <v>1323</v>
      </c>
      <c r="P129" s="11" t="s">
        <v>72</v>
      </c>
      <c r="Q129" s="12">
        <v>786</v>
      </c>
      <c r="R129" s="11" t="s">
        <v>73</v>
      </c>
      <c r="S129" s="12">
        <v>539</v>
      </c>
      <c r="T129" s="11" t="s">
        <v>74</v>
      </c>
      <c r="U129" s="12">
        <v>397</v>
      </c>
      <c r="V129" s="11" t="s">
        <v>75</v>
      </c>
      <c r="W129" s="12">
        <v>138</v>
      </c>
      <c r="X129" s="11" t="s">
        <v>76</v>
      </c>
      <c r="Y129" s="12">
        <v>89</v>
      </c>
      <c r="Z129" s="11" t="s">
        <v>77</v>
      </c>
      <c r="AA129" s="12">
        <v>62</v>
      </c>
      <c r="AB129" s="11" t="s">
        <v>78</v>
      </c>
      <c r="AC129" s="12">
        <v>35</v>
      </c>
      <c r="AD129" s="8"/>
      <c r="AE129" s="8"/>
      <c r="AF129" s="8"/>
      <c r="AG129" s="8"/>
      <c r="AH129" s="8"/>
      <c r="AI129" s="8"/>
      <c r="AJ129" s="8"/>
      <c r="AK129" s="8"/>
      <c r="AL129" s="8"/>
      <c r="AM129" s="8"/>
      <c r="AN129" s="8"/>
      <c r="AO129" s="8"/>
      <c r="AP129" s="8"/>
      <c r="AQ129" s="8"/>
    </row>
    <row r="130" spans="1:43" ht="23.25" customHeight="1" thickBot="1" x14ac:dyDescent="0.35">
      <c r="A130" s="11" t="s">
        <v>59</v>
      </c>
      <c r="B130" s="8"/>
      <c r="C130" s="8"/>
      <c r="D130" s="10"/>
      <c r="E130" s="10"/>
      <c r="F130" s="8" t="str">
        <f t="shared" si="2"/>
        <v>gift-codes.html?game=銀與血</v>
      </c>
      <c r="G130" s="10"/>
      <c r="H130" s="10" t="str">
        <f t="shared" si="3"/>
        <v>https://www.ssbuy.tw/game-detail.html?game=銀與血</v>
      </c>
      <c r="I130" s="27" t="s">
        <v>1393</v>
      </c>
      <c r="J130" s="35" t="s">
        <v>79</v>
      </c>
      <c r="K130" s="12">
        <v>2099</v>
      </c>
      <c r="L130" s="11" t="s">
        <v>80</v>
      </c>
      <c r="M130" s="12">
        <v>1410</v>
      </c>
      <c r="N130" s="11" t="s">
        <v>81</v>
      </c>
      <c r="O130" s="12">
        <v>786</v>
      </c>
      <c r="P130" s="11" t="s">
        <v>82</v>
      </c>
      <c r="Q130" s="12">
        <v>539</v>
      </c>
      <c r="R130" s="11" t="s">
        <v>83</v>
      </c>
      <c r="S130" s="12">
        <v>267</v>
      </c>
      <c r="T130" s="11" t="s">
        <v>84</v>
      </c>
      <c r="U130" s="12">
        <v>138</v>
      </c>
      <c r="V130" s="11" t="s">
        <v>85</v>
      </c>
      <c r="W130" s="12">
        <v>138</v>
      </c>
      <c r="X130" s="11" t="s">
        <v>86</v>
      </c>
      <c r="Y130" s="12">
        <v>397</v>
      </c>
      <c r="Z130" s="11" t="s">
        <v>87</v>
      </c>
      <c r="AA130" s="12">
        <v>539</v>
      </c>
      <c r="AB130" s="11" t="s">
        <v>88</v>
      </c>
      <c r="AC130" s="12">
        <v>267</v>
      </c>
      <c r="AD130" s="11" t="s">
        <v>89</v>
      </c>
      <c r="AE130" s="12">
        <v>397</v>
      </c>
      <c r="AF130" s="8"/>
      <c r="AG130" s="8"/>
      <c r="AH130" s="8"/>
      <c r="AI130" s="8"/>
      <c r="AJ130" s="8"/>
      <c r="AK130" s="8"/>
      <c r="AL130" s="8"/>
      <c r="AM130" s="8"/>
      <c r="AN130" s="8"/>
      <c r="AO130" s="8"/>
      <c r="AP130" s="8"/>
      <c r="AQ130" s="8"/>
    </row>
    <row r="131" spans="1:43" ht="23.25" customHeight="1" thickBot="1" x14ac:dyDescent="0.35">
      <c r="A131" s="11" t="s">
        <v>60</v>
      </c>
      <c r="B131" s="8"/>
      <c r="C131" s="8"/>
      <c r="D131" s="10"/>
      <c r="E131" s="10"/>
      <c r="F131" s="8" t="str">
        <f t="shared" ref="F131:F159" si="4">"gift-codes.html?game=" &amp; A131</f>
        <v>gift-codes.html?game=緋石之心</v>
      </c>
      <c r="G131" s="10"/>
      <c r="H131" s="10" t="str">
        <f t="shared" ref="H131:H189" si="5">"https://www.ssbuy.tw/game-detail.html?game="&amp;A131</f>
        <v>https://www.ssbuy.tw/game-detail.html?game=緋石之心</v>
      </c>
      <c r="I131" s="28" t="s">
        <v>1394</v>
      </c>
      <c r="J131" s="35" t="s">
        <v>90</v>
      </c>
      <c r="K131" s="12">
        <v>2333</v>
      </c>
      <c r="L131" s="11" t="s">
        <v>91</v>
      </c>
      <c r="M131" s="12">
        <v>1190</v>
      </c>
      <c r="N131" s="11" t="s">
        <v>92</v>
      </c>
      <c r="O131" s="12">
        <v>786</v>
      </c>
      <c r="P131" s="11" t="s">
        <v>93</v>
      </c>
      <c r="Q131" s="12">
        <v>559</v>
      </c>
      <c r="R131" s="11" t="s">
        <v>94</v>
      </c>
      <c r="S131" s="12">
        <v>267</v>
      </c>
      <c r="T131" s="11" t="s">
        <v>95</v>
      </c>
      <c r="U131" s="12">
        <v>133</v>
      </c>
      <c r="V131" s="11" t="s">
        <v>96</v>
      </c>
      <c r="W131" s="12">
        <v>27</v>
      </c>
      <c r="X131" s="11" t="s">
        <v>97</v>
      </c>
      <c r="Y131" s="12">
        <v>133</v>
      </c>
      <c r="Z131" s="11" t="s">
        <v>98</v>
      </c>
      <c r="AA131" s="12">
        <v>267</v>
      </c>
      <c r="AB131" s="8"/>
      <c r="AC131" s="8"/>
      <c r="AD131" s="8"/>
      <c r="AE131" s="8"/>
      <c r="AF131" s="8"/>
      <c r="AG131" s="8"/>
      <c r="AH131" s="8"/>
      <c r="AI131" s="8"/>
      <c r="AJ131" s="8"/>
      <c r="AK131" s="8"/>
      <c r="AL131" s="8"/>
      <c r="AM131" s="8"/>
      <c r="AN131" s="8"/>
      <c r="AO131" s="8"/>
      <c r="AP131" s="8"/>
      <c r="AQ131" s="8"/>
    </row>
    <row r="132" spans="1:43" ht="23.25" customHeight="1" thickBot="1" x14ac:dyDescent="0.35">
      <c r="A132" s="11" t="s">
        <v>1395</v>
      </c>
      <c r="B132" s="8"/>
      <c r="C132" s="8"/>
      <c r="D132" s="10"/>
      <c r="E132" s="10"/>
      <c r="F132" s="8" t="str">
        <f t="shared" si="4"/>
        <v>gift-codes.html?game=滔湧少女</v>
      </c>
      <c r="G132" s="10"/>
      <c r="H132" s="10" t="str">
        <f t="shared" si="5"/>
        <v>https://www.ssbuy.tw/game-detail.html?game=滔湧少女</v>
      </c>
      <c r="I132" s="28" t="s">
        <v>1396</v>
      </c>
      <c r="J132" s="35" t="s">
        <v>12</v>
      </c>
      <c r="K132" s="12">
        <v>2551</v>
      </c>
      <c r="L132" s="11" t="s">
        <v>118</v>
      </c>
      <c r="M132" s="12">
        <v>1804</v>
      </c>
      <c r="N132" s="11" t="s">
        <v>119</v>
      </c>
      <c r="O132" s="12">
        <v>1323</v>
      </c>
      <c r="P132" s="11" t="s">
        <v>24</v>
      </c>
      <c r="Q132" s="12">
        <v>786</v>
      </c>
      <c r="R132" s="11" t="s">
        <v>14</v>
      </c>
      <c r="S132" s="12">
        <v>539</v>
      </c>
      <c r="T132" s="11" t="s">
        <v>15</v>
      </c>
      <c r="U132" s="12">
        <v>397</v>
      </c>
      <c r="V132" s="11" t="s">
        <v>120</v>
      </c>
      <c r="W132" s="12">
        <v>267</v>
      </c>
      <c r="X132" s="11" t="s">
        <v>16</v>
      </c>
      <c r="Y132" s="12">
        <v>138</v>
      </c>
      <c r="Z132" s="11" t="s">
        <v>121</v>
      </c>
      <c r="AA132" s="12">
        <v>89</v>
      </c>
      <c r="AB132" s="11" t="s">
        <v>7</v>
      </c>
      <c r="AC132" s="12">
        <v>35</v>
      </c>
      <c r="AD132" s="8"/>
      <c r="AE132" s="8"/>
      <c r="AF132" s="8"/>
      <c r="AG132" s="8"/>
      <c r="AH132" s="8"/>
      <c r="AI132" s="8"/>
      <c r="AJ132" s="8"/>
      <c r="AK132" s="8"/>
      <c r="AL132" s="8"/>
      <c r="AM132" s="8"/>
      <c r="AN132" s="8"/>
      <c r="AO132" s="8"/>
      <c r="AP132" s="8"/>
      <c r="AQ132" s="8"/>
    </row>
    <row r="133" spans="1:43" ht="23.25" customHeight="1" thickBot="1" x14ac:dyDescent="0.35">
      <c r="A133" s="11" t="s">
        <v>99</v>
      </c>
      <c r="B133" s="8"/>
      <c r="C133" s="8"/>
      <c r="D133" s="10"/>
      <c r="E133" s="10"/>
      <c r="F133" s="8" t="str">
        <f t="shared" si="4"/>
        <v>gift-codes.html?game=漫威祕法狂潮</v>
      </c>
      <c r="G133" s="10"/>
      <c r="H133" s="10" t="str">
        <f t="shared" si="5"/>
        <v>https://www.ssbuy.tw/game-detail.html?game=漫威祕法狂潮</v>
      </c>
      <c r="I133" s="28" t="s">
        <v>1397</v>
      </c>
      <c r="J133" s="35" t="s">
        <v>101</v>
      </c>
      <c r="K133" s="12">
        <v>2551</v>
      </c>
      <c r="L133" s="11" t="s">
        <v>102</v>
      </c>
      <c r="M133" s="12">
        <v>1323</v>
      </c>
      <c r="N133" s="11" t="s">
        <v>103</v>
      </c>
      <c r="O133" s="12">
        <v>559</v>
      </c>
      <c r="P133" s="11" t="s">
        <v>104</v>
      </c>
      <c r="Q133" s="12">
        <v>267</v>
      </c>
      <c r="R133" s="11" t="s">
        <v>105</v>
      </c>
      <c r="S133" s="12">
        <v>138</v>
      </c>
      <c r="T133" s="11" t="s">
        <v>106</v>
      </c>
      <c r="U133" s="12">
        <v>35</v>
      </c>
      <c r="V133" s="11" t="s">
        <v>107</v>
      </c>
      <c r="W133" s="12">
        <v>138</v>
      </c>
      <c r="X133" s="8"/>
      <c r="Y133" s="8"/>
      <c r="Z133" s="8"/>
      <c r="AA133" s="8"/>
      <c r="AB133" s="8"/>
      <c r="AC133" s="8"/>
      <c r="AD133" s="8"/>
      <c r="AE133" s="8"/>
      <c r="AF133" s="8"/>
      <c r="AG133" s="8"/>
      <c r="AH133" s="8"/>
      <c r="AI133" s="8"/>
      <c r="AJ133" s="8"/>
      <c r="AK133" s="8"/>
      <c r="AL133" s="8"/>
      <c r="AM133" s="8"/>
      <c r="AN133" s="8"/>
      <c r="AO133" s="8"/>
      <c r="AP133" s="8"/>
      <c r="AQ133" s="8"/>
    </row>
    <row r="134" spans="1:43" ht="23.25" customHeight="1" thickBot="1" x14ac:dyDescent="0.35">
      <c r="A134" s="11" t="s">
        <v>100</v>
      </c>
      <c r="B134" s="8"/>
      <c r="C134" s="8"/>
      <c r="D134" s="10"/>
      <c r="E134" s="10"/>
      <c r="F134" s="8" t="str">
        <f t="shared" si="4"/>
        <v>gift-codes.html?game=魔教回歸：2D MMORPG</v>
      </c>
      <c r="G134" s="10"/>
      <c r="H134" s="10" t="str">
        <f t="shared" si="5"/>
        <v>https://www.ssbuy.tw/game-detail.html?game=魔教回歸：2D MMORPG</v>
      </c>
      <c r="I134" s="27" t="s">
        <v>1398</v>
      </c>
      <c r="J134" s="35" t="s">
        <v>108</v>
      </c>
      <c r="K134" s="12">
        <v>1943</v>
      </c>
      <c r="L134" s="11" t="s">
        <v>109</v>
      </c>
      <c r="M134" s="12">
        <v>1030</v>
      </c>
      <c r="N134" s="11" t="s">
        <v>110</v>
      </c>
      <c r="O134" s="12">
        <v>631</v>
      </c>
      <c r="P134" s="11" t="s">
        <v>111</v>
      </c>
      <c r="Q134" s="12">
        <v>236</v>
      </c>
      <c r="R134" s="11" t="s">
        <v>112</v>
      </c>
      <c r="S134" s="12">
        <v>53</v>
      </c>
      <c r="T134" s="11" t="s">
        <v>113</v>
      </c>
      <c r="U134" s="12">
        <v>107</v>
      </c>
      <c r="V134" s="11" t="s">
        <v>114</v>
      </c>
      <c r="W134" s="12">
        <v>631</v>
      </c>
      <c r="X134" s="11" t="s">
        <v>115</v>
      </c>
      <c r="Y134" s="12">
        <v>397</v>
      </c>
      <c r="Z134" s="11" t="s">
        <v>116</v>
      </c>
      <c r="AA134" s="12">
        <v>1804</v>
      </c>
      <c r="AB134" s="11" t="s">
        <v>117</v>
      </c>
      <c r="AC134" s="12">
        <v>236</v>
      </c>
      <c r="AD134" s="8"/>
      <c r="AE134" s="8"/>
      <c r="AF134" s="8"/>
      <c r="AG134" s="8"/>
      <c r="AH134" s="8"/>
      <c r="AI134" s="8"/>
      <c r="AJ134" s="8"/>
      <c r="AK134" s="8"/>
      <c r="AL134" s="8"/>
      <c r="AM134" s="8"/>
      <c r="AN134" s="8"/>
      <c r="AO134" s="8"/>
      <c r="AP134" s="8"/>
      <c r="AQ134" s="8"/>
    </row>
    <row r="135" spans="1:43" ht="23.25" customHeight="1" thickBot="1" x14ac:dyDescent="0.35">
      <c r="A135" s="11" t="s">
        <v>122</v>
      </c>
      <c r="B135" s="8"/>
      <c r="C135" s="8"/>
      <c r="D135" s="10"/>
      <c r="E135" s="10"/>
      <c r="F135" s="8" t="str">
        <f t="shared" si="4"/>
        <v>gift-codes.html?game=屍戰王朝</v>
      </c>
      <c r="G135" s="10"/>
      <c r="H135" s="10" t="str">
        <f t="shared" si="5"/>
        <v>https://www.ssbuy.tw/game-detail.html?game=屍戰王朝</v>
      </c>
      <c r="I135" s="28" t="s">
        <v>1399</v>
      </c>
      <c r="J135" s="35" t="s">
        <v>125</v>
      </c>
      <c r="K135" s="12">
        <v>2551</v>
      </c>
      <c r="L135" s="11" t="s">
        <v>126</v>
      </c>
      <c r="M135" s="12">
        <v>2386</v>
      </c>
      <c r="N135" s="11" t="s">
        <v>127</v>
      </c>
      <c r="O135" s="12">
        <v>1987</v>
      </c>
      <c r="P135" s="11" t="s">
        <v>128</v>
      </c>
      <c r="Q135" s="12">
        <v>1323</v>
      </c>
      <c r="R135" s="11" t="s">
        <v>129</v>
      </c>
      <c r="S135" s="12">
        <v>1078</v>
      </c>
      <c r="T135" s="11" t="s">
        <v>130</v>
      </c>
      <c r="U135" s="12">
        <v>786</v>
      </c>
      <c r="V135" s="11" t="s">
        <v>131</v>
      </c>
      <c r="W135" s="12">
        <v>539</v>
      </c>
      <c r="X135" s="11" t="s">
        <v>132</v>
      </c>
      <c r="Y135" s="12">
        <v>394</v>
      </c>
      <c r="Z135" s="11" t="s">
        <v>133</v>
      </c>
      <c r="AA135" s="12">
        <v>267</v>
      </c>
      <c r="AB135" s="11" t="s">
        <v>134</v>
      </c>
      <c r="AC135" s="12">
        <v>141</v>
      </c>
      <c r="AD135" s="11" t="s">
        <v>135</v>
      </c>
      <c r="AE135" s="12">
        <v>27</v>
      </c>
      <c r="AF135" s="11" t="s">
        <v>136</v>
      </c>
      <c r="AG135" s="12">
        <v>227</v>
      </c>
      <c r="AH135" s="8"/>
      <c r="AI135" s="8"/>
      <c r="AJ135" s="8"/>
      <c r="AK135" s="8"/>
      <c r="AL135" s="8"/>
      <c r="AM135" s="8"/>
      <c r="AN135" s="8"/>
      <c r="AO135" s="8"/>
      <c r="AP135" s="8"/>
      <c r="AQ135" s="8"/>
    </row>
    <row r="136" spans="1:43" ht="23.25" customHeight="1" thickBot="1" x14ac:dyDescent="0.35">
      <c r="A136" s="11" t="s">
        <v>123</v>
      </c>
      <c r="B136" s="8"/>
      <c r="C136" s="8"/>
      <c r="D136" s="10"/>
      <c r="E136" s="10"/>
      <c r="F136" s="8" t="str">
        <f t="shared" si="4"/>
        <v>gift-codes.html?game=機甲變變變</v>
      </c>
      <c r="G136" s="10"/>
      <c r="H136" s="10" t="str">
        <f t="shared" si="5"/>
        <v>https://www.ssbuy.tw/game-detail.html?game=機甲變變變</v>
      </c>
      <c r="I136" s="28" t="s">
        <v>1400</v>
      </c>
      <c r="J136" s="35" t="s">
        <v>4</v>
      </c>
      <c r="K136" s="12">
        <v>2551</v>
      </c>
      <c r="L136" s="11" t="s">
        <v>137</v>
      </c>
      <c r="M136" s="12">
        <v>1323</v>
      </c>
      <c r="N136" s="11" t="s">
        <v>138</v>
      </c>
      <c r="O136" s="12">
        <v>539</v>
      </c>
      <c r="P136" s="11" t="s">
        <v>139</v>
      </c>
      <c r="Q136" s="12">
        <v>267</v>
      </c>
      <c r="R136" s="11" t="s">
        <v>140</v>
      </c>
      <c r="S136" s="12">
        <v>141</v>
      </c>
      <c r="T136" s="11" t="s">
        <v>7</v>
      </c>
      <c r="U136" s="12">
        <v>30</v>
      </c>
      <c r="V136" s="11" t="s">
        <v>141</v>
      </c>
      <c r="W136" s="12">
        <v>141</v>
      </c>
      <c r="X136" s="11" t="s">
        <v>142</v>
      </c>
      <c r="Y136" s="12">
        <v>539</v>
      </c>
      <c r="Z136" s="11" t="s">
        <v>143</v>
      </c>
      <c r="AA136" s="12">
        <v>267</v>
      </c>
      <c r="AB136" s="11" t="s">
        <v>144</v>
      </c>
      <c r="AC136" s="12">
        <v>786</v>
      </c>
      <c r="AD136" s="8"/>
      <c r="AE136" s="8"/>
      <c r="AF136" s="8"/>
      <c r="AG136" s="8"/>
      <c r="AH136" s="8"/>
      <c r="AI136" s="8"/>
      <c r="AJ136" s="8"/>
      <c r="AK136" s="8"/>
      <c r="AL136" s="8"/>
      <c r="AM136" s="8"/>
      <c r="AN136" s="8"/>
      <c r="AO136" s="8"/>
      <c r="AP136" s="8"/>
      <c r="AQ136" s="8"/>
    </row>
    <row r="137" spans="1:43" ht="23.25" customHeight="1" thickBot="1" x14ac:dyDescent="0.35">
      <c r="A137" s="11" t="s">
        <v>1401</v>
      </c>
      <c r="B137" s="8"/>
      <c r="C137" s="8"/>
      <c r="D137" s="10"/>
      <c r="E137" s="10"/>
      <c r="F137" s="8" t="str">
        <f t="shared" si="4"/>
        <v>gift-codes.html?game=狼少女蘭吉</v>
      </c>
      <c r="G137" s="10"/>
      <c r="H137" s="10" t="str">
        <f t="shared" si="5"/>
        <v>https://www.ssbuy.tw/game-detail.html?game=狼少女蘭吉</v>
      </c>
      <c r="I137" s="28" t="s">
        <v>1402</v>
      </c>
      <c r="J137" s="35" t="s">
        <v>145</v>
      </c>
      <c r="K137" s="12">
        <v>1845</v>
      </c>
      <c r="L137" s="11" t="s">
        <v>146</v>
      </c>
      <c r="M137" s="12">
        <v>786</v>
      </c>
      <c r="N137" s="11" t="s">
        <v>147</v>
      </c>
      <c r="O137" s="12">
        <v>539</v>
      </c>
      <c r="P137" s="11" t="s">
        <v>148</v>
      </c>
      <c r="Q137" s="12">
        <v>183</v>
      </c>
      <c r="R137" s="11" t="s">
        <v>149</v>
      </c>
      <c r="S137" s="12">
        <v>109</v>
      </c>
      <c r="T137" s="11" t="s">
        <v>64</v>
      </c>
      <c r="U137" s="12">
        <v>30</v>
      </c>
      <c r="V137" s="11" t="s">
        <v>150</v>
      </c>
      <c r="W137" s="12">
        <v>1603</v>
      </c>
      <c r="X137" s="11" t="s">
        <v>47</v>
      </c>
      <c r="Y137" s="12">
        <v>1054</v>
      </c>
      <c r="Z137" s="11" t="s">
        <v>151</v>
      </c>
      <c r="AA137" s="12">
        <v>786</v>
      </c>
      <c r="AB137" s="11" t="s">
        <v>152</v>
      </c>
      <c r="AC137" s="12">
        <v>539</v>
      </c>
      <c r="AD137" s="11" t="s">
        <v>153</v>
      </c>
      <c r="AE137" s="12">
        <v>394</v>
      </c>
      <c r="AF137" s="11" t="s">
        <v>154</v>
      </c>
      <c r="AG137" s="12">
        <v>158</v>
      </c>
      <c r="AH137" s="11" t="s">
        <v>11</v>
      </c>
      <c r="AI137" s="12">
        <v>109</v>
      </c>
      <c r="AJ137" s="8"/>
      <c r="AK137" s="8"/>
      <c r="AL137" s="8"/>
      <c r="AM137" s="8"/>
      <c r="AN137" s="8"/>
      <c r="AO137" s="8"/>
      <c r="AP137" s="8"/>
      <c r="AQ137" s="8"/>
    </row>
    <row r="138" spans="1:43" ht="23.25" customHeight="1" thickBot="1" x14ac:dyDescent="0.35">
      <c r="A138" s="11" t="s">
        <v>3239</v>
      </c>
      <c r="B138" s="8"/>
      <c r="C138" s="8"/>
      <c r="D138" s="10"/>
      <c r="E138" s="10"/>
      <c r="F138" s="8" t="str">
        <f t="shared" si="4"/>
        <v>gift-codes.html?game=RO仙境傳說：曙光</v>
      </c>
      <c r="G138" s="10"/>
      <c r="H138" s="10" t="str">
        <f t="shared" si="5"/>
        <v>https://www.ssbuy.tw/game-detail.html?game=RO仙境傳說：曙光</v>
      </c>
      <c r="I138" s="28" t="s">
        <v>1403</v>
      </c>
      <c r="J138" s="35" t="s">
        <v>155</v>
      </c>
      <c r="K138" s="12">
        <v>2551</v>
      </c>
      <c r="L138" s="11" t="s">
        <v>156</v>
      </c>
      <c r="M138" s="12">
        <v>1323</v>
      </c>
      <c r="N138" s="11" t="s">
        <v>157</v>
      </c>
      <c r="O138" s="12">
        <v>786</v>
      </c>
      <c r="P138" s="11" t="s">
        <v>158</v>
      </c>
      <c r="Q138" s="12">
        <v>539</v>
      </c>
      <c r="R138" s="11" t="s">
        <v>159</v>
      </c>
      <c r="S138" s="12">
        <v>394</v>
      </c>
      <c r="T138" s="11" t="s">
        <v>160</v>
      </c>
      <c r="U138" s="12">
        <v>267</v>
      </c>
      <c r="V138" s="11" t="s">
        <v>161</v>
      </c>
      <c r="W138" s="12">
        <v>141</v>
      </c>
      <c r="X138" s="11" t="s">
        <v>162</v>
      </c>
      <c r="Y138" s="12">
        <v>30</v>
      </c>
      <c r="Z138" s="8"/>
      <c r="AA138" s="8"/>
      <c r="AB138" s="8"/>
      <c r="AC138" s="8"/>
      <c r="AD138" s="8"/>
      <c r="AE138" s="8"/>
      <c r="AF138" s="8"/>
      <c r="AG138" s="8"/>
      <c r="AH138" s="8"/>
      <c r="AI138" s="8"/>
      <c r="AJ138" s="8"/>
      <c r="AK138" s="8"/>
      <c r="AL138" s="8"/>
      <c r="AM138" s="8"/>
      <c r="AN138" s="8"/>
      <c r="AO138" s="8"/>
      <c r="AP138" s="8"/>
      <c r="AQ138" s="8"/>
    </row>
    <row r="139" spans="1:43" ht="23.25" customHeight="1" thickBot="1" x14ac:dyDescent="0.35">
      <c r="A139" s="11" t="s">
        <v>124</v>
      </c>
      <c r="B139" s="8"/>
      <c r="C139" s="8"/>
      <c r="D139" s="10"/>
      <c r="E139" s="10"/>
      <c r="F139" s="8" t="str">
        <f t="shared" si="4"/>
        <v>gift-codes.html?game=星曲Ultra</v>
      </c>
      <c r="G139" s="10"/>
      <c r="H139" s="10" t="str">
        <f t="shared" si="5"/>
        <v>https://www.ssbuy.tw/game-detail.html?game=星曲Ultra</v>
      </c>
      <c r="I139" s="28" t="s">
        <v>1404</v>
      </c>
      <c r="J139" s="35" t="s">
        <v>4</v>
      </c>
      <c r="K139" s="12">
        <v>2551</v>
      </c>
      <c r="L139" s="11" t="s">
        <v>5</v>
      </c>
      <c r="M139" s="12">
        <v>1323</v>
      </c>
      <c r="N139" s="11" t="s">
        <v>17</v>
      </c>
      <c r="O139" s="12">
        <v>539</v>
      </c>
      <c r="P139" s="11" t="s">
        <v>163</v>
      </c>
      <c r="Q139" s="12">
        <v>267</v>
      </c>
      <c r="R139" s="11" t="s">
        <v>6</v>
      </c>
      <c r="S139" s="12">
        <v>141</v>
      </c>
      <c r="T139" s="11" t="s">
        <v>164</v>
      </c>
      <c r="U139" s="12">
        <v>30</v>
      </c>
      <c r="V139" s="11" t="s">
        <v>165</v>
      </c>
      <c r="W139" s="12">
        <v>450</v>
      </c>
      <c r="X139" s="8"/>
      <c r="Y139" s="8"/>
      <c r="Z139" s="8"/>
      <c r="AA139" s="8"/>
      <c r="AB139" s="8"/>
      <c r="AC139" s="8"/>
      <c r="AD139" s="8"/>
      <c r="AE139" s="8"/>
      <c r="AF139" s="8"/>
      <c r="AG139" s="8"/>
      <c r="AH139" s="8"/>
      <c r="AI139" s="8"/>
      <c r="AJ139" s="8"/>
      <c r="AK139" s="8"/>
      <c r="AL139" s="8"/>
      <c r="AM139" s="8"/>
      <c r="AN139" s="8"/>
      <c r="AO139" s="8"/>
      <c r="AP139" s="8"/>
      <c r="AQ139" s="8"/>
    </row>
    <row r="140" spans="1:43" ht="23.25" customHeight="1" thickBot="1" x14ac:dyDescent="0.35">
      <c r="A140" s="11" t="s">
        <v>166</v>
      </c>
      <c r="B140" s="8"/>
      <c r="C140" s="8"/>
      <c r="D140" s="10"/>
      <c r="E140" s="10"/>
      <c r="F140" s="8" t="str">
        <f t="shared" si="4"/>
        <v>gift-codes.html?game=第七天災</v>
      </c>
      <c r="G140" s="10"/>
      <c r="H140" s="10" t="str">
        <f t="shared" si="5"/>
        <v>https://www.ssbuy.tw/game-detail.html?game=第七天災</v>
      </c>
      <c r="I140" s="28" t="s">
        <v>1405</v>
      </c>
      <c r="J140" s="35" t="s">
        <v>168</v>
      </c>
      <c r="K140" s="12">
        <v>2551</v>
      </c>
      <c r="L140" s="11" t="s">
        <v>169</v>
      </c>
      <c r="M140" s="12">
        <v>1323</v>
      </c>
      <c r="N140" s="11" t="s">
        <v>170</v>
      </c>
      <c r="O140" s="12">
        <v>786</v>
      </c>
      <c r="P140" s="11" t="s">
        <v>171</v>
      </c>
      <c r="Q140" s="12">
        <v>539</v>
      </c>
      <c r="R140" s="11" t="s">
        <v>172</v>
      </c>
      <c r="S140" s="12">
        <v>394</v>
      </c>
      <c r="T140" s="11" t="s">
        <v>173</v>
      </c>
      <c r="U140" s="12">
        <v>267</v>
      </c>
      <c r="V140" s="11" t="s">
        <v>174</v>
      </c>
      <c r="W140" s="12">
        <v>148</v>
      </c>
      <c r="X140" s="11" t="s">
        <v>175</v>
      </c>
      <c r="Y140" s="12">
        <v>35</v>
      </c>
      <c r="Z140" s="11" t="s">
        <v>176</v>
      </c>
      <c r="AA140" s="12">
        <v>52</v>
      </c>
      <c r="AB140" s="11" t="s">
        <v>177</v>
      </c>
      <c r="AC140" s="12">
        <v>267</v>
      </c>
      <c r="AD140" s="11" t="s">
        <v>178</v>
      </c>
      <c r="AE140" s="12">
        <v>148</v>
      </c>
      <c r="AF140" s="8"/>
      <c r="AG140" s="8"/>
      <c r="AH140" s="8"/>
      <c r="AI140" s="8"/>
      <c r="AJ140" s="8"/>
      <c r="AK140" s="8"/>
      <c r="AL140" s="8"/>
      <c r="AM140" s="8"/>
      <c r="AN140" s="8"/>
      <c r="AO140" s="8"/>
      <c r="AP140" s="8"/>
      <c r="AQ140" s="8"/>
    </row>
    <row r="141" spans="1:43" ht="23.25" customHeight="1" thickBot="1" x14ac:dyDescent="0.35">
      <c r="A141" s="11" t="s">
        <v>1406</v>
      </c>
      <c r="B141" s="8"/>
      <c r="C141" s="8"/>
      <c r="D141" s="10"/>
      <c r="E141" s="10"/>
      <c r="F141" s="8" t="str">
        <f t="shared" si="4"/>
        <v>gift-codes.html?game=百萬神界</v>
      </c>
      <c r="G141" s="10"/>
      <c r="H141" s="10" t="str">
        <f t="shared" si="5"/>
        <v>https://www.ssbuy.tw/game-detail.html?game=百萬神界</v>
      </c>
      <c r="I141" s="28" t="s">
        <v>1407</v>
      </c>
      <c r="J141" s="35" t="s">
        <v>179</v>
      </c>
      <c r="K141" s="12">
        <v>2753</v>
      </c>
      <c r="L141" s="11" t="s">
        <v>180</v>
      </c>
      <c r="M141" s="12">
        <v>1394</v>
      </c>
      <c r="N141" s="11" t="s">
        <v>181</v>
      </c>
      <c r="O141" s="12">
        <v>850</v>
      </c>
      <c r="P141" s="11" t="s">
        <v>182</v>
      </c>
      <c r="Q141" s="12">
        <v>539</v>
      </c>
      <c r="R141" s="11" t="s">
        <v>183</v>
      </c>
      <c r="S141" s="12">
        <v>289</v>
      </c>
      <c r="T141" s="11" t="s">
        <v>65</v>
      </c>
      <c r="U141" s="12">
        <v>152</v>
      </c>
      <c r="V141" s="11" t="s">
        <v>121</v>
      </c>
      <c r="W141" s="12">
        <v>30</v>
      </c>
      <c r="X141" s="8"/>
      <c r="Y141" s="8"/>
      <c r="Z141" s="8"/>
      <c r="AA141" s="8"/>
      <c r="AB141" s="8"/>
      <c r="AC141" s="8"/>
      <c r="AD141" s="8"/>
      <c r="AE141" s="8"/>
      <c r="AF141" s="8"/>
      <c r="AG141" s="8"/>
      <c r="AH141" s="8"/>
      <c r="AI141" s="8"/>
      <c r="AJ141" s="8"/>
      <c r="AK141" s="8"/>
      <c r="AL141" s="8"/>
      <c r="AM141" s="8"/>
      <c r="AN141" s="8"/>
      <c r="AO141" s="8"/>
      <c r="AP141" s="8"/>
      <c r="AQ141" s="8"/>
    </row>
    <row r="142" spans="1:43" ht="23.25" customHeight="1" thickBot="1" x14ac:dyDescent="0.35">
      <c r="A142" s="11" t="s">
        <v>167</v>
      </c>
      <c r="B142" s="8"/>
      <c r="C142" s="8"/>
      <c r="D142" s="10"/>
      <c r="E142" s="10"/>
      <c r="F142" s="8" t="str">
        <f t="shared" si="4"/>
        <v>gift-codes.html?game=Dark war</v>
      </c>
      <c r="G142" s="10"/>
      <c r="H142" s="10" t="str">
        <f t="shared" si="5"/>
        <v>https://www.ssbuy.tw/game-detail.html?game=Dark war</v>
      </c>
      <c r="I142" s="28" t="s">
        <v>1408</v>
      </c>
      <c r="J142" s="35" t="s">
        <v>4</v>
      </c>
      <c r="K142" s="12">
        <v>2474</v>
      </c>
      <c r="L142" s="11" t="s">
        <v>5</v>
      </c>
      <c r="M142" s="12">
        <v>1257</v>
      </c>
      <c r="N142" s="11" t="s">
        <v>17</v>
      </c>
      <c r="O142" s="12">
        <v>522</v>
      </c>
      <c r="P142" s="11" t="s">
        <v>163</v>
      </c>
      <c r="Q142" s="12">
        <v>267</v>
      </c>
      <c r="R142" s="11" t="s">
        <v>6</v>
      </c>
      <c r="S142" s="12">
        <v>139</v>
      </c>
      <c r="T142" s="11" t="s">
        <v>164</v>
      </c>
      <c r="U142" s="12">
        <v>35</v>
      </c>
      <c r="V142" s="11" t="s">
        <v>184</v>
      </c>
      <c r="W142" s="12">
        <v>522</v>
      </c>
      <c r="X142" s="11" t="s">
        <v>185</v>
      </c>
      <c r="Y142" s="12">
        <v>637</v>
      </c>
      <c r="Z142" s="11" t="s">
        <v>186</v>
      </c>
      <c r="AA142" s="12">
        <v>83</v>
      </c>
      <c r="AB142" s="8"/>
      <c r="AC142" s="8"/>
      <c r="AD142" s="8"/>
      <c r="AE142" s="8"/>
      <c r="AF142" s="8"/>
      <c r="AG142" s="8"/>
      <c r="AH142" s="8"/>
      <c r="AI142" s="8"/>
      <c r="AJ142" s="8"/>
      <c r="AK142" s="8"/>
      <c r="AL142" s="8"/>
      <c r="AM142" s="8"/>
      <c r="AN142" s="8"/>
      <c r="AO142" s="8"/>
      <c r="AP142" s="8"/>
      <c r="AQ142" s="8"/>
    </row>
    <row r="143" spans="1:43" ht="23.25" customHeight="1" thickBot="1" x14ac:dyDescent="0.35">
      <c r="A143" s="8" t="s">
        <v>187</v>
      </c>
      <c r="B143" s="8"/>
      <c r="C143" s="8"/>
      <c r="D143" s="10"/>
      <c r="E143" s="10"/>
      <c r="F143" s="8" t="str">
        <f t="shared" si="4"/>
        <v>gift-codes.html?game=美男惡徒</v>
      </c>
      <c r="G143" s="10"/>
      <c r="H143" s="10" t="str">
        <f t="shared" si="5"/>
        <v>https://www.ssbuy.tw/game-detail.html?game=美男惡徒</v>
      </c>
      <c r="I143" s="28" t="s">
        <v>1409</v>
      </c>
      <c r="J143" s="37" t="s">
        <v>188</v>
      </c>
      <c r="K143" s="14">
        <v>2551</v>
      </c>
      <c r="L143" s="13" t="s">
        <v>189</v>
      </c>
      <c r="M143" s="14">
        <v>1764</v>
      </c>
      <c r="N143" s="13" t="s">
        <v>190</v>
      </c>
      <c r="O143" s="14">
        <v>1217</v>
      </c>
      <c r="P143" s="13" t="s">
        <v>191</v>
      </c>
      <c r="Q143" s="14">
        <v>727</v>
      </c>
      <c r="R143" s="13" t="s">
        <v>63</v>
      </c>
      <c r="S143" s="14">
        <v>394</v>
      </c>
      <c r="T143" s="13" t="s">
        <v>192</v>
      </c>
      <c r="U143" s="14">
        <v>267</v>
      </c>
      <c r="V143" s="13" t="s">
        <v>193</v>
      </c>
      <c r="W143" s="14">
        <v>165</v>
      </c>
      <c r="X143" s="13" t="s">
        <v>194</v>
      </c>
      <c r="Y143" s="14">
        <v>61</v>
      </c>
      <c r="Z143" s="13" t="s">
        <v>195</v>
      </c>
      <c r="AA143" s="14">
        <v>35</v>
      </c>
      <c r="AB143" s="13" t="s">
        <v>196</v>
      </c>
      <c r="AC143" s="14">
        <v>157</v>
      </c>
      <c r="AD143" s="8"/>
      <c r="AE143" s="8"/>
      <c r="AF143" s="8"/>
      <c r="AG143" s="8"/>
      <c r="AH143" s="8"/>
      <c r="AI143" s="8"/>
      <c r="AJ143" s="8"/>
      <c r="AK143" s="8"/>
      <c r="AL143" s="8"/>
      <c r="AM143" s="8"/>
      <c r="AN143" s="8"/>
      <c r="AO143" s="8"/>
      <c r="AP143" s="8"/>
      <c r="AQ143" s="8"/>
    </row>
    <row r="144" spans="1:43" ht="23.25" customHeight="1" thickBot="1" x14ac:dyDescent="0.35">
      <c r="A144" s="18" t="s">
        <v>197</v>
      </c>
      <c r="B144" s="8"/>
      <c r="C144" s="8"/>
      <c r="D144" s="10"/>
      <c r="E144" s="10"/>
      <c r="F144" s="8" t="str">
        <f t="shared" si="4"/>
        <v>gift-codes.html?game=三國冰河時代</v>
      </c>
      <c r="G144" s="10"/>
      <c r="H144" s="10" t="str">
        <f t="shared" si="5"/>
        <v>https://www.ssbuy.tw/game-detail.html?game=三國冰河時代</v>
      </c>
      <c r="I144" s="27" t="s">
        <v>224</v>
      </c>
      <c r="J144" s="37" t="s">
        <v>200</v>
      </c>
      <c r="K144" s="14">
        <v>2551</v>
      </c>
      <c r="L144" s="13" t="s">
        <v>201</v>
      </c>
      <c r="M144" s="14">
        <v>1323</v>
      </c>
      <c r="N144" s="13" t="s">
        <v>202</v>
      </c>
      <c r="O144" s="14">
        <v>539</v>
      </c>
      <c r="P144" s="13" t="s">
        <v>203</v>
      </c>
      <c r="Q144" s="14">
        <v>267</v>
      </c>
      <c r="R144" s="13" t="s">
        <v>204</v>
      </c>
      <c r="S144" s="14">
        <v>148</v>
      </c>
      <c r="T144" s="13" t="s">
        <v>205</v>
      </c>
      <c r="U144" s="14">
        <v>35</v>
      </c>
      <c r="V144" s="13" t="s">
        <v>206</v>
      </c>
      <c r="W144" s="14">
        <v>57</v>
      </c>
      <c r="X144" s="8"/>
      <c r="Y144" s="8"/>
      <c r="Z144" s="8"/>
      <c r="AA144" s="8"/>
      <c r="AB144" s="8"/>
      <c r="AC144" s="8"/>
      <c r="AD144" s="8"/>
      <c r="AE144" s="8"/>
      <c r="AF144" s="8"/>
      <c r="AG144" s="8"/>
      <c r="AH144" s="8"/>
      <c r="AI144" s="8"/>
      <c r="AJ144" s="8"/>
      <c r="AK144" s="8"/>
      <c r="AL144" s="8"/>
      <c r="AM144" s="8"/>
      <c r="AN144" s="8"/>
      <c r="AO144" s="8"/>
      <c r="AP144" s="8"/>
      <c r="AQ144" s="8"/>
    </row>
    <row r="145" spans="1:43" ht="23.25" customHeight="1" thickBot="1" x14ac:dyDescent="0.35">
      <c r="A145" s="15" t="s">
        <v>198</v>
      </c>
      <c r="B145" s="8"/>
      <c r="C145" s="8"/>
      <c r="D145" s="10"/>
      <c r="E145" s="10"/>
      <c r="F145" s="8" t="str">
        <f t="shared" si="4"/>
        <v>gift-codes.html?game=暗黑崛起</v>
      </c>
      <c r="G145" s="10"/>
      <c r="H145" s="10" t="str">
        <f t="shared" si="5"/>
        <v>https://www.ssbuy.tw/game-detail.html?game=暗黑崛起</v>
      </c>
      <c r="I145" s="27" t="s">
        <v>225</v>
      </c>
      <c r="J145" s="37" t="s">
        <v>18</v>
      </c>
      <c r="K145" s="14">
        <v>2386</v>
      </c>
      <c r="L145" s="13" t="s">
        <v>19</v>
      </c>
      <c r="M145" s="14">
        <v>1442</v>
      </c>
      <c r="N145" s="13" t="s">
        <v>20</v>
      </c>
      <c r="O145" s="14">
        <v>786</v>
      </c>
      <c r="P145" s="13" t="s">
        <v>207</v>
      </c>
      <c r="Q145" s="14">
        <v>394</v>
      </c>
      <c r="R145" s="13" t="s">
        <v>23</v>
      </c>
      <c r="S145" s="14">
        <v>130</v>
      </c>
      <c r="T145" s="13" t="s">
        <v>208</v>
      </c>
      <c r="U145" s="14">
        <v>35</v>
      </c>
      <c r="V145" s="13" t="s">
        <v>209</v>
      </c>
      <c r="W145" s="14">
        <v>104</v>
      </c>
      <c r="X145" s="8"/>
      <c r="Y145" s="8"/>
      <c r="Z145" s="8"/>
      <c r="AA145" s="8"/>
      <c r="AB145" s="8"/>
      <c r="AC145" s="8"/>
      <c r="AD145" s="8"/>
      <c r="AE145" s="8"/>
      <c r="AF145" s="8"/>
      <c r="AG145" s="8"/>
      <c r="AH145" s="8"/>
      <c r="AI145" s="8"/>
      <c r="AJ145" s="8"/>
      <c r="AK145" s="8"/>
      <c r="AL145" s="8"/>
      <c r="AM145" s="8"/>
      <c r="AN145" s="8"/>
      <c r="AO145" s="8"/>
      <c r="AP145" s="8"/>
      <c r="AQ145" s="8"/>
    </row>
    <row r="146" spans="1:43" ht="23.25" customHeight="1" thickBot="1" x14ac:dyDescent="0.35">
      <c r="A146" s="15" t="s">
        <v>199</v>
      </c>
      <c r="B146" s="8"/>
      <c r="C146" s="8"/>
      <c r="D146" s="10"/>
      <c r="E146" s="10"/>
      <c r="F146" s="8" t="str">
        <f t="shared" si="4"/>
        <v>gift-codes.html?game=轉生魔劍士養成：策略放置RPG</v>
      </c>
      <c r="G146" s="10"/>
      <c r="H146" s="10" t="str">
        <f t="shared" si="5"/>
        <v>https://www.ssbuy.tw/game-detail.html?game=轉生魔劍士養成：策略放置RPG</v>
      </c>
      <c r="I146" s="27" t="s">
        <v>226</v>
      </c>
      <c r="J146" s="37" t="s">
        <v>210</v>
      </c>
      <c r="K146" s="14">
        <v>2386</v>
      </c>
      <c r="L146" s="13" t="s">
        <v>211</v>
      </c>
      <c r="M146" s="14">
        <v>1603</v>
      </c>
      <c r="N146" s="13" t="s">
        <v>212</v>
      </c>
      <c r="O146" s="14">
        <v>786</v>
      </c>
      <c r="P146" s="13" t="s">
        <v>213</v>
      </c>
      <c r="Q146" s="14">
        <v>278</v>
      </c>
      <c r="R146" s="13" t="s">
        <v>214</v>
      </c>
      <c r="S146" s="14">
        <v>130</v>
      </c>
      <c r="T146" s="13" t="s">
        <v>215</v>
      </c>
      <c r="U146" s="14">
        <v>52</v>
      </c>
      <c r="V146" s="13" t="s">
        <v>216</v>
      </c>
      <c r="W146" s="14">
        <v>130</v>
      </c>
      <c r="X146" s="13" t="s">
        <v>217</v>
      </c>
      <c r="Y146" s="14">
        <v>278</v>
      </c>
      <c r="Z146" s="13" t="s">
        <v>218</v>
      </c>
      <c r="AA146" s="14">
        <v>539</v>
      </c>
      <c r="AB146" s="13" t="s">
        <v>219</v>
      </c>
      <c r="AC146" s="14">
        <v>786</v>
      </c>
      <c r="AD146" s="8"/>
      <c r="AE146" s="8"/>
      <c r="AF146" s="8"/>
      <c r="AG146" s="8"/>
      <c r="AH146" s="8"/>
      <c r="AI146" s="8"/>
      <c r="AJ146" s="8"/>
      <c r="AK146" s="8"/>
      <c r="AL146" s="8"/>
      <c r="AM146" s="8"/>
      <c r="AN146" s="8"/>
      <c r="AO146" s="8"/>
      <c r="AP146" s="8"/>
      <c r="AQ146" s="8"/>
    </row>
    <row r="147" spans="1:43" ht="23.25" customHeight="1" thickBot="1" x14ac:dyDescent="0.35">
      <c r="A147" s="18" t="s">
        <v>220</v>
      </c>
      <c r="B147" s="8"/>
      <c r="C147" s="8"/>
      <c r="D147" s="10"/>
      <c r="E147" s="10"/>
      <c r="F147" s="8" t="str">
        <f t="shared" si="4"/>
        <v>gift-codes.html?game=極速漂移：3V3</v>
      </c>
      <c r="G147" s="10"/>
      <c r="H147" s="10" t="str">
        <f t="shared" si="5"/>
        <v>https://www.ssbuy.tw/game-detail.html?game=極速漂移：3V3</v>
      </c>
      <c r="I147" s="27" t="s">
        <v>227</v>
      </c>
      <c r="J147" s="37" t="s">
        <v>4</v>
      </c>
      <c r="K147" s="14">
        <v>2386</v>
      </c>
      <c r="L147" s="13" t="s">
        <v>5</v>
      </c>
      <c r="M147" s="14">
        <v>1217</v>
      </c>
      <c r="N147" s="13" t="s">
        <v>17</v>
      </c>
      <c r="O147" s="14">
        <v>539</v>
      </c>
      <c r="P147" s="13" t="s">
        <v>163</v>
      </c>
      <c r="Q147" s="14">
        <v>278</v>
      </c>
      <c r="R147" s="13" t="s">
        <v>6</v>
      </c>
      <c r="S147" s="14">
        <v>130</v>
      </c>
      <c r="T147" s="13" t="s">
        <v>164</v>
      </c>
      <c r="U147" s="14">
        <v>35</v>
      </c>
      <c r="V147" s="13" t="s">
        <v>221</v>
      </c>
      <c r="W147" s="14">
        <v>278</v>
      </c>
      <c r="X147" s="13" t="s">
        <v>222</v>
      </c>
      <c r="Y147" s="14">
        <v>539</v>
      </c>
      <c r="Z147" s="13" t="s">
        <v>107</v>
      </c>
      <c r="AA147" s="14">
        <v>130</v>
      </c>
      <c r="AB147" s="13" t="s">
        <v>66</v>
      </c>
      <c r="AC147" s="14">
        <v>323</v>
      </c>
      <c r="AD147" s="13" t="s">
        <v>223</v>
      </c>
      <c r="AE147" s="14">
        <v>87</v>
      </c>
      <c r="AF147" s="8"/>
      <c r="AG147" s="8"/>
      <c r="AH147" s="8"/>
      <c r="AI147" s="8"/>
      <c r="AJ147" s="8"/>
      <c r="AK147" s="8"/>
      <c r="AL147" s="8"/>
      <c r="AM147" s="8"/>
      <c r="AN147" s="8"/>
      <c r="AO147" s="8"/>
      <c r="AP147" s="8"/>
      <c r="AQ147" s="8"/>
    </row>
    <row r="148" spans="1:43" ht="23.25" customHeight="1" thickBot="1" x14ac:dyDescent="0.35">
      <c r="A148" s="15" t="s">
        <v>228</v>
      </c>
      <c r="B148" s="8"/>
      <c r="C148" s="8"/>
      <c r="D148" s="10"/>
      <c r="E148" s="10"/>
      <c r="F148" s="8" t="str">
        <f t="shared" si="4"/>
        <v>gift-codes.html?game=斗羅大陸：獵魂世界</v>
      </c>
      <c r="G148" s="10"/>
      <c r="H148" s="10" t="str">
        <f t="shared" si="5"/>
        <v>https://www.ssbuy.tw/game-detail.html?game=斗羅大陸：獵魂世界</v>
      </c>
      <c r="I148" s="27" t="s">
        <v>230</v>
      </c>
      <c r="J148" s="37" t="s">
        <v>12</v>
      </c>
      <c r="K148" s="14">
        <v>2595</v>
      </c>
      <c r="L148" s="13" t="s">
        <v>13</v>
      </c>
      <c r="M148" s="14">
        <v>1323</v>
      </c>
      <c r="N148" s="13" t="s">
        <v>24</v>
      </c>
      <c r="O148" s="14">
        <v>786</v>
      </c>
      <c r="P148" s="13" t="s">
        <v>14</v>
      </c>
      <c r="Q148" s="14">
        <v>548</v>
      </c>
      <c r="R148" s="13" t="s">
        <v>232</v>
      </c>
      <c r="S148" s="14">
        <v>394</v>
      </c>
      <c r="T148" s="13" t="s">
        <v>233</v>
      </c>
      <c r="U148" s="14">
        <v>198</v>
      </c>
      <c r="V148" s="13" t="s">
        <v>121</v>
      </c>
      <c r="W148" s="14">
        <v>86</v>
      </c>
      <c r="X148" s="13" t="s">
        <v>7</v>
      </c>
      <c r="Y148" s="14">
        <v>35</v>
      </c>
      <c r="Z148" s="13" t="s">
        <v>234</v>
      </c>
      <c r="AA148" s="14">
        <v>146</v>
      </c>
      <c r="AB148" s="13" t="s">
        <v>177</v>
      </c>
      <c r="AC148" s="14">
        <v>266</v>
      </c>
      <c r="AD148" s="8"/>
      <c r="AE148" s="8"/>
      <c r="AF148" s="8"/>
      <c r="AG148" s="8"/>
      <c r="AH148" s="8"/>
      <c r="AI148" s="8"/>
      <c r="AJ148" s="8"/>
      <c r="AK148" s="8"/>
      <c r="AL148" s="8"/>
      <c r="AM148" s="8"/>
      <c r="AN148" s="8"/>
      <c r="AO148" s="8"/>
      <c r="AP148" s="8"/>
      <c r="AQ148" s="8"/>
    </row>
    <row r="149" spans="1:43" ht="23.25" customHeight="1" thickBot="1" x14ac:dyDescent="0.35">
      <c r="A149" s="15" t="s">
        <v>229</v>
      </c>
      <c r="B149" s="8"/>
      <c r="C149" s="8"/>
      <c r="D149" s="10"/>
      <c r="E149" s="10"/>
      <c r="F149" s="8" t="str">
        <f t="shared" si="4"/>
        <v>gift-codes.html?game=指點兵兵</v>
      </c>
      <c r="G149" s="10"/>
      <c r="H149" s="10" t="str">
        <f t="shared" si="5"/>
        <v>https://www.ssbuy.tw/game-detail.html?game=指點兵兵</v>
      </c>
      <c r="I149" s="27" t="s">
        <v>231</v>
      </c>
      <c r="J149" s="37" t="s">
        <v>235</v>
      </c>
      <c r="K149" s="14">
        <v>2551</v>
      </c>
      <c r="L149" s="13" t="s">
        <v>236</v>
      </c>
      <c r="M149" s="14">
        <v>1323</v>
      </c>
      <c r="N149" s="13" t="s">
        <v>237</v>
      </c>
      <c r="O149" s="14">
        <v>539</v>
      </c>
      <c r="P149" s="13" t="s">
        <v>238</v>
      </c>
      <c r="Q149" s="14">
        <v>266</v>
      </c>
      <c r="R149" s="13" t="s">
        <v>239</v>
      </c>
      <c r="S149" s="14">
        <v>146</v>
      </c>
      <c r="T149" s="13" t="s">
        <v>240</v>
      </c>
      <c r="U149" s="14">
        <v>35</v>
      </c>
      <c r="V149" s="8"/>
      <c r="W149" s="8"/>
      <c r="X149" s="8"/>
      <c r="Y149" s="8"/>
      <c r="Z149" s="8"/>
      <c r="AA149" s="8"/>
      <c r="AB149" s="8"/>
      <c r="AC149" s="8"/>
      <c r="AD149" s="8"/>
      <c r="AE149" s="8"/>
      <c r="AF149" s="8"/>
      <c r="AG149" s="8"/>
      <c r="AH149" s="8"/>
      <c r="AI149" s="8"/>
      <c r="AJ149" s="8"/>
      <c r="AK149" s="8"/>
      <c r="AL149" s="8"/>
      <c r="AM149" s="8"/>
      <c r="AN149" s="8"/>
      <c r="AO149" s="8"/>
      <c r="AP149" s="8"/>
      <c r="AQ149" s="8"/>
    </row>
    <row r="150" spans="1:43" ht="23.25" customHeight="1" thickBot="1" x14ac:dyDescent="0.35">
      <c r="A150" s="15" t="s">
        <v>241</v>
      </c>
      <c r="B150" s="8"/>
      <c r="C150" s="8"/>
      <c r="D150" s="10"/>
      <c r="E150" s="10"/>
      <c r="F150" s="8" t="str">
        <f t="shared" si="4"/>
        <v>gift-codes.html?game=變身傳奇</v>
      </c>
      <c r="G150" s="10"/>
      <c r="H150" s="10" t="str">
        <f t="shared" si="5"/>
        <v>https://www.ssbuy.tw/game-detail.html?game=變身傳奇</v>
      </c>
      <c r="I150" s="27" t="s">
        <v>243</v>
      </c>
      <c r="J150" s="37" t="s">
        <v>245</v>
      </c>
      <c r="K150" s="14">
        <v>1949</v>
      </c>
      <c r="L150" s="13" t="s">
        <v>246</v>
      </c>
      <c r="M150" s="14">
        <v>1010</v>
      </c>
      <c r="N150" s="13" t="s">
        <v>247</v>
      </c>
      <c r="O150" s="14">
        <v>618</v>
      </c>
      <c r="P150" s="13" t="s">
        <v>248</v>
      </c>
      <c r="Q150" s="14">
        <v>310</v>
      </c>
      <c r="R150" s="13" t="s">
        <v>1410</v>
      </c>
      <c r="S150" s="14">
        <v>230</v>
      </c>
      <c r="T150" s="13" t="s">
        <v>17</v>
      </c>
      <c r="U150" s="14">
        <v>76</v>
      </c>
      <c r="V150" s="13" t="s">
        <v>249</v>
      </c>
      <c r="W150" s="14">
        <v>230</v>
      </c>
      <c r="X150" s="13" t="s">
        <v>250</v>
      </c>
      <c r="Y150" s="14">
        <v>175</v>
      </c>
      <c r="Z150" s="13" t="s">
        <v>251</v>
      </c>
      <c r="AA150" s="14">
        <v>127</v>
      </c>
      <c r="AB150" s="13" t="s">
        <v>252</v>
      </c>
      <c r="AC150" s="14">
        <v>101</v>
      </c>
      <c r="AD150" s="13" t="s">
        <v>253</v>
      </c>
      <c r="AE150" s="14">
        <v>51</v>
      </c>
      <c r="AF150" s="8"/>
      <c r="AG150" s="8"/>
      <c r="AH150" s="8"/>
      <c r="AI150" s="8"/>
      <c r="AJ150" s="8"/>
      <c r="AK150" s="8"/>
      <c r="AL150" s="8"/>
      <c r="AM150" s="8"/>
      <c r="AN150" s="8"/>
      <c r="AO150" s="8"/>
      <c r="AP150" s="8"/>
      <c r="AQ150" s="8"/>
    </row>
    <row r="151" spans="1:43" ht="23.25" customHeight="1" thickBot="1" x14ac:dyDescent="0.35">
      <c r="A151" s="15" t="s">
        <v>242</v>
      </c>
      <c r="B151" s="8"/>
      <c r="C151" s="8"/>
      <c r="D151" s="10"/>
      <c r="E151" s="10"/>
      <c r="F151" s="8" t="str">
        <f t="shared" si="4"/>
        <v>gift-codes.html?game=Blue eyes：公會大師</v>
      </c>
      <c r="G151" s="10"/>
      <c r="H151" s="10" t="str">
        <f t="shared" si="5"/>
        <v>https://www.ssbuy.tw/game-detail.html?game=Blue eyes：公會大師</v>
      </c>
      <c r="I151" s="27" t="s">
        <v>244</v>
      </c>
      <c r="J151" s="37" t="s">
        <v>254</v>
      </c>
      <c r="K151" s="14">
        <v>2340</v>
      </c>
      <c r="L151" s="13" t="s">
        <v>255</v>
      </c>
      <c r="M151" s="14">
        <v>1166</v>
      </c>
      <c r="N151" s="13" t="s">
        <v>256</v>
      </c>
      <c r="O151" s="14">
        <v>618</v>
      </c>
      <c r="P151" s="13" t="s">
        <v>257</v>
      </c>
      <c r="Q151" s="14">
        <v>310</v>
      </c>
      <c r="R151" s="13" t="s">
        <v>258</v>
      </c>
      <c r="S151" s="14">
        <v>101</v>
      </c>
      <c r="T151" s="13" t="s">
        <v>259</v>
      </c>
      <c r="U151" s="14">
        <v>1793</v>
      </c>
      <c r="V151" s="13" t="s">
        <v>260</v>
      </c>
      <c r="W151" s="14">
        <v>1558</v>
      </c>
      <c r="X151" s="13" t="s">
        <v>261</v>
      </c>
      <c r="Y151" s="14">
        <v>1010</v>
      </c>
      <c r="Z151" s="13" t="s">
        <v>262</v>
      </c>
      <c r="AA151" s="14">
        <v>775</v>
      </c>
      <c r="AB151" s="13" t="s">
        <v>263</v>
      </c>
      <c r="AC151" s="14">
        <v>618</v>
      </c>
      <c r="AD151" s="13" t="s">
        <v>264</v>
      </c>
      <c r="AE151" s="14">
        <v>548</v>
      </c>
      <c r="AF151" s="13" t="s">
        <v>265</v>
      </c>
      <c r="AG151" s="14">
        <v>254</v>
      </c>
      <c r="AH151" s="13" t="s">
        <v>250</v>
      </c>
      <c r="AI151" s="14">
        <v>175</v>
      </c>
      <c r="AJ151" s="13" t="s">
        <v>252</v>
      </c>
      <c r="AK151" s="14">
        <v>101</v>
      </c>
      <c r="AL151" s="13" t="s">
        <v>266</v>
      </c>
      <c r="AM151" s="14">
        <v>76</v>
      </c>
      <c r="AN151" s="13" t="s">
        <v>267</v>
      </c>
      <c r="AO151" s="14">
        <v>25</v>
      </c>
      <c r="AP151" s="8"/>
      <c r="AQ151" s="8"/>
    </row>
    <row r="152" spans="1:43" ht="23.25" customHeight="1" thickBot="1" x14ac:dyDescent="0.35">
      <c r="A152" s="18" t="s">
        <v>268</v>
      </c>
      <c r="B152" s="8"/>
      <c r="C152" s="8"/>
      <c r="D152" s="10"/>
      <c r="E152" s="10"/>
      <c r="F152" s="8" t="str">
        <f t="shared" si="4"/>
        <v>gift-codes.html?game=杖劍傳說：坎斯汀之約</v>
      </c>
      <c r="G152" s="10"/>
      <c r="H152" s="10" t="str">
        <f t="shared" si="5"/>
        <v>https://www.ssbuy.tw/game-detail.html?game=杖劍傳說：坎斯汀之約</v>
      </c>
      <c r="I152" s="27" t="s">
        <v>269</v>
      </c>
      <c r="J152" s="37" t="s">
        <v>270</v>
      </c>
      <c r="K152" s="14">
        <v>2510</v>
      </c>
      <c r="L152" s="13" t="s">
        <v>271</v>
      </c>
      <c r="M152" s="14">
        <v>1308</v>
      </c>
      <c r="N152" s="13" t="s">
        <v>272</v>
      </c>
      <c r="O152" s="14">
        <v>766</v>
      </c>
      <c r="P152" s="13" t="s">
        <v>273</v>
      </c>
      <c r="Q152" s="14">
        <v>385</v>
      </c>
      <c r="R152" s="13" t="s">
        <v>274</v>
      </c>
      <c r="S152" s="14">
        <v>142</v>
      </c>
      <c r="T152" s="13" t="s">
        <v>275</v>
      </c>
      <c r="U152" s="14">
        <v>28</v>
      </c>
      <c r="V152" s="13" t="s">
        <v>276</v>
      </c>
      <c r="W152" s="14">
        <v>142</v>
      </c>
      <c r="X152" s="13" t="s">
        <v>277</v>
      </c>
      <c r="Y152" s="14">
        <v>259</v>
      </c>
      <c r="Z152" s="13" t="s">
        <v>278</v>
      </c>
      <c r="AA152" s="14">
        <v>1308</v>
      </c>
      <c r="AB152" s="13" t="s">
        <v>262</v>
      </c>
      <c r="AC152" s="14">
        <v>766</v>
      </c>
      <c r="AD152" s="13" t="s">
        <v>279</v>
      </c>
      <c r="AE152" s="14">
        <v>526</v>
      </c>
      <c r="AF152" s="13" t="s">
        <v>280</v>
      </c>
      <c r="AG152" s="14">
        <v>259</v>
      </c>
      <c r="AH152" s="13" t="s">
        <v>281</v>
      </c>
      <c r="AI152" s="14">
        <v>142</v>
      </c>
      <c r="AJ152" s="13" t="s">
        <v>282</v>
      </c>
      <c r="AK152" s="14">
        <v>84</v>
      </c>
      <c r="AL152" s="8"/>
      <c r="AM152" s="8"/>
      <c r="AN152" s="8"/>
      <c r="AO152" s="8"/>
      <c r="AP152" s="8"/>
      <c r="AQ152" s="8"/>
    </row>
    <row r="153" spans="1:43" ht="23.25" customHeight="1" thickBot="1" x14ac:dyDescent="0.35">
      <c r="A153" s="18" t="s">
        <v>283</v>
      </c>
      <c r="B153" s="8"/>
      <c r="C153" s="8"/>
      <c r="D153" s="10"/>
      <c r="E153" s="10"/>
      <c r="F153" s="8" t="str">
        <f t="shared" si="4"/>
        <v>gift-codes.html?game=超級海戰：紀元崛起</v>
      </c>
      <c r="G153" s="10"/>
      <c r="H153" s="10" t="str">
        <f t="shared" si="5"/>
        <v>https://www.ssbuy.tw/game-detail.html?game=超級海戰：紀元崛起</v>
      </c>
      <c r="I153" s="27" t="s">
        <v>292</v>
      </c>
      <c r="J153" s="37" t="s">
        <v>12</v>
      </c>
      <c r="K153" s="14">
        <v>2314</v>
      </c>
      <c r="L153" s="13" t="s">
        <v>13</v>
      </c>
      <c r="M153" s="14">
        <v>1153</v>
      </c>
      <c r="N153" s="13" t="s">
        <v>24</v>
      </c>
      <c r="O153" s="14">
        <v>766</v>
      </c>
      <c r="P153" s="13" t="s">
        <v>14</v>
      </c>
      <c r="Q153" s="14">
        <v>541</v>
      </c>
      <c r="R153" s="13" t="s">
        <v>15</v>
      </c>
      <c r="S153" s="14">
        <v>385</v>
      </c>
      <c r="T153" s="13" t="s">
        <v>120</v>
      </c>
      <c r="U153" s="14">
        <v>251</v>
      </c>
      <c r="V153" s="13" t="s">
        <v>284</v>
      </c>
      <c r="W153" s="14">
        <v>228</v>
      </c>
      <c r="X153" s="13" t="s">
        <v>16</v>
      </c>
      <c r="Y153" s="14">
        <v>125</v>
      </c>
      <c r="Z153" s="13" t="s">
        <v>121</v>
      </c>
      <c r="AA153" s="14">
        <v>75</v>
      </c>
      <c r="AB153" s="13" t="s">
        <v>285</v>
      </c>
      <c r="AC153" s="14">
        <v>50</v>
      </c>
      <c r="AD153" s="13" t="s">
        <v>7</v>
      </c>
      <c r="AE153" s="14">
        <v>25</v>
      </c>
      <c r="AF153" s="13" t="s">
        <v>286</v>
      </c>
      <c r="AG153" s="14">
        <v>2314</v>
      </c>
      <c r="AH153" s="13" t="s">
        <v>287</v>
      </c>
      <c r="AI153" s="14">
        <v>1153</v>
      </c>
      <c r="AJ153" s="13" t="s">
        <v>288</v>
      </c>
      <c r="AK153" s="14">
        <v>766</v>
      </c>
      <c r="AL153" s="13" t="s">
        <v>289</v>
      </c>
      <c r="AM153" s="14">
        <v>385</v>
      </c>
      <c r="AN153" s="13" t="s">
        <v>290</v>
      </c>
      <c r="AO153" s="14">
        <v>125</v>
      </c>
      <c r="AP153" s="13" t="s">
        <v>291</v>
      </c>
      <c r="AQ153" s="14">
        <v>25</v>
      </c>
    </row>
    <row r="154" spans="1:43" ht="23.25" customHeight="1" thickBot="1" x14ac:dyDescent="0.35">
      <c r="A154" s="8" t="s">
        <v>293</v>
      </c>
      <c r="B154" s="8"/>
      <c r="C154" s="8"/>
      <c r="D154" s="10"/>
      <c r="E154" s="10"/>
      <c r="F154" s="8" t="str">
        <f t="shared" si="4"/>
        <v>gift-codes.html?game=進擊的惡魔團</v>
      </c>
      <c r="G154" s="10"/>
      <c r="H154" s="10" t="str">
        <f t="shared" si="5"/>
        <v>https://www.ssbuy.tw/game-detail.html?game=進擊的惡魔團</v>
      </c>
      <c r="I154" s="27" t="s">
        <v>294</v>
      </c>
      <c r="J154" s="37" t="s">
        <v>295</v>
      </c>
      <c r="K154" s="14">
        <v>2314</v>
      </c>
      <c r="L154" s="13" t="s">
        <v>296</v>
      </c>
      <c r="M154" s="14">
        <v>1153</v>
      </c>
      <c r="N154" s="13" t="s">
        <v>297</v>
      </c>
      <c r="O154" s="14">
        <v>541</v>
      </c>
      <c r="P154" s="13" t="s">
        <v>298</v>
      </c>
      <c r="Q154" s="14">
        <v>251</v>
      </c>
      <c r="R154" s="13" t="s">
        <v>299</v>
      </c>
      <c r="S154" s="14">
        <v>125</v>
      </c>
      <c r="T154" s="13" t="s">
        <v>300</v>
      </c>
      <c r="U154" s="14">
        <v>25</v>
      </c>
      <c r="V154" s="13" t="s">
        <v>301</v>
      </c>
      <c r="W154" s="14">
        <v>2314</v>
      </c>
      <c r="X154" s="13" t="s">
        <v>302</v>
      </c>
      <c r="Y154" s="14">
        <v>1153</v>
      </c>
      <c r="Z154" s="13" t="s">
        <v>262</v>
      </c>
      <c r="AA154" s="14">
        <v>766</v>
      </c>
      <c r="AB154" s="13" t="s">
        <v>264</v>
      </c>
      <c r="AC154" s="14">
        <v>541</v>
      </c>
      <c r="AD154" s="13" t="s">
        <v>303</v>
      </c>
      <c r="AE154" s="14">
        <v>306</v>
      </c>
      <c r="AF154" s="13" t="s">
        <v>265</v>
      </c>
      <c r="AG154" s="14">
        <v>251</v>
      </c>
      <c r="AH154" s="13" t="s">
        <v>250</v>
      </c>
      <c r="AI154" s="14">
        <v>173</v>
      </c>
      <c r="AJ154" s="13" t="s">
        <v>251</v>
      </c>
      <c r="AK154" s="14">
        <v>125</v>
      </c>
      <c r="AL154" s="13" t="s">
        <v>253</v>
      </c>
      <c r="AM154" s="14">
        <v>50</v>
      </c>
      <c r="AN154" s="13" t="s">
        <v>267</v>
      </c>
      <c r="AO154" s="14">
        <v>25</v>
      </c>
      <c r="AP154" s="8"/>
      <c r="AQ154" s="8"/>
    </row>
    <row r="155" spans="1:43" ht="23.25" customHeight="1" thickBot="1" x14ac:dyDescent="0.35">
      <c r="A155" s="15" t="s">
        <v>304</v>
      </c>
      <c r="B155" s="8"/>
      <c r="C155" s="8"/>
      <c r="D155" s="10"/>
      <c r="E155" s="10"/>
      <c r="F155" s="8" t="str">
        <f t="shared" si="4"/>
        <v>gift-codes.html?game=蝕影：緋之契</v>
      </c>
      <c r="G155" s="10"/>
      <c r="H155" s="10" t="str">
        <f t="shared" si="5"/>
        <v>https://www.ssbuy.tw/game-detail.html?game=蝕影：緋之契</v>
      </c>
      <c r="I155" s="27" t="s">
        <v>306</v>
      </c>
      <c r="J155" s="37" t="s">
        <v>308</v>
      </c>
      <c r="K155" s="14">
        <v>2518</v>
      </c>
      <c r="L155" s="13" t="s">
        <v>309</v>
      </c>
      <c r="M155" s="14">
        <v>1277</v>
      </c>
      <c r="N155" s="13" t="s">
        <v>310</v>
      </c>
      <c r="O155" s="14">
        <v>766</v>
      </c>
      <c r="P155" s="13" t="s">
        <v>311</v>
      </c>
      <c r="Q155" s="14">
        <v>526</v>
      </c>
      <c r="R155" s="13" t="s">
        <v>312</v>
      </c>
      <c r="S155" s="14">
        <v>385</v>
      </c>
      <c r="T155" s="13" t="s">
        <v>313</v>
      </c>
      <c r="U155" s="14">
        <v>259</v>
      </c>
      <c r="V155" s="13" t="s">
        <v>314</v>
      </c>
      <c r="W155" s="14">
        <v>142</v>
      </c>
      <c r="X155" s="13" t="s">
        <v>315</v>
      </c>
      <c r="Y155" s="14">
        <v>113</v>
      </c>
      <c r="Z155" s="13" t="s">
        <v>316</v>
      </c>
      <c r="AA155" s="14">
        <v>84</v>
      </c>
      <c r="AB155" s="13" t="s">
        <v>317</v>
      </c>
      <c r="AC155" s="14">
        <v>58</v>
      </c>
      <c r="AD155" s="13" t="s">
        <v>318</v>
      </c>
      <c r="AE155" s="14">
        <v>28</v>
      </c>
      <c r="AF155" s="8"/>
      <c r="AG155" s="8"/>
      <c r="AH155" s="8"/>
      <c r="AI155" s="8"/>
      <c r="AJ155" s="8"/>
      <c r="AK155" s="8"/>
      <c r="AL155" s="8"/>
      <c r="AM155" s="8"/>
      <c r="AN155" s="8"/>
      <c r="AO155" s="8"/>
      <c r="AP155" s="8"/>
      <c r="AQ155" s="8"/>
    </row>
    <row r="156" spans="1:43" ht="23.25" customHeight="1" thickBot="1" x14ac:dyDescent="0.35">
      <c r="A156" s="15" t="s">
        <v>305</v>
      </c>
      <c r="B156" s="8"/>
      <c r="C156" s="8"/>
      <c r="D156" s="10"/>
      <c r="E156" s="10"/>
      <c r="F156" s="8" t="str">
        <f t="shared" si="4"/>
        <v>gift-codes.html?game=RO：Crush</v>
      </c>
      <c r="G156" s="10"/>
      <c r="H156" s="10" t="str">
        <f t="shared" si="5"/>
        <v>https://www.ssbuy.tw/game-detail.html?game=RO：Crush</v>
      </c>
      <c r="I156" s="27" t="s">
        <v>307</v>
      </c>
      <c r="J156" s="37" t="s">
        <v>319</v>
      </c>
      <c r="K156" s="14">
        <v>2314</v>
      </c>
      <c r="L156" s="13" t="s">
        <v>320</v>
      </c>
      <c r="M156" s="14">
        <v>1153</v>
      </c>
      <c r="N156" s="13" t="s">
        <v>321</v>
      </c>
      <c r="O156" s="14">
        <v>541</v>
      </c>
      <c r="P156" s="13" t="s">
        <v>15</v>
      </c>
      <c r="Q156" s="14">
        <v>251</v>
      </c>
      <c r="R156" s="13" t="s">
        <v>322</v>
      </c>
      <c r="S156" s="14">
        <v>125</v>
      </c>
      <c r="T156" s="13" t="s">
        <v>7</v>
      </c>
      <c r="U156" s="14">
        <v>25</v>
      </c>
      <c r="V156" s="8"/>
      <c r="W156" s="8"/>
      <c r="X156" s="8"/>
      <c r="Y156" s="8"/>
      <c r="Z156" s="8"/>
      <c r="AA156" s="8"/>
      <c r="AB156" s="8"/>
      <c r="AC156" s="8"/>
      <c r="AD156" s="8"/>
      <c r="AE156" s="8"/>
      <c r="AF156" s="8"/>
      <c r="AG156" s="8"/>
      <c r="AH156" s="8"/>
      <c r="AI156" s="8"/>
      <c r="AJ156" s="8"/>
      <c r="AK156" s="8"/>
      <c r="AL156" s="8"/>
      <c r="AM156" s="8"/>
      <c r="AN156" s="8"/>
      <c r="AO156" s="8"/>
      <c r="AP156" s="8"/>
      <c r="AQ156" s="8"/>
    </row>
    <row r="157" spans="1:43" ht="23.25" customHeight="1" thickBot="1" x14ac:dyDescent="0.35">
      <c r="A157" s="15" t="s">
        <v>323</v>
      </c>
      <c r="B157" s="8"/>
      <c r="C157" s="8"/>
      <c r="D157" s="10"/>
      <c r="E157" s="10"/>
      <c r="F157" s="8" t="str">
        <f t="shared" si="4"/>
        <v>gift-codes.html?game=溯回青空</v>
      </c>
      <c r="G157" s="10"/>
      <c r="H157" s="10" t="str">
        <f t="shared" si="5"/>
        <v>https://www.ssbuy.tw/game-detail.html?game=溯回青空</v>
      </c>
      <c r="I157" s="28" t="s">
        <v>1411</v>
      </c>
      <c r="J157" s="38" t="s">
        <v>1438</v>
      </c>
      <c r="K157" s="4">
        <v>1860</v>
      </c>
      <c r="L157" s="3" t="s">
        <v>1439</v>
      </c>
      <c r="M157" s="4">
        <v>1860</v>
      </c>
      <c r="N157" s="3" t="s">
        <v>1440</v>
      </c>
      <c r="O157" s="4">
        <v>1160</v>
      </c>
      <c r="P157" s="3" t="s">
        <v>1441</v>
      </c>
      <c r="Q157" s="4">
        <v>1004</v>
      </c>
      <c r="R157" s="3" t="s">
        <v>1442</v>
      </c>
      <c r="S157" s="4">
        <v>624</v>
      </c>
      <c r="T157" s="3" t="s">
        <v>1443</v>
      </c>
      <c r="U157" s="4">
        <v>260</v>
      </c>
      <c r="V157" s="3" t="s">
        <v>1444</v>
      </c>
      <c r="W157" s="4">
        <v>101</v>
      </c>
      <c r="X157" s="3" t="s">
        <v>1445</v>
      </c>
      <c r="Y157" s="4">
        <v>28</v>
      </c>
      <c r="Z157" s="3" t="s">
        <v>1446</v>
      </c>
      <c r="AA157" s="4">
        <v>160</v>
      </c>
      <c r="AB157" s="3" t="s">
        <v>1447</v>
      </c>
      <c r="AC157" s="4">
        <v>101</v>
      </c>
      <c r="AD157" s="3" t="s">
        <v>1448</v>
      </c>
      <c r="AE157" s="4">
        <v>76</v>
      </c>
      <c r="AF157" s="8"/>
      <c r="AG157" s="8"/>
      <c r="AH157" s="8"/>
      <c r="AI157" s="8"/>
      <c r="AJ157" s="8"/>
      <c r="AK157" s="8"/>
      <c r="AL157" s="8"/>
      <c r="AM157" s="8"/>
      <c r="AN157" s="8"/>
      <c r="AO157" s="8"/>
      <c r="AP157" s="8"/>
      <c r="AQ157" s="8"/>
    </row>
    <row r="158" spans="1:43" ht="23.25" customHeight="1" thickBot="1" x14ac:dyDescent="0.35">
      <c r="A158" s="15" t="s">
        <v>324</v>
      </c>
      <c r="B158" s="8"/>
      <c r="C158" s="8"/>
      <c r="D158" s="10"/>
      <c r="E158" s="10"/>
      <c r="F158" s="8" t="str">
        <f t="shared" si="4"/>
        <v>gift-codes.html?game=蒼之啟示錄</v>
      </c>
      <c r="G158" s="10"/>
      <c r="H158" s="10" t="str">
        <f t="shared" si="5"/>
        <v>https://www.ssbuy.tw/game-detail.html?game=蒼之啟示錄</v>
      </c>
      <c r="I158" s="28" t="s">
        <v>1412</v>
      </c>
      <c r="J158" s="38" t="s">
        <v>1418</v>
      </c>
      <c r="K158" s="4">
        <v>1803</v>
      </c>
      <c r="L158" s="3" t="s">
        <v>1419</v>
      </c>
      <c r="M158" s="4">
        <v>937</v>
      </c>
      <c r="N158" s="3" t="s">
        <v>1420</v>
      </c>
      <c r="O158" s="4">
        <v>551</v>
      </c>
      <c r="P158" s="3" t="s">
        <v>1421</v>
      </c>
      <c r="Q158" s="4">
        <v>391</v>
      </c>
      <c r="R158" s="3" t="s">
        <v>1422</v>
      </c>
      <c r="S158" s="4">
        <v>279</v>
      </c>
      <c r="T158" s="3" t="s">
        <v>1423</v>
      </c>
      <c r="U158" s="4">
        <v>176</v>
      </c>
      <c r="V158" s="3" t="s">
        <v>1424</v>
      </c>
      <c r="W158" s="4">
        <v>102</v>
      </c>
      <c r="X158" s="3" t="s">
        <v>1425</v>
      </c>
      <c r="Y158" s="4">
        <v>17</v>
      </c>
      <c r="Z158" s="8"/>
      <c r="AA158" s="8"/>
      <c r="AB158" s="8"/>
      <c r="AC158" s="8"/>
      <c r="AD158" s="8"/>
      <c r="AE158" s="8"/>
      <c r="AF158" s="8"/>
      <c r="AG158" s="8"/>
      <c r="AH158" s="8"/>
      <c r="AI158" s="8"/>
      <c r="AJ158" s="8"/>
      <c r="AK158" s="8"/>
      <c r="AL158" s="8"/>
      <c r="AM158" s="8"/>
      <c r="AN158" s="8"/>
      <c r="AO158" s="8"/>
      <c r="AP158" s="8"/>
      <c r="AQ158" s="8"/>
    </row>
    <row r="159" spans="1:43" ht="23.25" customHeight="1" thickBot="1" x14ac:dyDescent="0.35">
      <c r="A159" s="15" t="s">
        <v>325</v>
      </c>
      <c r="B159" s="8"/>
      <c r="C159" s="8"/>
      <c r="D159" s="10"/>
      <c r="E159" s="10"/>
      <c r="F159" s="8" t="str">
        <f t="shared" si="4"/>
        <v>gift-codes.html?game=第六絕區</v>
      </c>
      <c r="G159" s="10"/>
      <c r="H159" s="10" t="str">
        <f t="shared" si="5"/>
        <v>https://www.ssbuy.tw/game-detail.html?game=第六絕區</v>
      </c>
      <c r="I159" s="28" t="s">
        <v>1413</v>
      </c>
      <c r="J159" s="38" t="s">
        <v>12</v>
      </c>
      <c r="K159" s="4">
        <v>2554</v>
      </c>
      <c r="L159" s="3" t="s">
        <v>13</v>
      </c>
      <c r="M159" s="4">
        <v>1330</v>
      </c>
      <c r="N159" s="3" t="s">
        <v>24</v>
      </c>
      <c r="O159" s="4">
        <v>779</v>
      </c>
      <c r="P159" s="3" t="s">
        <v>120</v>
      </c>
      <c r="Q159" s="4">
        <v>263</v>
      </c>
      <c r="R159" s="3" t="s">
        <v>16</v>
      </c>
      <c r="S159" s="4">
        <v>145</v>
      </c>
      <c r="T159" s="3" t="s">
        <v>7</v>
      </c>
      <c r="U159" s="4">
        <v>28</v>
      </c>
      <c r="V159" s="3" t="s">
        <v>1426</v>
      </c>
      <c r="W159" s="4">
        <v>145</v>
      </c>
      <c r="X159" s="3" t="s">
        <v>1427</v>
      </c>
      <c r="Y159" s="4">
        <v>263</v>
      </c>
      <c r="Z159" s="3" t="s">
        <v>1428</v>
      </c>
      <c r="AA159" s="4">
        <v>2554</v>
      </c>
      <c r="AB159" s="3" t="s">
        <v>278</v>
      </c>
      <c r="AC159" s="4">
        <v>1330</v>
      </c>
      <c r="AD159" s="3" t="s">
        <v>262</v>
      </c>
      <c r="AE159" s="4">
        <v>779</v>
      </c>
      <c r="AF159" s="3" t="s">
        <v>279</v>
      </c>
      <c r="AG159" s="4">
        <v>535</v>
      </c>
      <c r="AH159" s="3" t="s">
        <v>280</v>
      </c>
      <c r="AI159" s="4">
        <v>263</v>
      </c>
      <c r="AJ159" s="3" t="s">
        <v>281</v>
      </c>
      <c r="AK159" s="4">
        <v>145</v>
      </c>
      <c r="AL159" s="3" t="s">
        <v>1429</v>
      </c>
      <c r="AM159" s="4">
        <v>28</v>
      </c>
      <c r="AN159" s="8"/>
      <c r="AO159" s="8"/>
      <c r="AP159" s="8"/>
      <c r="AQ159" s="8"/>
    </row>
    <row r="160" spans="1:43" ht="23.25" customHeight="1" thickBot="1" x14ac:dyDescent="0.35">
      <c r="A160" s="15" t="s">
        <v>1417</v>
      </c>
      <c r="B160" s="8"/>
      <c r="C160" s="8"/>
      <c r="D160" s="10"/>
      <c r="E160" s="10"/>
      <c r="F160" s="8" t="str">
        <f>"gift-codes.html?game=" &amp; A160</f>
        <v>gift-codes.html?game=MO.CO</v>
      </c>
      <c r="G160" s="10"/>
      <c r="H160" s="10" t="str">
        <f t="shared" si="5"/>
        <v>https://www.ssbuy.tw/game-detail.html?game=MO.CO</v>
      </c>
      <c r="I160" s="28" t="s">
        <v>1414</v>
      </c>
      <c r="J160" s="38" t="s">
        <v>1460</v>
      </c>
      <c r="K160" s="4">
        <v>2525</v>
      </c>
      <c r="L160" s="3" t="s">
        <v>1461</v>
      </c>
      <c r="M160" s="4">
        <v>1315</v>
      </c>
      <c r="N160" s="3" t="s">
        <v>1462</v>
      </c>
      <c r="O160" s="4">
        <v>529</v>
      </c>
      <c r="P160" s="3" t="s">
        <v>1463</v>
      </c>
      <c r="Q160" s="4">
        <v>260</v>
      </c>
      <c r="R160" s="3" t="s">
        <v>1464</v>
      </c>
      <c r="S160" s="4">
        <v>143</v>
      </c>
      <c r="T160" s="8"/>
      <c r="U160" s="8"/>
      <c r="V160" s="8"/>
      <c r="W160" s="8"/>
      <c r="X160" s="8"/>
      <c r="Y160" s="8"/>
      <c r="Z160" s="8"/>
      <c r="AA160" s="8"/>
      <c r="AB160" s="8"/>
      <c r="AC160" s="8"/>
      <c r="AD160" s="8"/>
      <c r="AE160" s="8"/>
      <c r="AF160" s="8"/>
      <c r="AG160" s="8"/>
      <c r="AH160" s="8"/>
      <c r="AI160" s="8"/>
      <c r="AJ160" s="8"/>
      <c r="AK160" s="8"/>
      <c r="AL160" s="8"/>
      <c r="AM160" s="8"/>
      <c r="AN160" s="8"/>
      <c r="AO160" s="8"/>
      <c r="AP160" s="8"/>
      <c r="AQ160" s="8"/>
    </row>
    <row r="161" spans="1:43" ht="23.25" customHeight="1" thickBot="1" x14ac:dyDescent="0.35">
      <c r="A161" s="15" t="s">
        <v>326</v>
      </c>
      <c r="B161" s="8"/>
      <c r="C161" s="8"/>
      <c r="D161" s="10"/>
      <c r="E161" s="10"/>
      <c r="F161" s="8" t="str">
        <f>"gift-codes.html?game=" &amp; A161</f>
        <v>gift-codes.html?game=幻世三國：一騎當千</v>
      </c>
      <c r="G161" s="10"/>
      <c r="H161" s="10" t="str">
        <f t="shared" si="5"/>
        <v>https://www.ssbuy.tw/game-detail.html?game=幻世三國：一騎當千</v>
      </c>
      <c r="I161" s="28" t="s">
        <v>1415</v>
      </c>
      <c r="J161" s="38" t="s">
        <v>1430</v>
      </c>
      <c r="K161" s="4">
        <v>2525</v>
      </c>
      <c r="L161" s="3" t="s">
        <v>1431</v>
      </c>
      <c r="M161" s="4">
        <v>1938</v>
      </c>
      <c r="N161" s="3" t="s">
        <v>1432</v>
      </c>
      <c r="O161" s="4">
        <v>1160</v>
      </c>
      <c r="P161" s="3" t="s">
        <v>1433</v>
      </c>
      <c r="Q161" s="4">
        <v>771</v>
      </c>
      <c r="R161" s="3" t="s">
        <v>1434</v>
      </c>
      <c r="S161" s="4">
        <v>387</v>
      </c>
      <c r="T161" s="3" t="s">
        <v>1435</v>
      </c>
      <c r="U161" s="4">
        <v>143</v>
      </c>
      <c r="V161" s="3" t="s">
        <v>1436</v>
      </c>
      <c r="W161" s="4">
        <v>28</v>
      </c>
      <c r="X161" s="3" t="s">
        <v>1437</v>
      </c>
      <c r="Y161" s="4">
        <v>308</v>
      </c>
      <c r="Z161" s="3" t="s">
        <v>107</v>
      </c>
      <c r="AA161" s="4">
        <v>143</v>
      </c>
      <c r="AB161" s="8"/>
      <c r="AC161" s="8"/>
      <c r="AD161" s="8"/>
      <c r="AE161" s="8"/>
      <c r="AF161" s="8"/>
      <c r="AG161" s="8"/>
      <c r="AH161" s="8"/>
      <c r="AI161" s="8"/>
      <c r="AJ161" s="8"/>
      <c r="AK161" s="8"/>
      <c r="AL161" s="8"/>
      <c r="AM161" s="8"/>
      <c r="AN161" s="8"/>
      <c r="AO161" s="8"/>
      <c r="AP161" s="8"/>
      <c r="AQ161" s="8"/>
    </row>
    <row r="162" spans="1:43" ht="23.25" customHeight="1" thickBot="1" x14ac:dyDescent="0.25">
      <c r="A162" s="19" t="s">
        <v>1449</v>
      </c>
      <c r="F162" s="8" t="str">
        <f t="shared" ref="F162:F189" si="6">"gift-codes.html?game=" &amp; A162</f>
        <v>gift-codes.html?game=小兵立大功</v>
      </c>
      <c r="H162" s="10" t="str">
        <f t="shared" si="5"/>
        <v>https://www.ssbuy.tw/game-detail.html?game=小兵立大功</v>
      </c>
      <c r="I162" s="39" t="s">
        <v>1465</v>
      </c>
      <c r="J162" s="38" t="s">
        <v>1451</v>
      </c>
      <c r="K162" s="4">
        <v>1160</v>
      </c>
      <c r="L162" s="3" t="s">
        <v>1452</v>
      </c>
      <c r="M162" s="4">
        <v>693</v>
      </c>
      <c r="N162" s="3" t="s">
        <v>1453</v>
      </c>
      <c r="O162" s="4">
        <v>466</v>
      </c>
      <c r="P162" s="3" t="s">
        <v>1454</v>
      </c>
      <c r="Q162" s="4">
        <v>237</v>
      </c>
      <c r="R162" s="3" t="s">
        <v>1455</v>
      </c>
      <c r="S162" s="4">
        <v>126</v>
      </c>
      <c r="T162" s="3" t="s">
        <v>1456</v>
      </c>
      <c r="U162" s="4">
        <v>25</v>
      </c>
      <c r="V162" s="3" t="s">
        <v>1457</v>
      </c>
      <c r="W162" s="4">
        <v>1751</v>
      </c>
      <c r="X162" s="3" t="s">
        <v>302</v>
      </c>
      <c r="Y162" s="4">
        <v>1160</v>
      </c>
      <c r="Z162" s="3" t="s">
        <v>1458</v>
      </c>
      <c r="AA162" s="4">
        <v>466</v>
      </c>
      <c r="AB162" s="3" t="s">
        <v>1459</v>
      </c>
      <c r="AC162" s="4">
        <v>237</v>
      </c>
      <c r="AD162" s="3" t="s">
        <v>251</v>
      </c>
      <c r="AE162" s="4">
        <v>126</v>
      </c>
      <c r="AF162" s="3" t="s">
        <v>253</v>
      </c>
      <c r="AG162" s="4">
        <v>50</v>
      </c>
      <c r="AH162" s="3" t="s">
        <v>267</v>
      </c>
      <c r="AI162" s="4">
        <v>25</v>
      </c>
    </row>
    <row r="163" spans="1:43" ht="23.25" customHeight="1" thickBot="1" x14ac:dyDescent="0.25">
      <c r="A163" s="19" t="s">
        <v>1450</v>
      </c>
      <c r="F163" s="8" t="str">
        <f t="shared" si="6"/>
        <v>gift-codes.html?game=像素全明星</v>
      </c>
      <c r="H163" s="10" t="str">
        <f t="shared" si="5"/>
        <v>https://www.ssbuy.tw/game-detail.html?game=像素全明星</v>
      </c>
      <c r="I163" s="39" t="s">
        <v>1466</v>
      </c>
      <c r="J163" s="38" t="s">
        <v>12</v>
      </c>
      <c r="K163" s="4">
        <v>2327</v>
      </c>
      <c r="L163" s="3" t="s">
        <v>13</v>
      </c>
      <c r="M163" s="4">
        <v>1160</v>
      </c>
      <c r="N163" s="3" t="s">
        <v>24</v>
      </c>
      <c r="O163" s="4">
        <v>771</v>
      </c>
      <c r="P163" s="3" t="s">
        <v>14</v>
      </c>
      <c r="Q163" s="4">
        <v>529</v>
      </c>
      <c r="R163" s="3" t="s">
        <v>15</v>
      </c>
      <c r="S163" s="4">
        <v>387</v>
      </c>
      <c r="T163" s="3" t="s">
        <v>120</v>
      </c>
      <c r="U163" s="4">
        <v>260</v>
      </c>
      <c r="V163" s="3" t="s">
        <v>65</v>
      </c>
      <c r="W163" s="4">
        <v>229</v>
      </c>
      <c r="X163" s="3" t="s">
        <v>6</v>
      </c>
      <c r="Y163" s="4">
        <v>229</v>
      </c>
      <c r="Z163" s="3" t="s">
        <v>233</v>
      </c>
      <c r="AA163" s="4">
        <v>174</v>
      </c>
      <c r="AB163" s="3" t="s">
        <v>16</v>
      </c>
      <c r="AC163" s="4">
        <v>126</v>
      </c>
      <c r="AD163" s="3" t="s">
        <v>121</v>
      </c>
      <c r="AE163" s="4">
        <v>84</v>
      </c>
      <c r="AF163" s="3" t="s">
        <v>285</v>
      </c>
      <c r="AG163" s="4">
        <v>59</v>
      </c>
      <c r="AH163" s="3" t="s">
        <v>7</v>
      </c>
      <c r="AI163" s="4">
        <v>28</v>
      </c>
    </row>
    <row r="164" spans="1:43" ht="23.25" customHeight="1" thickBot="1" x14ac:dyDescent="0.35">
      <c r="A164" s="19" t="s">
        <v>1467</v>
      </c>
      <c r="F164" s="8" t="str">
        <f t="shared" si="6"/>
        <v>gift-codes.html?game=浣熊傳說</v>
      </c>
      <c r="H164" s="10" t="str">
        <f t="shared" si="5"/>
        <v>https://www.ssbuy.tw/game-detail.html?game=浣熊傳說</v>
      </c>
      <c r="I164" s="27" t="s">
        <v>1473</v>
      </c>
      <c r="J164" s="38" t="s">
        <v>12</v>
      </c>
      <c r="K164" s="4">
        <v>2327</v>
      </c>
      <c r="L164" s="3" t="s">
        <v>13</v>
      </c>
      <c r="M164" s="4">
        <v>1160</v>
      </c>
      <c r="N164" s="3" t="s">
        <v>24</v>
      </c>
      <c r="O164" s="4">
        <v>771</v>
      </c>
      <c r="P164" s="3" t="s">
        <v>14</v>
      </c>
      <c r="Q164" s="4">
        <v>529</v>
      </c>
      <c r="R164" s="3" t="s">
        <v>120</v>
      </c>
      <c r="S164" s="4">
        <v>260</v>
      </c>
      <c r="T164" s="3" t="s">
        <v>16</v>
      </c>
      <c r="U164" s="4">
        <v>143</v>
      </c>
      <c r="V164" s="3" t="s">
        <v>7</v>
      </c>
      <c r="W164" s="4">
        <v>28</v>
      </c>
    </row>
    <row r="165" spans="1:43" ht="23.25" customHeight="1" thickBot="1" x14ac:dyDescent="0.35">
      <c r="A165" s="19" t="s">
        <v>1468</v>
      </c>
      <c r="F165" s="8" t="str">
        <f t="shared" si="6"/>
        <v>gift-codes.html?game=勇者格鬥城</v>
      </c>
      <c r="H165" s="10" t="str">
        <f t="shared" si="5"/>
        <v>https://www.ssbuy.tw/game-detail.html?game=勇者格鬥城</v>
      </c>
      <c r="I165" s="27" t="s">
        <v>1474</v>
      </c>
      <c r="J165" s="38" t="s">
        <v>1469</v>
      </c>
      <c r="K165" s="4">
        <v>2494</v>
      </c>
      <c r="L165" s="3" t="s">
        <v>1470</v>
      </c>
      <c r="M165" s="4">
        <v>2413</v>
      </c>
      <c r="N165" s="3" t="s">
        <v>5</v>
      </c>
      <c r="O165" s="4">
        <v>1946</v>
      </c>
      <c r="P165" s="3" t="s">
        <v>13</v>
      </c>
      <c r="Q165" s="4">
        <v>1276</v>
      </c>
      <c r="R165" s="3" t="s">
        <v>62</v>
      </c>
      <c r="S165" s="4">
        <v>1167</v>
      </c>
      <c r="T165" s="3" t="s">
        <v>24</v>
      </c>
      <c r="U165" s="4">
        <v>771</v>
      </c>
      <c r="V165" s="3" t="s">
        <v>1471</v>
      </c>
      <c r="W165" s="4">
        <v>654</v>
      </c>
      <c r="X165" s="3" t="s">
        <v>14</v>
      </c>
      <c r="Y165" s="4">
        <v>505</v>
      </c>
      <c r="Z165" s="3" t="s">
        <v>15</v>
      </c>
      <c r="AA165" s="4">
        <v>387</v>
      </c>
      <c r="AB165" s="3" t="s">
        <v>1472</v>
      </c>
      <c r="AC165" s="4">
        <v>347</v>
      </c>
      <c r="AD165" s="3" t="s">
        <v>120</v>
      </c>
      <c r="AE165" s="4">
        <v>268</v>
      </c>
      <c r="AF165" s="3" t="s">
        <v>322</v>
      </c>
      <c r="AG165" s="4">
        <v>160</v>
      </c>
      <c r="AH165" s="3" t="s">
        <v>16</v>
      </c>
      <c r="AI165" s="4">
        <v>126</v>
      </c>
      <c r="AJ165" s="3" t="s">
        <v>1327</v>
      </c>
      <c r="AK165" s="4">
        <v>118</v>
      </c>
      <c r="AL165" s="3" t="s">
        <v>121</v>
      </c>
      <c r="AM165" s="4">
        <v>76</v>
      </c>
      <c r="AN165" s="3" t="s">
        <v>285</v>
      </c>
      <c r="AO165" s="4">
        <v>50</v>
      </c>
      <c r="AP165" s="3" t="s">
        <v>7</v>
      </c>
      <c r="AQ165" s="4">
        <v>25</v>
      </c>
    </row>
    <row r="166" spans="1:43" ht="23.25" customHeight="1" thickBot="1" x14ac:dyDescent="0.35">
      <c r="A166" s="19" t="s">
        <v>1475</v>
      </c>
      <c r="F166" s="8" t="str">
        <f t="shared" si="6"/>
        <v>gift-codes.html?game=龐寶：背包英雄們</v>
      </c>
      <c r="H166" s="10" t="str">
        <f t="shared" si="5"/>
        <v>https://www.ssbuy.tw/game-detail.html?game=龐寶：背包英雄們</v>
      </c>
      <c r="I166" s="27" t="s">
        <v>1477</v>
      </c>
      <c r="J166" s="38" t="s">
        <v>4</v>
      </c>
      <c r="K166" s="4">
        <v>2335</v>
      </c>
      <c r="L166" s="3" t="s">
        <v>190</v>
      </c>
      <c r="M166" s="4">
        <v>1284</v>
      </c>
      <c r="N166" s="3" t="s">
        <v>1479</v>
      </c>
      <c r="O166" s="4">
        <v>521</v>
      </c>
      <c r="P166" s="3" t="s">
        <v>163</v>
      </c>
      <c r="Q166" s="4">
        <v>260</v>
      </c>
      <c r="R166" s="3" t="s">
        <v>233</v>
      </c>
      <c r="S166" s="4">
        <v>139</v>
      </c>
      <c r="T166" s="3" t="s">
        <v>1480</v>
      </c>
      <c r="U166" s="4">
        <v>83</v>
      </c>
      <c r="V166" s="3" t="s">
        <v>1481</v>
      </c>
      <c r="W166" s="4">
        <v>201</v>
      </c>
    </row>
    <row r="167" spans="1:43" ht="23.25" customHeight="1" thickBot="1" x14ac:dyDescent="0.35">
      <c r="A167" s="19" t="s">
        <v>1476</v>
      </c>
      <c r="F167" s="8" t="str">
        <f t="shared" si="6"/>
        <v>gift-codes.html?game=星耀球會</v>
      </c>
      <c r="H167" s="10" t="str">
        <f t="shared" si="5"/>
        <v>https://www.ssbuy.tw/game-detail.html?game=星耀球會</v>
      </c>
      <c r="I167" s="27" t="s">
        <v>1478</v>
      </c>
      <c r="J167" s="38" t="s">
        <v>1482</v>
      </c>
      <c r="K167" s="4">
        <v>2296</v>
      </c>
      <c r="L167" s="3" t="s">
        <v>1483</v>
      </c>
      <c r="M167" s="4">
        <v>1144</v>
      </c>
      <c r="N167" s="3" t="s">
        <v>1484</v>
      </c>
      <c r="O167" s="4">
        <v>529</v>
      </c>
      <c r="P167" s="3" t="s">
        <v>1485</v>
      </c>
      <c r="Q167" s="4">
        <v>260</v>
      </c>
      <c r="R167" s="3" t="s">
        <v>1486</v>
      </c>
      <c r="S167" s="4">
        <v>143</v>
      </c>
      <c r="T167" s="3" t="s">
        <v>1487</v>
      </c>
      <c r="U167" s="4">
        <v>50</v>
      </c>
    </row>
    <row r="168" spans="1:43" ht="23.25" customHeight="1" thickBot="1" x14ac:dyDescent="0.35">
      <c r="A168" s="20" t="s">
        <v>1488</v>
      </c>
      <c r="F168" s="8" t="str">
        <f t="shared" si="6"/>
        <v>gift-codes.html?game=東方幻想ECLIPSE</v>
      </c>
      <c r="H168" s="10" t="str">
        <f t="shared" si="5"/>
        <v>https://www.ssbuy.tw/game-detail.html?game=東方幻想ECLIPSE</v>
      </c>
      <c r="I168" s="26" t="s">
        <v>1489</v>
      </c>
      <c r="J168" s="38" t="s">
        <v>1490</v>
      </c>
      <c r="K168" s="4">
        <v>2539</v>
      </c>
      <c r="L168" s="3" t="s">
        <v>1491</v>
      </c>
      <c r="M168" s="4">
        <v>1323</v>
      </c>
      <c r="N168" s="3" t="s">
        <v>1492</v>
      </c>
      <c r="O168" s="4">
        <v>775</v>
      </c>
      <c r="P168" s="3" t="s">
        <v>1493</v>
      </c>
      <c r="Q168" s="4">
        <v>389</v>
      </c>
      <c r="R168" s="3" t="s">
        <v>1494</v>
      </c>
      <c r="S168" s="4">
        <v>144</v>
      </c>
      <c r="T168" s="3" t="s">
        <v>1495</v>
      </c>
      <c r="U168" s="4">
        <v>28</v>
      </c>
      <c r="V168" s="3" t="s">
        <v>1428</v>
      </c>
      <c r="W168" s="4">
        <v>2539</v>
      </c>
      <c r="X168" s="3" t="s">
        <v>260</v>
      </c>
      <c r="Y168" s="4">
        <v>1558</v>
      </c>
      <c r="Z168" s="3" t="s">
        <v>278</v>
      </c>
      <c r="AA168" s="4">
        <v>1323</v>
      </c>
      <c r="AB168" s="3" t="s">
        <v>261</v>
      </c>
      <c r="AC168" s="4">
        <v>1010</v>
      </c>
      <c r="AD168" s="3" t="s">
        <v>262</v>
      </c>
      <c r="AE168" s="4">
        <v>775</v>
      </c>
      <c r="AF168" s="3" t="s">
        <v>1496</v>
      </c>
      <c r="AG168" s="4">
        <v>389</v>
      </c>
      <c r="AH168" s="3" t="s">
        <v>280</v>
      </c>
      <c r="AI168" s="4">
        <v>262</v>
      </c>
      <c r="AJ168" s="3" t="s">
        <v>1497</v>
      </c>
      <c r="AK168" s="4">
        <v>198</v>
      </c>
      <c r="AL168" s="3" t="s">
        <v>281</v>
      </c>
      <c r="AM168" s="4">
        <v>144</v>
      </c>
      <c r="AN168" s="3" t="s">
        <v>1429</v>
      </c>
      <c r="AO168" s="4">
        <v>28</v>
      </c>
    </row>
    <row r="169" spans="1:43" ht="23.25" customHeight="1" thickBot="1" x14ac:dyDescent="0.35">
      <c r="A169" s="19" t="s">
        <v>1498</v>
      </c>
      <c r="F169" s="8" t="str">
        <f t="shared" si="6"/>
        <v>gift-codes.html?game=世紀帝國M</v>
      </c>
      <c r="H169" s="10" t="str">
        <f t="shared" si="5"/>
        <v>https://www.ssbuy.tw/game-detail.html?game=世紀帝國M</v>
      </c>
      <c r="I169" s="26" t="s">
        <v>1508</v>
      </c>
      <c r="J169" s="38" t="s">
        <v>1501</v>
      </c>
      <c r="K169" s="4">
        <v>2508</v>
      </c>
      <c r="L169" s="3" t="s">
        <v>1502</v>
      </c>
      <c r="M169" s="4">
        <v>1268</v>
      </c>
      <c r="N169" s="3" t="s">
        <v>1503</v>
      </c>
      <c r="O169" s="4">
        <v>548</v>
      </c>
      <c r="P169" s="3" t="s">
        <v>1504</v>
      </c>
      <c r="Q169" s="4">
        <v>278</v>
      </c>
      <c r="R169" s="3" t="s">
        <v>1505</v>
      </c>
      <c r="S169" s="4">
        <v>127</v>
      </c>
      <c r="T169" s="3" t="s">
        <v>1506</v>
      </c>
      <c r="U169" s="4">
        <v>25</v>
      </c>
    </row>
    <row r="170" spans="1:43" ht="23.25" customHeight="1" thickBot="1" x14ac:dyDescent="0.35">
      <c r="A170" s="19" t="s">
        <v>1499</v>
      </c>
      <c r="F170" s="8" t="str">
        <f t="shared" si="6"/>
        <v>gift-codes.html?game=歐啦!守得豬</v>
      </c>
      <c r="H170" s="10" t="str">
        <f t="shared" si="5"/>
        <v>https://www.ssbuy.tw/game-detail.html?game=歐啦!守得豬</v>
      </c>
      <c r="I170" s="26" t="s">
        <v>1509</v>
      </c>
      <c r="J170" s="38" t="s">
        <v>61</v>
      </c>
      <c r="K170" s="4">
        <v>2539</v>
      </c>
      <c r="L170" s="3" t="s">
        <v>62</v>
      </c>
      <c r="M170" s="4">
        <v>1323</v>
      </c>
      <c r="N170" s="3" t="s">
        <v>1507</v>
      </c>
      <c r="O170" s="4">
        <v>579</v>
      </c>
      <c r="P170" s="3" t="s">
        <v>1326</v>
      </c>
      <c r="Q170" s="4">
        <v>294</v>
      </c>
      <c r="R170" s="3" t="s">
        <v>16</v>
      </c>
      <c r="S170" s="4">
        <v>144</v>
      </c>
      <c r="T170" s="3" t="s">
        <v>7</v>
      </c>
      <c r="U170" s="4">
        <v>28</v>
      </c>
      <c r="V170" s="3" t="s">
        <v>177</v>
      </c>
      <c r="W170" s="4">
        <v>294</v>
      </c>
      <c r="X170" s="3" t="s">
        <v>1295</v>
      </c>
      <c r="Y170" s="4">
        <v>144</v>
      </c>
    </row>
    <row r="171" spans="1:43" ht="23.25" customHeight="1" thickBot="1" x14ac:dyDescent="0.35">
      <c r="A171" s="19" t="s">
        <v>1500</v>
      </c>
      <c r="F171" s="8" t="str">
        <f t="shared" si="6"/>
        <v>gift-codes.html?game=18櫻花幕府</v>
      </c>
      <c r="H171" s="10" t="str">
        <f t="shared" si="5"/>
        <v>https://www.ssbuy.tw/game-detail.html?game=18櫻花幕府</v>
      </c>
      <c r="I171" s="27" t="s">
        <v>1510</v>
      </c>
      <c r="J171" s="38" t="s">
        <v>1511</v>
      </c>
      <c r="K171" s="4">
        <v>2340</v>
      </c>
      <c r="L171" s="3" t="s">
        <v>1512</v>
      </c>
      <c r="M171" s="4">
        <v>1166</v>
      </c>
      <c r="N171" s="3" t="s">
        <v>1513</v>
      </c>
      <c r="O171" s="4">
        <v>775</v>
      </c>
      <c r="P171" s="3" t="s">
        <v>1514</v>
      </c>
      <c r="Q171" s="4">
        <v>532</v>
      </c>
      <c r="R171" s="3" t="s">
        <v>1515</v>
      </c>
      <c r="S171" s="4">
        <v>262</v>
      </c>
      <c r="T171" s="3" t="s">
        <v>1516</v>
      </c>
      <c r="U171" s="4">
        <v>144</v>
      </c>
      <c r="V171" s="3" t="s">
        <v>1517</v>
      </c>
      <c r="W171" s="4">
        <v>28</v>
      </c>
    </row>
    <row r="172" spans="1:43" ht="23.25" customHeight="1" thickBot="1" x14ac:dyDescent="0.35">
      <c r="A172" s="21" t="s">
        <v>1518</v>
      </c>
      <c r="F172" s="8" t="str">
        <f t="shared" si="6"/>
        <v>gift-codes.html?game=大武道</v>
      </c>
      <c r="H172" s="10" t="str">
        <f t="shared" si="5"/>
        <v>https://www.ssbuy.tw/game-detail.html?game=大武道</v>
      </c>
      <c r="I172" s="27" t="s">
        <v>1531</v>
      </c>
      <c r="J172" s="38" t="s">
        <v>1519</v>
      </c>
      <c r="K172" s="4">
        <v>2539</v>
      </c>
      <c r="L172" s="3" t="s">
        <v>1520</v>
      </c>
      <c r="M172" s="4">
        <v>1323</v>
      </c>
      <c r="N172" s="3" t="s">
        <v>1521</v>
      </c>
      <c r="O172" s="4">
        <v>532</v>
      </c>
      <c r="P172" s="3" t="s">
        <v>1522</v>
      </c>
      <c r="Q172" s="4">
        <v>389</v>
      </c>
      <c r="R172" s="3" t="s">
        <v>318</v>
      </c>
      <c r="S172" s="4">
        <v>144</v>
      </c>
      <c r="T172" s="3" t="s">
        <v>1523</v>
      </c>
      <c r="U172" s="4">
        <v>28</v>
      </c>
      <c r="V172" s="3" t="s">
        <v>1524</v>
      </c>
      <c r="W172" s="4">
        <v>681</v>
      </c>
      <c r="X172" s="3" t="s">
        <v>107</v>
      </c>
      <c r="Y172" s="4">
        <v>144</v>
      </c>
      <c r="Z172" s="3" t="s">
        <v>176</v>
      </c>
      <c r="AA172" s="4">
        <v>28</v>
      </c>
    </row>
    <row r="173" spans="1:43" ht="23.25" customHeight="1" thickBot="1" x14ac:dyDescent="0.3">
      <c r="A173" s="20" t="s">
        <v>1532</v>
      </c>
      <c r="F173" s="8" t="str">
        <f t="shared" si="6"/>
        <v>gift-codes.html?game=奇蹟MU：暴走之翼</v>
      </c>
      <c r="H173" s="10" t="str">
        <f t="shared" si="5"/>
        <v>https://www.ssbuy.tw/game-detail.html?game=奇蹟MU：暴走之翼</v>
      </c>
      <c r="I173" s="29" t="s">
        <v>1533</v>
      </c>
      <c r="J173" s="38" t="s">
        <v>155</v>
      </c>
      <c r="K173" s="4">
        <v>2525</v>
      </c>
      <c r="L173" s="3" t="s">
        <v>1525</v>
      </c>
      <c r="M173" s="4">
        <v>1284</v>
      </c>
      <c r="N173" s="3" t="s">
        <v>1526</v>
      </c>
      <c r="O173" s="4">
        <v>624</v>
      </c>
      <c r="P173" s="3" t="s">
        <v>1527</v>
      </c>
      <c r="Q173" s="4">
        <v>545</v>
      </c>
      <c r="R173" s="3" t="s">
        <v>159</v>
      </c>
      <c r="S173" s="4">
        <v>387</v>
      </c>
      <c r="T173" s="3" t="s">
        <v>160</v>
      </c>
      <c r="U173" s="4">
        <v>260</v>
      </c>
      <c r="V173" s="3" t="s">
        <v>1528</v>
      </c>
      <c r="W173" s="4">
        <v>174</v>
      </c>
      <c r="X173" s="3" t="s">
        <v>1529</v>
      </c>
      <c r="Y173" s="4">
        <v>160</v>
      </c>
      <c r="Z173" s="3" t="s">
        <v>1530</v>
      </c>
      <c r="AA173" s="4">
        <v>139</v>
      </c>
      <c r="AB173" s="3" t="s">
        <v>162</v>
      </c>
      <c r="AC173" s="4">
        <v>28</v>
      </c>
    </row>
    <row r="174" spans="1:43" ht="23.25" customHeight="1" thickBot="1" x14ac:dyDescent="0.35">
      <c r="A174" s="21" t="s">
        <v>1536</v>
      </c>
      <c r="F174" s="8" t="str">
        <f t="shared" si="6"/>
        <v>gift-codes.html?game=劍太傳說：新的開始</v>
      </c>
      <c r="H174" s="10" t="str">
        <f t="shared" si="5"/>
        <v>https://www.ssbuy.tw/game-detail.html?game=劍太傳說：新的開始</v>
      </c>
      <c r="I174" s="26" t="s">
        <v>1534</v>
      </c>
      <c r="J174" s="38" t="s">
        <v>235</v>
      </c>
      <c r="K174" s="4">
        <v>2539</v>
      </c>
      <c r="L174" s="3" t="s">
        <v>236</v>
      </c>
      <c r="M174" s="4">
        <v>1323</v>
      </c>
      <c r="N174" s="3" t="s">
        <v>1292</v>
      </c>
      <c r="O174" s="4">
        <v>775</v>
      </c>
      <c r="P174" s="3" t="s">
        <v>237</v>
      </c>
      <c r="Q174" s="4">
        <v>532</v>
      </c>
      <c r="R174" s="3" t="s">
        <v>238</v>
      </c>
      <c r="S174" s="4">
        <v>262</v>
      </c>
      <c r="T174" s="3" t="s">
        <v>239</v>
      </c>
      <c r="U174" s="4">
        <v>144</v>
      </c>
      <c r="V174" s="3" t="s">
        <v>240</v>
      </c>
      <c r="W174" s="4">
        <v>28</v>
      </c>
      <c r="X174" s="3" t="s">
        <v>1538</v>
      </c>
      <c r="Y174" s="4">
        <v>775</v>
      </c>
    </row>
    <row r="175" spans="1:43" ht="23.25" customHeight="1" thickBot="1" x14ac:dyDescent="0.35">
      <c r="A175" s="21" t="s">
        <v>1537</v>
      </c>
      <c r="F175" s="8" t="str">
        <f t="shared" si="6"/>
        <v>gift-codes.html?game=三國。群英燎原</v>
      </c>
      <c r="H175" s="10" t="str">
        <f t="shared" si="5"/>
        <v>https://www.ssbuy.tw/game-detail.html?game=三國。群英燎原</v>
      </c>
      <c r="I175" s="26" t="s">
        <v>1535</v>
      </c>
      <c r="J175" s="38" t="s">
        <v>235</v>
      </c>
      <c r="K175" s="4">
        <v>2539</v>
      </c>
      <c r="L175" s="3" t="s">
        <v>236</v>
      </c>
      <c r="M175" s="4">
        <v>1323</v>
      </c>
      <c r="N175" s="3" t="s">
        <v>237</v>
      </c>
      <c r="O175" s="4">
        <v>775</v>
      </c>
      <c r="P175" s="3" t="s">
        <v>238</v>
      </c>
      <c r="Q175" s="4">
        <v>262</v>
      </c>
      <c r="R175" s="3" t="s">
        <v>239</v>
      </c>
      <c r="S175" s="4">
        <v>144</v>
      </c>
      <c r="T175" s="3" t="s">
        <v>240</v>
      </c>
      <c r="U175" s="4">
        <v>28</v>
      </c>
    </row>
    <row r="176" spans="1:43" ht="23.25" customHeight="1" thickBot="1" x14ac:dyDescent="0.25">
      <c r="A176" s="19" t="s">
        <v>1540</v>
      </c>
      <c r="F176" s="8" t="str">
        <f t="shared" si="6"/>
        <v>gift-codes.html?game=Final War：寒霜前線</v>
      </c>
      <c r="H176" s="10" t="str">
        <f t="shared" si="5"/>
        <v>https://www.ssbuy.tw/game-detail.html?game=Final War：寒霜前線</v>
      </c>
      <c r="I176" s="39" t="s">
        <v>1542</v>
      </c>
      <c r="J176" s="38" t="s">
        <v>1545</v>
      </c>
      <c r="K176" s="4">
        <v>2340</v>
      </c>
      <c r="L176" s="3" t="s">
        <v>1546</v>
      </c>
      <c r="M176" s="4">
        <v>1323</v>
      </c>
      <c r="N176" s="3" t="s">
        <v>1547</v>
      </c>
      <c r="O176" s="4">
        <v>532</v>
      </c>
      <c r="P176" s="3" t="s">
        <v>1548</v>
      </c>
      <c r="Q176" s="4">
        <v>262</v>
      </c>
      <c r="R176" s="3" t="s">
        <v>1549</v>
      </c>
      <c r="S176" s="4">
        <v>144</v>
      </c>
      <c r="T176" s="3" t="s">
        <v>1550</v>
      </c>
      <c r="U176" s="4">
        <v>28</v>
      </c>
    </row>
    <row r="177" spans="1:35" ht="23.25" customHeight="1" thickBot="1" x14ac:dyDescent="0.25">
      <c r="A177" s="19" t="s">
        <v>1541</v>
      </c>
      <c r="F177" s="8" t="str">
        <f t="shared" si="6"/>
        <v>gift-codes.html?game=黑夜獵人</v>
      </c>
      <c r="H177" s="10" t="str">
        <f t="shared" si="5"/>
        <v>https://www.ssbuy.tw/game-detail.html?game=黑夜獵人</v>
      </c>
      <c r="I177" s="31" t="s">
        <v>1543</v>
      </c>
      <c r="J177" s="38" t="s">
        <v>1551</v>
      </c>
      <c r="K177" s="4">
        <v>2340</v>
      </c>
      <c r="L177" s="3" t="s">
        <v>1552</v>
      </c>
      <c r="M177" s="4">
        <v>1166</v>
      </c>
      <c r="N177" s="3" t="s">
        <v>1553</v>
      </c>
      <c r="O177" s="4">
        <v>548</v>
      </c>
      <c r="P177" s="3" t="s">
        <v>1554</v>
      </c>
      <c r="Q177" s="4">
        <v>254</v>
      </c>
      <c r="R177" s="3" t="s">
        <v>1555</v>
      </c>
      <c r="S177" s="4">
        <v>127</v>
      </c>
      <c r="T177" s="3" t="s">
        <v>1556</v>
      </c>
      <c r="U177" s="4">
        <v>25</v>
      </c>
    </row>
    <row r="178" spans="1:35" ht="23.25" customHeight="1" thickBot="1" x14ac:dyDescent="0.3">
      <c r="A178" s="22" t="s">
        <v>1557</v>
      </c>
      <c r="C178" s="24" t="s">
        <v>1562</v>
      </c>
      <c r="D178" s="23" t="s">
        <v>1560</v>
      </c>
      <c r="E178" s="23" t="s">
        <v>1559</v>
      </c>
      <c r="F178" s="8" t="str">
        <f t="shared" si="6"/>
        <v>gift-codes.html?game=魔法黯道</v>
      </c>
      <c r="G178" s="23" t="s">
        <v>1561</v>
      </c>
      <c r="H178" s="10" t="str">
        <f t="shared" si="5"/>
        <v>https://www.ssbuy.tw/game-detail.html?game=魔法黯道</v>
      </c>
      <c r="I178" s="30" t="s">
        <v>1558</v>
      </c>
      <c r="J178" s="38" t="s">
        <v>1563</v>
      </c>
      <c r="K178" s="4">
        <v>2340</v>
      </c>
      <c r="L178" s="3" t="s">
        <v>1564</v>
      </c>
      <c r="M178" s="4">
        <v>1166</v>
      </c>
      <c r="N178" s="3" t="s">
        <v>1565</v>
      </c>
      <c r="O178" s="4">
        <v>775</v>
      </c>
      <c r="P178" s="3" t="s">
        <v>1566</v>
      </c>
      <c r="Q178" s="4">
        <v>532</v>
      </c>
      <c r="R178" s="3" t="s">
        <v>1567</v>
      </c>
      <c r="S178" s="4">
        <v>262</v>
      </c>
      <c r="T178" s="3" t="s">
        <v>1568</v>
      </c>
      <c r="U178" s="4">
        <v>144</v>
      </c>
      <c r="V178" s="3" t="s">
        <v>1569</v>
      </c>
      <c r="W178" s="4">
        <v>28</v>
      </c>
      <c r="X178" s="3" t="s">
        <v>1570</v>
      </c>
      <c r="Y178" s="4">
        <v>262</v>
      </c>
      <c r="Z178" s="3" t="s">
        <v>107</v>
      </c>
      <c r="AA178" s="4">
        <v>144</v>
      </c>
      <c r="AB178" s="3" t="s">
        <v>1571</v>
      </c>
      <c r="AC178" s="4">
        <v>775</v>
      </c>
    </row>
    <row r="179" spans="1:35" ht="23.25" customHeight="1" thickBot="1" x14ac:dyDescent="0.25">
      <c r="A179" s="22" t="s">
        <v>1572</v>
      </c>
      <c r="C179" s="24" t="s">
        <v>1573</v>
      </c>
      <c r="D179" s="23" t="s">
        <v>1574</v>
      </c>
      <c r="E179" s="23" t="s">
        <v>1575</v>
      </c>
      <c r="F179" s="8" t="str">
        <f t="shared" si="6"/>
        <v>gift-codes.html?game=神代紀事</v>
      </c>
      <c r="G179" s="23" t="s">
        <v>1577</v>
      </c>
      <c r="H179" s="10" t="str">
        <f t="shared" si="5"/>
        <v>https://www.ssbuy.tw/game-detail.html?game=神代紀事</v>
      </c>
      <c r="I179" s="39" t="s">
        <v>1576</v>
      </c>
      <c r="J179" s="38" t="s">
        <v>1578</v>
      </c>
      <c r="K179" s="4">
        <v>2340</v>
      </c>
      <c r="L179" s="3" t="s">
        <v>1579</v>
      </c>
      <c r="M179" s="4">
        <v>1166</v>
      </c>
      <c r="N179" s="3" t="s">
        <v>1580</v>
      </c>
      <c r="O179" s="4">
        <v>697</v>
      </c>
      <c r="P179" s="3" t="s">
        <v>1581</v>
      </c>
      <c r="Q179" s="4">
        <v>357</v>
      </c>
      <c r="R179" s="3" t="s">
        <v>1582</v>
      </c>
      <c r="S179" s="4">
        <v>127</v>
      </c>
      <c r="T179" s="3" t="s">
        <v>1583</v>
      </c>
      <c r="U179" s="4">
        <v>25</v>
      </c>
      <c r="V179" s="3" t="s">
        <v>1584</v>
      </c>
      <c r="W179" s="4">
        <v>230</v>
      </c>
      <c r="X179" s="3" t="s">
        <v>1585</v>
      </c>
      <c r="Y179" s="4">
        <v>697</v>
      </c>
      <c r="Z179" s="3" t="s">
        <v>1586</v>
      </c>
      <c r="AA179" s="4">
        <v>230</v>
      </c>
      <c r="AB179" s="3" t="s">
        <v>1587</v>
      </c>
      <c r="AC179" s="4">
        <v>25</v>
      </c>
      <c r="AD179" s="3" t="s">
        <v>1588</v>
      </c>
      <c r="AE179" s="4">
        <v>357</v>
      </c>
      <c r="AF179" s="3" t="s">
        <v>1589</v>
      </c>
      <c r="AG179" s="4">
        <v>127</v>
      </c>
      <c r="AH179" s="3" t="s">
        <v>1590</v>
      </c>
      <c r="AI179" s="4">
        <v>25</v>
      </c>
    </row>
    <row r="180" spans="1:35" ht="23.25" customHeight="1" thickBot="1" x14ac:dyDescent="0.35">
      <c r="A180" s="22" t="s">
        <v>1591</v>
      </c>
      <c r="C180" s="24" t="s">
        <v>1595</v>
      </c>
      <c r="D180" s="23" t="s">
        <v>1593</v>
      </c>
      <c r="E180" s="23" t="s">
        <v>1594</v>
      </c>
      <c r="F180" s="8" t="str">
        <f t="shared" si="6"/>
        <v>gift-codes.html?game=天命國度</v>
      </c>
      <c r="G180" s="2" t="s">
        <v>1596</v>
      </c>
      <c r="H180" s="10" t="str">
        <f t="shared" si="5"/>
        <v>https://www.ssbuy.tw/game-detail.html?game=天命國度</v>
      </c>
      <c r="I180" s="26" t="s">
        <v>1592</v>
      </c>
      <c r="J180" s="38" t="s">
        <v>1597</v>
      </c>
      <c r="K180" s="4">
        <v>2539</v>
      </c>
      <c r="L180" s="3" t="s">
        <v>1598</v>
      </c>
      <c r="M180" s="4">
        <v>1323</v>
      </c>
      <c r="N180" s="3" t="s">
        <v>1599</v>
      </c>
      <c r="O180" s="4">
        <v>262</v>
      </c>
      <c r="P180" s="3" t="s">
        <v>1600</v>
      </c>
      <c r="Q180" s="4">
        <v>144</v>
      </c>
      <c r="R180" s="3" t="s">
        <v>1601</v>
      </c>
      <c r="S180" s="4">
        <v>28</v>
      </c>
      <c r="T180" s="3" t="s">
        <v>1602</v>
      </c>
      <c r="U180" s="4">
        <v>532</v>
      </c>
    </row>
    <row r="181" spans="1:35" ht="23.25" customHeight="1" thickBot="1" x14ac:dyDescent="0.25">
      <c r="A181" s="20" t="s">
        <v>1603</v>
      </c>
      <c r="C181" s="1" t="s">
        <v>1605</v>
      </c>
      <c r="D181" s="23" t="s">
        <v>1604</v>
      </c>
      <c r="E181" s="2" t="s">
        <v>1606</v>
      </c>
      <c r="F181" s="8" t="str">
        <f t="shared" si="6"/>
        <v>gift-codes.html?game=戰國武士道</v>
      </c>
      <c r="G181" s="2" t="s">
        <v>1607</v>
      </c>
      <c r="H181" s="10" t="str">
        <f t="shared" si="5"/>
        <v>https://www.ssbuy.tw/game-detail.html?game=戰國武士道</v>
      </c>
      <c r="I181" s="31" t="s">
        <v>1633</v>
      </c>
      <c r="J181" s="38" t="s">
        <v>1614</v>
      </c>
      <c r="K181" s="4">
        <v>2539</v>
      </c>
      <c r="L181" s="3" t="s">
        <v>1613</v>
      </c>
      <c r="M181" s="4">
        <v>1323</v>
      </c>
      <c r="N181" s="3" t="s">
        <v>1615</v>
      </c>
      <c r="O181" s="4">
        <v>783</v>
      </c>
      <c r="P181" s="3" t="s">
        <v>1616</v>
      </c>
      <c r="Q181" s="4">
        <v>397</v>
      </c>
      <c r="R181" s="3" t="s">
        <v>1617</v>
      </c>
      <c r="S181" s="4">
        <v>144</v>
      </c>
      <c r="T181" s="3" t="s">
        <v>1618</v>
      </c>
      <c r="U181" s="4">
        <v>25</v>
      </c>
      <c r="V181" s="3" t="s">
        <v>1619</v>
      </c>
      <c r="W181" s="4">
        <v>1252</v>
      </c>
      <c r="X181" s="3" t="s">
        <v>1620</v>
      </c>
      <c r="Y181" s="4">
        <v>135</v>
      </c>
      <c r="Z181" s="3" t="s">
        <v>1621</v>
      </c>
      <c r="AA181" s="4">
        <v>85</v>
      </c>
    </row>
    <row r="182" spans="1:35" ht="23.25" customHeight="1" thickBot="1" x14ac:dyDescent="0.3">
      <c r="A182" s="20" t="s">
        <v>1608</v>
      </c>
      <c r="C182" s="24" t="s">
        <v>1610</v>
      </c>
      <c r="D182" s="23" t="s">
        <v>1611</v>
      </c>
      <c r="E182" s="23" t="s">
        <v>1612</v>
      </c>
      <c r="F182" s="8" t="str">
        <f t="shared" si="6"/>
        <v>gift-codes.html?game=超蝦大作戰</v>
      </c>
      <c r="G182" s="23" t="s">
        <v>1609</v>
      </c>
      <c r="H182" s="10" t="str">
        <f t="shared" si="5"/>
        <v>https://www.ssbuy.tw/game-detail.html?game=超蝦大作戰</v>
      </c>
      <c r="I182" s="30" t="s">
        <v>1632</v>
      </c>
      <c r="J182" s="38" t="s">
        <v>1622</v>
      </c>
      <c r="K182" s="4">
        <v>2539</v>
      </c>
      <c r="L182" s="3" t="s">
        <v>1623</v>
      </c>
      <c r="M182" s="4">
        <v>1793</v>
      </c>
      <c r="N182" s="3" t="s">
        <v>1624</v>
      </c>
      <c r="O182" s="4">
        <v>1323</v>
      </c>
      <c r="P182" s="3" t="s">
        <v>1625</v>
      </c>
      <c r="Q182" s="4">
        <v>775</v>
      </c>
      <c r="R182" s="3" t="s">
        <v>1626</v>
      </c>
      <c r="S182" s="4">
        <v>532</v>
      </c>
      <c r="T182" s="3" t="s">
        <v>1627</v>
      </c>
      <c r="U182" s="4">
        <v>389</v>
      </c>
      <c r="V182" s="3" t="s">
        <v>1628</v>
      </c>
      <c r="W182" s="4">
        <v>262</v>
      </c>
      <c r="X182" s="3" t="s">
        <v>1629</v>
      </c>
      <c r="Y182" s="4">
        <v>238</v>
      </c>
      <c r="Z182" s="3" t="s">
        <v>1630</v>
      </c>
      <c r="AA182" s="4">
        <v>144</v>
      </c>
      <c r="AB182" s="3" t="s">
        <v>1631</v>
      </c>
      <c r="AC182" s="4">
        <v>110</v>
      </c>
    </row>
    <row r="183" spans="1:35" ht="23.25" customHeight="1" thickBot="1" x14ac:dyDescent="0.25">
      <c r="A183" s="20" t="s">
        <v>1634</v>
      </c>
      <c r="C183" s="24" t="s">
        <v>1635</v>
      </c>
      <c r="D183" s="2" t="s">
        <v>1637</v>
      </c>
      <c r="E183" s="23" t="s">
        <v>1636</v>
      </c>
      <c r="F183" s="8" t="str">
        <f t="shared" si="6"/>
        <v>gift-codes.html?game=真妖獸!廢柴要修仙</v>
      </c>
      <c r="G183" s="23" t="s">
        <v>1639</v>
      </c>
      <c r="H183" s="10" t="str">
        <f t="shared" si="5"/>
        <v>https://www.ssbuy.tw/game-detail.html?game=真妖獸!廢柴要修仙</v>
      </c>
      <c r="I183" s="39" t="s">
        <v>1638</v>
      </c>
      <c r="J183" s="38" t="s">
        <v>1640</v>
      </c>
      <c r="K183" s="4">
        <v>2539</v>
      </c>
      <c r="L183" s="3" t="s">
        <v>313</v>
      </c>
      <c r="M183" s="4">
        <v>1323</v>
      </c>
      <c r="N183" s="3" t="s">
        <v>1641</v>
      </c>
      <c r="O183" s="4">
        <v>775</v>
      </c>
      <c r="P183" s="3" t="s">
        <v>1642</v>
      </c>
      <c r="Q183" s="4">
        <v>532</v>
      </c>
      <c r="R183" s="3" t="s">
        <v>1643</v>
      </c>
      <c r="S183" s="4">
        <v>262</v>
      </c>
      <c r="T183" s="3" t="s">
        <v>1644</v>
      </c>
      <c r="U183" s="4">
        <v>144</v>
      </c>
      <c r="V183" s="3" t="s">
        <v>1645</v>
      </c>
      <c r="W183" s="4">
        <v>59</v>
      </c>
      <c r="X183" s="3" t="s">
        <v>1523</v>
      </c>
      <c r="Y183" s="4">
        <v>28</v>
      </c>
    </row>
    <row r="184" spans="1:35" ht="23.25" customHeight="1" thickBot="1" x14ac:dyDescent="0.3">
      <c r="A184" t="s">
        <v>1651</v>
      </c>
      <c r="C184" s="24" t="s">
        <v>1648</v>
      </c>
      <c r="D184" s="23" t="s">
        <v>1647</v>
      </c>
      <c r="E184" s="23" t="s">
        <v>1646</v>
      </c>
      <c r="F184" s="8" t="str">
        <f t="shared" si="6"/>
        <v>gift-codes.html?game=三國志Thrones</v>
      </c>
      <c r="G184" s="23" t="s">
        <v>1649</v>
      </c>
      <c r="H184" s="10" t="str">
        <f t="shared" si="5"/>
        <v>https://www.ssbuy.tw/game-detail.html?game=三國志Thrones</v>
      </c>
      <c r="I184" s="30" t="s">
        <v>1650</v>
      </c>
      <c r="J184" s="38" t="s">
        <v>235</v>
      </c>
      <c r="K184" s="4">
        <v>3010</v>
      </c>
      <c r="L184" s="3" t="s">
        <v>236</v>
      </c>
      <c r="M184" s="4">
        <v>1550</v>
      </c>
      <c r="N184" s="3" t="s">
        <v>1292</v>
      </c>
      <c r="O184" s="4">
        <v>932</v>
      </c>
      <c r="P184" s="3" t="s">
        <v>1652</v>
      </c>
      <c r="Q184" s="4">
        <v>475</v>
      </c>
      <c r="R184" s="3" t="s">
        <v>239</v>
      </c>
      <c r="S184" s="4">
        <v>156</v>
      </c>
      <c r="T184" s="3" t="s">
        <v>240</v>
      </c>
      <c r="U184" s="4">
        <v>28</v>
      </c>
    </row>
    <row r="185" spans="1:35" ht="23.25" customHeight="1" thickBot="1" x14ac:dyDescent="0.25">
      <c r="A185" s="20" t="s">
        <v>1660</v>
      </c>
      <c r="C185" s="24" t="s">
        <v>1655</v>
      </c>
      <c r="D185" s="23" t="s">
        <v>1654</v>
      </c>
      <c r="E185" s="23" t="s">
        <v>1656</v>
      </c>
      <c r="F185" s="8" t="str">
        <f t="shared" si="6"/>
        <v>gift-codes.html?game=英勇之地</v>
      </c>
      <c r="G185" s="23" t="s">
        <v>1653</v>
      </c>
      <c r="H185" s="10" t="str">
        <f t="shared" si="5"/>
        <v>https://www.ssbuy.tw/game-detail.html?game=英勇之地</v>
      </c>
      <c r="I185" s="39" t="s">
        <v>1659</v>
      </c>
      <c r="J185" s="38" t="s">
        <v>12</v>
      </c>
      <c r="K185" s="4">
        <v>2415</v>
      </c>
      <c r="L185" s="3" t="s">
        <v>13</v>
      </c>
      <c r="M185" s="4">
        <v>1225</v>
      </c>
      <c r="N185" s="3" t="s">
        <v>24</v>
      </c>
      <c r="O185" s="4">
        <v>735</v>
      </c>
      <c r="P185" s="3" t="s">
        <v>15</v>
      </c>
      <c r="Q185" s="4">
        <v>372</v>
      </c>
      <c r="R185" s="3" t="s">
        <v>16</v>
      </c>
      <c r="S185" s="4">
        <v>132</v>
      </c>
      <c r="T185" s="3" t="s">
        <v>7</v>
      </c>
      <c r="U185" s="4">
        <v>26</v>
      </c>
      <c r="V185" s="3" t="s">
        <v>107</v>
      </c>
      <c r="W185" s="4">
        <v>132</v>
      </c>
      <c r="X185" s="3" t="s">
        <v>1437</v>
      </c>
      <c r="Y185" s="4">
        <v>372</v>
      </c>
      <c r="Z185" s="3" t="s">
        <v>1657</v>
      </c>
      <c r="AA185" s="4">
        <v>1127</v>
      </c>
      <c r="AB185" s="3" t="s">
        <v>1658</v>
      </c>
      <c r="AC185" s="4">
        <v>472</v>
      </c>
    </row>
    <row r="186" spans="1:35" ht="23.25" customHeight="1" thickBot="1" x14ac:dyDescent="0.3">
      <c r="A186" s="21" t="s">
        <v>1661</v>
      </c>
      <c r="C186" s="24" t="s">
        <v>1665</v>
      </c>
      <c r="D186" s="23" t="s">
        <v>1663</v>
      </c>
      <c r="E186" s="23" t="s">
        <v>1664</v>
      </c>
      <c r="F186" s="8" t="str">
        <f t="shared" si="6"/>
        <v>gift-codes.html?game=未鑑定勇者團</v>
      </c>
      <c r="G186" s="23" t="s">
        <v>1649</v>
      </c>
      <c r="H186" s="10" t="str">
        <f t="shared" si="5"/>
        <v>https://www.ssbuy.tw/game-detail.html?game=未鑑定勇者團</v>
      </c>
      <c r="I186" s="30" t="s">
        <v>1699</v>
      </c>
      <c r="J186" s="38" t="s">
        <v>1670</v>
      </c>
      <c r="K186" s="4">
        <v>2355</v>
      </c>
      <c r="L186" s="3" t="s">
        <v>1671</v>
      </c>
      <c r="M186" s="4">
        <v>937</v>
      </c>
      <c r="N186" s="3" t="s">
        <v>1672</v>
      </c>
      <c r="O186" s="4">
        <v>232</v>
      </c>
      <c r="P186" s="3" t="s">
        <v>1673</v>
      </c>
      <c r="Q186" s="4">
        <v>176</v>
      </c>
      <c r="R186" s="3" t="s">
        <v>1674</v>
      </c>
      <c r="S186" s="4">
        <v>102</v>
      </c>
    </row>
    <row r="187" spans="1:35" ht="23.25" customHeight="1" thickBot="1" x14ac:dyDescent="0.3">
      <c r="A187" s="21" t="s">
        <v>1662</v>
      </c>
      <c r="C187" s="1" t="s">
        <v>1668</v>
      </c>
      <c r="D187" s="2" t="s">
        <v>1667</v>
      </c>
      <c r="E187" s="2" t="s">
        <v>1669</v>
      </c>
      <c r="F187" s="8" t="str">
        <f t="shared" si="6"/>
        <v>gift-codes.html?game=戰靈異聞社</v>
      </c>
      <c r="G187" s="23" t="s">
        <v>1666</v>
      </c>
      <c r="H187" s="10" t="str">
        <f t="shared" si="5"/>
        <v>https://www.ssbuy.tw/game-detail.html?game=戰靈異聞社</v>
      </c>
      <c r="I187" s="30" t="s">
        <v>1700</v>
      </c>
      <c r="J187" s="38" t="s">
        <v>1675</v>
      </c>
      <c r="K187" s="4">
        <v>2555</v>
      </c>
      <c r="L187" s="3" t="s">
        <v>1676</v>
      </c>
      <c r="M187" s="4">
        <v>1331</v>
      </c>
      <c r="N187" s="3" t="s">
        <v>1677</v>
      </c>
      <c r="O187" s="4">
        <v>788</v>
      </c>
      <c r="P187" s="3" t="s">
        <v>1678</v>
      </c>
      <c r="Q187" s="4">
        <v>535</v>
      </c>
      <c r="R187" s="3" t="s">
        <v>1679</v>
      </c>
      <c r="S187" s="4">
        <v>391</v>
      </c>
      <c r="T187" s="3" t="s">
        <v>1680</v>
      </c>
      <c r="U187" s="4">
        <v>343</v>
      </c>
      <c r="V187" s="3" t="s">
        <v>1681</v>
      </c>
      <c r="W187" s="4">
        <v>264</v>
      </c>
      <c r="X187" s="3" t="s">
        <v>1682</v>
      </c>
      <c r="Y187" s="4">
        <v>145</v>
      </c>
      <c r="Z187" s="3" t="s">
        <v>1683</v>
      </c>
      <c r="AA187" s="4">
        <v>28</v>
      </c>
    </row>
    <row r="188" spans="1:35" ht="23.25" customHeight="1" thickBot="1" x14ac:dyDescent="0.3">
      <c r="A188" s="22" t="s">
        <v>1684</v>
      </c>
      <c r="C188" s="24" t="s">
        <v>1686</v>
      </c>
      <c r="D188" s="23" t="s">
        <v>1687</v>
      </c>
      <c r="E188" s="23" t="s">
        <v>1685</v>
      </c>
      <c r="F188" s="8" t="str">
        <f t="shared" si="6"/>
        <v>gift-codes.html?game=見習骷髏王</v>
      </c>
      <c r="G188" s="23" t="s">
        <v>1688</v>
      </c>
      <c r="H188" s="10" t="str">
        <f t="shared" si="5"/>
        <v>https://www.ssbuy.tw/game-detail.html?game=見習骷髏王</v>
      </c>
      <c r="I188" s="30" t="s">
        <v>1701</v>
      </c>
      <c r="J188" s="38" t="s">
        <v>1689</v>
      </c>
      <c r="K188" s="4">
        <v>1961</v>
      </c>
      <c r="L188" s="3" t="s">
        <v>1690</v>
      </c>
      <c r="M188" s="4">
        <v>1804</v>
      </c>
      <c r="N188" s="3" t="s">
        <v>1691</v>
      </c>
      <c r="O188" s="4">
        <v>1331</v>
      </c>
      <c r="P188" s="3" t="s">
        <v>1692</v>
      </c>
      <c r="Q188" s="4">
        <v>1174</v>
      </c>
      <c r="R188" s="3" t="s">
        <v>1693</v>
      </c>
      <c r="S188" s="4">
        <v>937</v>
      </c>
      <c r="T188" s="3" t="s">
        <v>151</v>
      </c>
      <c r="U188" s="4">
        <v>780</v>
      </c>
      <c r="V188" s="3" t="s">
        <v>1694</v>
      </c>
      <c r="W188" s="4">
        <v>535</v>
      </c>
      <c r="X188" s="3" t="s">
        <v>1695</v>
      </c>
      <c r="Y188" s="4">
        <v>264</v>
      </c>
      <c r="Z188" s="3" t="s">
        <v>1696</v>
      </c>
      <c r="AA188" s="4">
        <v>184</v>
      </c>
      <c r="AB188" s="3" t="s">
        <v>1697</v>
      </c>
      <c r="AC188" s="4">
        <v>145</v>
      </c>
      <c r="AD188" s="3" t="s">
        <v>1698</v>
      </c>
      <c r="AE188" s="4">
        <v>28</v>
      </c>
    </row>
    <row r="189" spans="1:35" ht="23.25" customHeight="1" thickBot="1" x14ac:dyDescent="0.25">
      <c r="A189" s="22" t="s">
        <v>1703</v>
      </c>
      <c r="C189" s="1" t="s">
        <v>1702</v>
      </c>
      <c r="D189" s="2" t="s">
        <v>1702</v>
      </c>
      <c r="E189" s="23" t="s">
        <v>1704</v>
      </c>
      <c r="F189" s="8" t="str">
        <f t="shared" si="6"/>
        <v>gift-codes.html?game=全明星無雙</v>
      </c>
      <c r="G189" s="23" t="s">
        <v>1649</v>
      </c>
      <c r="H189" s="10" t="str">
        <f t="shared" si="5"/>
        <v>https://www.ssbuy.tw/game-detail.html?game=全明星無雙</v>
      </c>
      <c r="I189" s="39" t="s">
        <v>1705</v>
      </c>
      <c r="J189" s="38" t="s">
        <v>61</v>
      </c>
      <c r="K189" s="4">
        <v>2555</v>
      </c>
      <c r="L189" s="3" t="s">
        <v>62</v>
      </c>
      <c r="M189" s="4">
        <v>1331</v>
      </c>
      <c r="N189" s="3" t="s">
        <v>63</v>
      </c>
      <c r="O189" s="4">
        <v>780</v>
      </c>
      <c r="P189" s="3" t="s">
        <v>64</v>
      </c>
      <c r="Q189" s="4">
        <v>535</v>
      </c>
      <c r="R189" s="3" t="s">
        <v>1276</v>
      </c>
      <c r="S189" s="4">
        <v>391</v>
      </c>
      <c r="T189" s="3" t="s">
        <v>65</v>
      </c>
      <c r="U189" s="4">
        <v>264</v>
      </c>
      <c r="V189" s="3" t="s">
        <v>16</v>
      </c>
      <c r="W189" s="4">
        <v>145</v>
      </c>
      <c r="X189" s="3" t="s">
        <v>7</v>
      </c>
      <c r="Y189" s="4">
        <v>28</v>
      </c>
    </row>
    <row r="190" spans="1:35" ht="23.25" customHeight="1" thickBot="1" x14ac:dyDescent="0.3">
      <c r="A190" s="22" t="s">
        <v>3525</v>
      </c>
      <c r="C190" s="24" t="s">
        <v>3527</v>
      </c>
      <c r="D190" s="23" t="s">
        <v>3526</v>
      </c>
      <c r="E190" s="23" t="s">
        <v>3529</v>
      </c>
      <c r="F190" s="8" t="str">
        <f>IF(A190="", "", "gift-codes.html?game=" &amp; A190)</f>
        <v>gift-codes.html?game=伊瑟</v>
      </c>
      <c r="G190" s="23" t="s">
        <v>3528</v>
      </c>
      <c r="H190" s="10" t="str">
        <f>IF(A190="", "", "https://www.ssbuy.tw/game-detail.html?game="&amp;A190)</f>
        <v>https://www.ssbuy.tw/game-detail.html?game=伊瑟</v>
      </c>
      <c r="I190" s="39" t="s">
        <v>3555</v>
      </c>
      <c r="J190" s="40" t="s">
        <v>3530</v>
      </c>
      <c r="K190" s="25" t="s">
        <v>3530</v>
      </c>
      <c r="L190" s="25" t="s">
        <v>3530</v>
      </c>
      <c r="M190" s="25" t="s">
        <v>3530</v>
      </c>
      <c r="N190" s="25" t="s">
        <v>3530</v>
      </c>
      <c r="O190" s="25" t="s">
        <v>3530</v>
      </c>
    </row>
    <row r="191" spans="1:35" ht="23.25" customHeight="1" thickBot="1" x14ac:dyDescent="0.25">
      <c r="A191" s="22" t="s">
        <v>3556</v>
      </c>
      <c r="C191" s="24" t="s">
        <v>3563</v>
      </c>
      <c r="D191" s="23" t="s">
        <v>3562</v>
      </c>
      <c r="E191" s="2" t="s">
        <v>3561</v>
      </c>
      <c r="F191" s="8" t="str">
        <f>IF(A191="","", "https://www.ssbuy.tw/detail_giftcode/dist/giftcodes/" &amp; A191 &amp; ".html")</f>
        <v>https://www.ssbuy.tw/detail_giftcode/dist/giftcodes/手刀搶英雄.html</v>
      </c>
      <c r="G191" s="2" t="s">
        <v>3560</v>
      </c>
      <c r="H191" s="10" t="str">
        <f t="shared" ref="H191:H254" si="7">IF(A191="", "", "https://www.ssbuy.tw/game-detail.html?game="&amp;A191)</f>
        <v>https://www.ssbuy.tw/game-detail.html?game=手刀搶英雄</v>
      </c>
      <c r="I191" s="39" t="s">
        <v>3572</v>
      </c>
      <c r="J191" s="38" t="s">
        <v>3564</v>
      </c>
      <c r="K191" s="4">
        <v>1961</v>
      </c>
      <c r="L191" s="3" t="s">
        <v>3565</v>
      </c>
      <c r="M191" s="4">
        <v>1567</v>
      </c>
      <c r="N191" s="3" t="s">
        <v>3566</v>
      </c>
      <c r="O191" s="4">
        <v>1016</v>
      </c>
      <c r="P191" s="3" t="s">
        <v>3567</v>
      </c>
      <c r="Q191" s="4">
        <v>622</v>
      </c>
      <c r="R191" s="3" t="s">
        <v>3568</v>
      </c>
      <c r="S191" s="4">
        <v>232</v>
      </c>
      <c r="T191" s="3" t="s">
        <v>3569</v>
      </c>
      <c r="U191" s="4">
        <v>102</v>
      </c>
      <c r="V191" s="3" t="s">
        <v>3570</v>
      </c>
      <c r="W191" s="4">
        <v>51</v>
      </c>
      <c r="X191" s="3" t="s">
        <v>3571</v>
      </c>
      <c r="Y191" s="4">
        <v>232</v>
      </c>
    </row>
    <row r="192" spans="1:35" ht="23.25" customHeight="1" thickBot="1" x14ac:dyDescent="0.3">
      <c r="A192" s="21" t="s">
        <v>3593</v>
      </c>
      <c r="C192" s="24" t="s">
        <v>3581</v>
      </c>
      <c r="D192" s="23" t="s">
        <v>3580</v>
      </c>
      <c r="E192" s="23" t="s">
        <v>3582</v>
      </c>
      <c r="F192" s="8" t="str">
        <f t="shared" ref="F192:F254" si="8">IF(A192="", "", "gift-codes.html?game=" &amp; A192)</f>
        <v>gift-codes.html?game=荒野亂鬥</v>
      </c>
      <c r="G192" s="23" t="s">
        <v>3583</v>
      </c>
      <c r="H192" s="10" t="str">
        <f t="shared" si="7"/>
        <v>https://www.ssbuy.tw/game-detail.html?game=荒野亂鬥</v>
      </c>
      <c r="I192" s="39" t="s">
        <v>3633</v>
      </c>
      <c r="J192" s="3" t="s">
        <v>3607</v>
      </c>
      <c r="K192" s="4">
        <v>2415</v>
      </c>
      <c r="L192" s="3" t="s">
        <v>3608</v>
      </c>
      <c r="M192" s="4">
        <v>1225</v>
      </c>
      <c r="N192" s="3" t="s">
        <v>3609</v>
      </c>
      <c r="O192" s="4">
        <v>497</v>
      </c>
      <c r="P192" s="3" t="s">
        <v>3610</v>
      </c>
      <c r="Q192" s="4">
        <v>248</v>
      </c>
      <c r="R192" s="3" t="s">
        <v>3611</v>
      </c>
      <c r="S192" s="4">
        <v>132</v>
      </c>
      <c r="T192" s="3" t="s">
        <v>32</v>
      </c>
      <c r="U192" s="4">
        <v>53</v>
      </c>
    </row>
    <row r="193" spans="1:33" ht="23.25" customHeight="1" thickBot="1" x14ac:dyDescent="0.3">
      <c r="A193" s="21" t="s">
        <v>3592</v>
      </c>
      <c r="C193" s="24" t="s">
        <v>3587</v>
      </c>
      <c r="D193" s="23" t="s">
        <v>3586</v>
      </c>
      <c r="E193" s="23" t="s">
        <v>3585</v>
      </c>
      <c r="F193" s="8" t="str">
        <f t="shared" si="8"/>
        <v>gift-codes.html?game=遺忘之劍</v>
      </c>
      <c r="G193" s="23" t="s">
        <v>3588</v>
      </c>
      <c r="H193" s="10" t="str">
        <f t="shared" si="7"/>
        <v>https://www.ssbuy.tw/game-detail.html?game=遺忘之劍</v>
      </c>
      <c r="I193" s="39" t="s">
        <v>3636</v>
      </c>
      <c r="J193" s="3" t="s">
        <v>3612</v>
      </c>
      <c r="K193" s="4">
        <v>1890</v>
      </c>
      <c r="L193" s="3" t="s">
        <v>3613</v>
      </c>
      <c r="M193" s="4">
        <v>945</v>
      </c>
      <c r="N193" s="3" t="s">
        <v>3614</v>
      </c>
      <c r="O193" s="4">
        <v>575</v>
      </c>
      <c r="P193" s="3" t="s">
        <v>3615</v>
      </c>
      <c r="Q193" s="4">
        <v>192</v>
      </c>
      <c r="R193" s="3" t="s">
        <v>3616</v>
      </c>
      <c r="S193" s="4">
        <v>102</v>
      </c>
      <c r="T193" s="3" t="s">
        <v>3617</v>
      </c>
      <c r="U193" s="4">
        <v>64</v>
      </c>
      <c r="V193" s="3" t="s">
        <v>3618</v>
      </c>
      <c r="W193" s="4">
        <v>192</v>
      </c>
    </row>
    <row r="194" spans="1:33" ht="23.25" customHeight="1" thickBot="1" x14ac:dyDescent="0.3">
      <c r="A194" s="83" t="s">
        <v>3579</v>
      </c>
      <c r="C194" s="24" t="s">
        <v>3589</v>
      </c>
      <c r="D194" s="23" t="s">
        <v>3590</v>
      </c>
      <c r="E194" s="23" t="s">
        <v>3591</v>
      </c>
      <c r="F194" s="8" t="str">
        <f t="shared" si="8"/>
        <v>gift-codes.html?game=破壞突擊隊</v>
      </c>
      <c r="G194" s="23" t="s">
        <v>3584</v>
      </c>
      <c r="H194" s="10" t="str">
        <f t="shared" si="7"/>
        <v>https://www.ssbuy.tw/game-detail.html?game=破壞突擊隊</v>
      </c>
      <c r="I194" t="s">
        <v>3634</v>
      </c>
      <c r="J194" s="3" t="s">
        <v>3624</v>
      </c>
      <c r="K194" s="4">
        <v>622</v>
      </c>
      <c r="L194" s="3" t="s">
        <v>3625</v>
      </c>
      <c r="M194" s="4">
        <v>312</v>
      </c>
      <c r="N194" s="3" t="s">
        <v>3626</v>
      </c>
      <c r="O194" s="4">
        <v>176</v>
      </c>
      <c r="P194" s="3" t="s">
        <v>3627</v>
      </c>
      <c r="Q194" s="4">
        <v>102</v>
      </c>
      <c r="R194" s="3" t="s">
        <v>3628</v>
      </c>
      <c r="S194" s="4">
        <v>51</v>
      </c>
      <c r="T194" s="3" t="s">
        <v>3629</v>
      </c>
      <c r="U194" s="4">
        <v>26</v>
      </c>
      <c r="V194" s="3" t="s">
        <v>3630</v>
      </c>
      <c r="W194" s="4">
        <v>391</v>
      </c>
      <c r="X194" s="3" t="s">
        <v>3631</v>
      </c>
      <c r="Y194" s="4">
        <v>391</v>
      </c>
      <c r="Z194" s="3" t="s">
        <v>3632</v>
      </c>
      <c r="AA194" s="4">
        <v>622</v>
      </c>
    </row>
    <row r="195" spans="1:33" ht="23.25" customHeight="1" thickBot="1" x14ac:dyDescent="0.25">
      <c r="A195" s="22" t="s">
        <v>3619</v>
      </c>
      <c r="C195" s="24" t="s">
        <v>3623</v>
      </c>
      <c r="D195" s="23" t="s">
        <v>3622</v>
      </c>
      <c r="E195" s="23" t="s">
        <v>3620</v>
      </c>
      <c r="F195" s="8" t="str">
        <f t="shared" si="8"/>
        <v>gift-codes.html?game=月兔茶屋：悠閒之旅</v>
      </c>
      <c r="G195" s="23" t="s">
        <v>3621</v>
      </c>
      <c r="H195" s="10" t="str">
        <f t="shared" si="7"/>
        <v>https://www.ssbuy.tw/game-detail.html?game=月兔茶屋：悠閒之旅</v>
      </c>
      <c r="I195" s="2" t="s">
        <v>3635</v>
      </c>
      <c r="J195" s="3" t="s">
        <v>3624</v>
      </c>
      <c r="K195" s="4">
        <v>622</v>
      </c>
      <c r="L195" s="3" t="s">
        <v>3625</v>
      </c>
      <c r="M195" s="4">
        <v>312</v>
      </c>
      <c r="N195" s="3" t="s">
        <v>3626</v>
      </c>
      <c r="O195" s="4">
        <v>176</v>
      </c>
      <c r="P195" s="3" t="s">
        <v>3627</v>
      </c>
      <c r="Q195" s="4">
        <v>102</v>
      </c>
      <c r="R195" s="3" t="s">
        <v>3628</v>
      </c>
      <c r="S195" s="4">
        <v>51</v>
      </c>
      <c r="T195" s="3" t="s">
        <v>3629</v>
      </c>
      <c r="U195" s="4">
        <v>26</v>
      </c>
      <c r="V195" s="3" t="s">
        <v>3630</v>
      </c>
      <c r="W195" s="4">
        <v>391</v>
      </c>
      <c r="X195" s="3" t="s">
        <v>3631</v>
      </c>
      <c r="Y195" s="4">
        <v>391</v>
      </c>
      <c r="Z195" s="3" t="s">
        <v>3632</v>
      </c>
      <c r="AA195" s="4">
        <v>622</v>
      </c>
    </row>
    <row r="196" spans="1:33" ht="23.25" customHeight="1" thickBot="1" x14ac:dyDescent="0.25">
      <c r="A196" s="20" t="s">
        <v>3637</v>
      </c>
      <c r="C196" s="1" t="s">
        <v>3639</v>
      </c>
      <c r="D196" s="23" t="s">
        <v>3638</v>
      </c>
      <c r="E196" s="2" t="s">
        <v>3641</v>
      </c>
      <c r="F196" s="8" t="str">
        <f t="shared" si="8"/>
        <v>gift-codes.html?game=吞食天地 虛擬世界</v>
      </c>
      <c r="G196" s="2" t="s">
        <v>3640</v>
      </c>
      <c r="H196" s="10" t="str">
        <f t="shared" si="7"/>
        <v>https://www.ssbuy.tw/game-detail.html?game=吞食天地 虛擬世界</v>
      </c>
      <c r="I196" s="39" t="s">
        <v>3647</v>
      </c>
      <c r="J196" s="3" t="s">
        <v>3648</v>
      </c>
      <c r="K196" s="4">
        <v>2355</v>
      </c>
      <c r="L196" s="3" t="s">
        <v>3649</v>
      </c>
      <c r="M196" s="4">
        <v>1174</v>
      </c>
      <c r="N196" s="3" t="s">
        <v>3650</v>
      </c>
      <c r="O196" s="4">
        <v>359</v>
      </c>
      <c r="P196" s="3" t="s">
        <v>239</v>
      </c>
      <c r="Q196" s="4">
        <v>240</v>
      </c>
      <c r="R196" s="3" t="s">
        <v>3651</v>
      </c>
      <c r="S196" s="4">
        <v>153</v>
      </c>
      <c r="T196" s="3" t="s">
        <v>3652</v>
      </c>
      <c r="U196" s="4">
        <v>77</v>
      </c>
      <c r="V196" s="3" t="s">
        <v>3653</v>
      </c>
      <c r="W196" s="4">
        <v>26</v>
      </c>
      <c r="X196" s="3" t="s">
        <v>3654</v>
      </c>
      <c r="Y196" s="4">
        <v>359</v>
      </c>
      <c r="Z196" s="3" t="s">
        <v>3655</v>
      </c>
      <c r="AA196" s="4">
        <v>240</v>
      </c>
      <c r="AB196" s="3" t="s">
        <v>3656</v>
      </c>
      <c r="AC196" s="4">
        <v>240</v>
      </c>
      <c r="AD196" s="3" t="s">
        <v>3657</v>
      </c>
      <c r="AE196" s="4">
        <v>128</v>
      </c>
      <c r="AF196" s="3" t="s">
        <v>3658</v>
      </c>
      <c r="AG196" s="4">
        <v>128</v>
      </c>
    </row>
    <row r="197" spans="1:33" ht="23.25" customHeight="1" thickBot="1" x14ac:dyDescent="0.25">
      <c r="A197" s="22" t="s">
        <v>3680</v>
      </c>
      <c r="C197" s="1" t="s">
        <v>3659</v>
      </c>
      <c r="D197" s="1" t="s">
        <v>3659</v>
      </c>
      <c r="E197" s="2" t="s">
        <v>3660</v>
      </c>
      <c r="F197" s="8" t="str">
        <f t="shared" si="8"/>
        <v>gift-codes.html?game=封神：蒼嵐契約</v>
      </c>
      <c r="G197" s="23" t="s">
        <v>3679</v>
      </c>
      <c r="H197" s="10" t="str">
        <f t="shared" si="7"/>
        <v>https://www.ssbuy.tw/game-detail.html?game=封神：蒼嵐契約</v>
      </c>
      <c r="I197" s="39" t="s">
        <v>3661</v>
      </c>
      <c r="J197" s="3" t="s">
        <v>235</v>
      </c>
      <c r="K197" s="4">
        <v>2355</v>
      </c>
      <c r="L197" s="3" t="s">
        <v>236</v>
      </c>
      <c r="M197" s="4">
        <v>1174</v>
      </c>
      <c r="N197" s="3" t="s">
        <v>1292</v>
      </c>
      <c r="O197" s="4">
        <v>780</v>
      </c>
      <c r="P197" s="3" t="s">
        <v>237</v>
      </c>
      <c r="Q197" s="4">
        <v>535</v>
      </c>
      <c r="R197" s="3" t="s">
        <v>1652</v>
      </c>
      <c r="S197" s="4">
        <v>391</v>
      </c>
      <c r="T197" s="3" t="s">
        <v>238</v>
      </c>
      <c r="U197" s="4">
        <v>264</v>
      </c>
      <c r="V197" s="3" t="s">
        <v>239</v>
      </c>
      <c r="W197" s="4">
        <v>145</v>
      </c>
      <c r="X197" s="3" t="s">
        <v>240</v>
      </c>
      <c r="Y197" s="4">
        <v>28</v>
      </c>
      <c r="Z197" s="3" t="s">
        <v>1313</v>
      </c>
      <c r="AA197" s="4">
        <v>780</v>
      </c>
      <c r="AB197" s="3" t="s">
        <v>3677</v>
      </c>
      <c r="AC197" s="4">
        <v>264</v>
      </c>
      <c r="AD197" s="3" t="s">
        <v>3678</v>
      </c>
      <c r="AE197" s="4">
        <v>391</v>
      </c>
    </row>
    <row r="198" spans="1:33" ht="23.25" customHeight="1" x14ac:dyDescent="0.25">
      <c r="F198" s="8" t="str">
        <f t="shared" si="8"/>
        <v/>
      </c>
      <c r="H198" s="10" t="str">
        <f t="shared" si="7"/>
        <v/>
      </c>
    </row>
    <row r="199" spans="1:33" ht="23.25" customHeight="1" x14ac:dyDescent="0.25">
      <c r="F199" s="8" t="str">
        <f t="shared" si="8"/>
        <v/>
      </c>
      <c r="H199" s="10" t="str">
        <f t="shared" si="7"/>
        <v/>
      </c>
    </row>
    <row r="200" spans="1:33" ht="23.25" customHeight="1" x14ac:dyDescent="0.25">
      <c r="F200" s="8" t="str">
        <f t="shared" si="8"/>
        <v/>
      </c>
      <c r="H200" s="10" t="str">
        <f t="shared" si="7"/>
        <v/>
      </c>
    </row>
    <row r="201" spans="1:33" ht="23.25" customHeight="1" x14ac:dyDescent="0.25">
      <c r="F201" s="8" t="str">
        <f t="shared" si="8"/>
        <v/>
      </c>
      <c r="H201" s="10" t="str">
        <f t="shared" si="7"/>
        <v/>
      </c>
    </row>
    <row r="202" spans="1:33" ht="23.25" customHeight="1" x14ac:dyDescent="0.25">
      <c r="F202" s="8" t="str">
        <f t="shared" si="8"/>
        <v/>
      </c>
      <c r="H202" s="10" t="str">
        <f t="shared" si="7"/>
        <v/>
      </c>
    </row>
    <row r="203" spans="1:33" ht="23.25" customHeight="1" x14ac:dyDescent="0.25">
      <c r="F203" s="8" t="str">
        <f t="shared" si="8"/>
        <v/>
      </c>
      <c r="H203" s="10" t="str">
        <f t="shared" si="7"/>
        <v/>
      </c>
    </row>
    <row r="204" spans="1:33" ht="23.25" customHeight="1" x14ac:dyDescent="0.25">
      <c r="F204" s="8" t="str">
        <f t="shared" si="8"/>
        <v/>
      </c>
      <c r="H204" s="10" t="str">
        <f t="shared" si="7"/>
        <v/>
      </c>
    </row>
    <row r="205" spans="1:33" ht="23.25" customHeight="1" x14ac:dyDescent="0.25">
      <c r="F205" s="8" t="str">
        <f t="shared" si="8"/>
        <v/>
      </c>
      <c r="H205" s="10" t="str">
        <f t="shared" si="7"/>
        <v/>
      </c>
    </row>
    <row r="206" spans="1:33" ht="23.25" customHeight="1" x14ac:dyDescent="0.25">
      <c r="F206" s="8" t="str">
        <f t="shared" si="8"/>
        <v/>
      </c>
      <c r="H206" s="10" t="str">
        <f t="shared" si="7"/>
        <v/>
      </c>
    </row>
    <row r="207" spans="1:33" ht="23.25" customHeight="1" x14ac:dyDescent="0.25">
      <c r="F207" s="8" t="str">
        <f t="shared" si="8"/>
        <v/>
      </c>
      <c r="H207" s="10" t="str">
        <f t="shared" si="7"/>
        <v/>
      </c>
    </row>
    <row r="208" spans="1:33" ht="23.25" customHeight="1" x14ac:dyDescent="0.25">
      <c r="F208" s="8" t="str">
        <f t="shared" si="8"/>
        <v/>
      </c>
      <c r="H208" s="10" t="str">
        <f t="shared" si="7"/>
        <v/>
      </c>
    </row>
    <row r="209" spans="6:8" ht="23.25" customHeight="1" x14ac:dyDescent="0.25">
      <c r="F209" s="8" t="str">
        <f t="shared" si="8"/>
        <v/>
      </c>
      <c r="H209" s="10" t="str">
        <f t="shared" si="7"/>
        <v/>
      </c>
    </row>
    <row r="210" spans="6:8" ht="23.25" customHeight="1" x14ac:dyDescent="0.25">
      <c r="F210" s="8" t="str">
        <f t="shared" si="8"/>
        <v/>
      </c>
      <c r="H210" s="10" t="str">
        <f t="shared" si="7"/>
        <v/>
      </c>
    </row>
    <row r="211" spans="6:8" ht="23.25" customHeight="1" x14ac:dyDescent="0.25">
      <c r="F211" s="8" t="str">
        <f t="shared" si="8"/>
        <v/>
      </c>
      <c r="H211" s="10" t="str">
        <f t="shared" si="7"/>
        <v/>
      </c>
    </row>
    <row r="212" spans="6:8" ht="23.25" customHeight="1" x14ac:dyDescent="0.25">
      <c r="F212" s="8" t="str">
        <f t="shared" si="8"/>
        <v/>
      </c>
      <c r="H212" s="10" t="str">
        <f t="shared" si="7"/>
        <v/>
      </c>
    </row>
    <row r="213" spans="6:8" ht="23.25" customHeight="1" x14ac:dyDescent="0.25">
      <c r="F213" s="8" t="str">
        <f t="shared" si="8"/>
        <v/>
      </c>
      <c r="H213" s="10" t="str">
        <f t="shared" si="7"/>
        <v/>
      </c>
    </row>
    <row r="214" spans="6:8" ht="23.25" customHeight="1" x14ac:dyDescent="0.25">
      <c r="F214" s="8" t="str">
        <f t="shared" si="8"/>
        <v/>
      </c>
      <c r="H214" s="10" t="str">
        <f t="shared" si="7"/>
        <v/>
      </c>
    </row>
    <row r="215" spans="6:8" ht="23.25" customHeight="1" x14ac:dyDescent="0.25">
      <c r="F215" s="8" t="str">
        <f t="shared" si="8"/>
        <v/>
      </c>
      <c r="H215" s="10" t="str">
        <f t="shared" si="7"/>
        <v/>
      </c>
    </row>
    <row r="216" spans="6:8" ht="23.25" customHeight="1" x14ac:dyDescent="0.25">
      <c r="F216" s="8" t="str">
        <f t="shared" si="8"/>
        <v/>
      </c>
      <c r="H216" s="10" t="str">
        <f t="shared" si="7"/>
        <v/>
      </c>
    </row>
    <row r="217" spans="6:8" ht="23.25" customHeight="1" x14ac:dyDescent="0.25">
      <c r="F217" s="8" t="str">
        <f t="shared" si="8"/>
        <v/>
      </c>
      <c r="H217" s="10" t="str">
        <f t="shared" si="7"/>
        <v/>
      </c>
    </row>
    <row r="218" spans="6:8" ht="23.25" customHeight="1" x14ac:dyDescent="0.25">
      <c r="F218" s="8" t="str">
        <f t="shared" si="8"/>
        <v/>
      </c>
      <c r="H218" s="10" t="str">
        <f t="shared" si="7"/>
        <v/>
      </c>
    </row>
    <row r="219" spans="6:8" ht="23.25" customHeight="1" x14ac:dyDescent="0.25">
      <c r="F219" s="8" t="str">
        <f t="shared" si="8"/>
        <v/>
      </c>
      <c r="H219" s="10" t="str">
        <f t="shared" si="7"/>
        <v/>
      </c>
    </row>
    <row r="220" spans="6:8" ht="23.25" customHeight="1" x14ac:dyDescent="0.25">
      <c r="F220" s="8" t="str">
        <f t="shared" si="8"/>
        <v/>
      </c>
      <c r="H220" s="10" t="str">
        <f t="shared" si="7"/>
        <v/>
      </c>
    </row>
    <row r="221" spans="6:8" ht="23.25" customHeight="1" x14ac:dyDescent="0.25">
      <c r="F221" s="8" t="str">
        <f t="shared" si="8"/>
        <v/>
      </c>
      <c r="H221" s="10" t="str">
        <f t="shared" si="7"/>
        <v/>
      </c>
    </row>
    <row r="222" spans="6:8" ht="23.25" customHeight="1" x14ac:dyDescent="0.25">
      <c r="F222" s="8" t="str">
        <f t="shared" si="8"/>
        <v/>
      </c>
      <c r="H222" s="10" t="str">
        <f t="shared" si="7"/>
        <v/>
      </c>
    </row>
    <row r="223" spans="6:8" ht="23.25" customHeight="1" x14ac:dyDescent="0.25">
      <c r="F223" s="8" t="str">
        <f t="shared" si="8"/>
        <v/>
      </c>
      <c r="H223" s="10" t="str">
        <f t="shared" si="7"/>
        <v/>
      </c>
    </row>
    <row r="224" spans="6:8" ht="23.25" customHeight="1" x14ac:dyDescent="0.25">
      <c r="F224" s="8" t="str">
        <f t="shared" si="8"/>
        <v/>
      </c>
      <c r="H224" s="10" t="str">
        <f t="shared" si="7"/>
        <v/>
      </c>
    </row>
    <row r="225" spans="6:8" ht="22.15" customHeight="1" x14ac:dyDescent="0.25">
      <c r="F225" s="8" t="str">
        <f t="shared" si="8"/>
        <v/>
      </c>
      <c r="H225" s="10" t="str">
        <f t="shared" si="7"/>
        <v/>
      </c>
    </row>
    <row r="226" spans="6:8" ht="22.15" customHeight="1" x14ac:dyDescent="0.25">
      <c r="F226" s="8" t="str">
        <f t="shared" si="8"/>
        <v/>
      </c>
      <c r="H226" s="10" t="str">
        <f t="shared" si="7"/>
        <v/>
      </c>
    </row>
    <row r="227" spans="6:8" ht="22.15" customHeight="1" x14ac:dyDescent="0.25">
      <c r="F227" s="8" t="str">
        <f t="shared" si="8"/>
        <v/>
      </c>
      <c r="H227" s="10" t="str">
        <f t="shared" si="7"/>
        <v/>
      </c>
    </row>
    <row r="228" spans="6:8" ht="22.15" customHeight="1" x14ac:dyDescent="0.25">
      <c r="F228" s="8" t="str">
        <f t="shared" si="8"/>
        <v/>
      </c>
      <c r="H228" s="10" t="str">
        <f t="shared" si="7"/>
        <v/>
      </c>
    </row>
    <row r="229" spans="6:8" ht="22.15" customHeight="1" x14ac:dyDescent="0.25">
      <c r="F229" s="8" t="str">
        <f t="shared" si="8"/>
        <v/>
      </c>
      <c r="H229" s="10" t="str">
        <f t="shared" si="7"/>
        <v/>
      </c>
    </row>
    <row r="230" spans="6:8" ht="22.15" customHeight="1" x14ac:dyDescent="0.25">
      <c r="F230" s="8" t="str">
        <f t="shared" si="8"/>
        <v/>
      </c>
      <c r="H230" s="10" t="str">
        <f t="shared" si="7"/>
        <v/>
      </c>
    </row>
    <row r="231" spans="6:8" ht="19.5" x14ac:dyDescent="0.25">
      <c r="F231" s="8" t="str">
        <f t="shared" si="8"/>
        <v/>
      </c>
      <c r="H231" s="10" t="str">
        <f t="shared" si="7"/>
        <v/>
      </c>
    </row>
    <row r="232" spans="6:8" ht="19.5" x14ac:dyDescent="0.25">
      <c r="F232" s="8" t="str">
        <f t="shared" si="8"/>
        <v/>
      </c>
      <c r="H232" s="10" t="str">
        <f t="shared" si="7"/>
        <v/>
      </c>
    </row>
    <row r="233" spans="6:8" ht="19.5" x14ac:dyDescent="0.25">
      <c r="F233" s="8" t="str">
        <f t="shared" si="8"/>
        <v/>
      </c>
      <c r="H233" s="10" t="str">
        <f t="shared" si="7"/>
        <v/>
      </c>
    </row>
    <row r="234" spans="6:8" ht="19.5" x14ac:dyDescent="0.25">
      <c r="F234" s="8" t="str">
        <f t="shared" si="8"/>
        <v/>
      </c>
      <c r="H234" s="10" t="str">
        <f t="shared" si="7"/>
        <v/>
      </c>
    </row>
    <row r="235" spans="6:8" ht="19.5" x14ac:dyDescent="0.25">
      <c r="F235" s="8" t="str">
        <f t="shared" si="8"/>
        <v/>
      </c>
      <c r="H235" s="10" t="str">
        <f t="shared" si="7"/>
        <v/>
      </c>
    </row>
    <row r="236" spans="6:8" ht="19.5" x14ac:dyDescent="0.25">
      <c r="F236" s="8" t="str">
        <f t="shared" si="8"/>
        <v/>
      </c>
      <c r="H236" s="10" t="str">
        <f t="shared" si="7"/>
        <v/>
      </c>
    </row>
    <row r="237" spans="6:8" ht="19.5" x14ac:dyDescent="0.25">
      <c r="F237" s="8" t="str">
        <f t="shared" si="8"/>
        <v/>
      </c>
      <c r="H237" s="10" t="str">
        <f t="shared" si="7"/>
        <v/>
      </c>
    </row>
    <row r="238" spans="6:8" ht="19.5" x14ac:dyDescent="0.25">
      <c r="F238" s="8" t="str">
        <f t="shared" si="8"/>
        <v/>
      </c>
      <c r="H238" s="10" t="str">
        <f t="shared" si="7"/>
        <v/>
      </c>
    </row>
    <row r="239" spans="6:8" ht="19.5" x14ac:dyDescent="0.25">
      <c r="F239" s="8" t="str">
        <f t="shared" si="8"/>
        <v/>
      </c>
      <c r="H239" s="10" t="str">
        <f t="shared" si="7"/>
        <v/>
      </c>
    </row>
    <row r="240" spans="6:8" ht="19.5" x14ac:dyDescent="0.25">
      <c r="F240" s="8" t="str">
        <f t="shared" si="8"/>
        <v/>
      </c>
      <c r="H240" s="10" t="str">
        <f t="shared" si="7"/>
        <v/>
      </c>
    </row>
    <row r="241" spans="6:8" ht="19.5" x14ac:dyDescent="0.25">
      <c r="F241" s="8" t="str">
        <f t="shared" si="8"/>
        <v/>
      </c>
      <c r="H241" s="10" t="str">
        <f t="shared" si="7"/>
        <v/>
      </c>
    </row>
    <row r="242" spans="6:8" ht="19.5" x14ac:dyDescent="0.25">
      <c r="F242" s="8" t="str">
        <f t="shared" si="8"/>
        <v/>
      </c>
      <c r="H242" s="10" t="str">
        <f t="shared" si="7"/>
        <v/>
      </c>
    </row>
    <row r="243" spans="6:8" ht="19.5" x14ac:dyDescent="0.25">
      <c r="F243" s="8" t="str">
        <f t="shared" si="8"/>
        <v/>
      </c>
      <c r="H243" s="10" t="str">
        <f t="shared" si="7"/>
        <v/>
      </c>
    </row>
    <row r="244" spans="6:8" ht="19.5" x14ac:dyDescent="0.25">
      <c r="F244" s="8" t="str">
        <f t="shared" si="8"/>
        <v/>
      </c>
      <c r="H244" s="10" t="str">
        <f t="shared" si="7"/>
        <v/>
      </c>
    </row>
    <row r="245" spans="6:8" ht="19.5" x14ac:dyDescent="0.25">
      <c r="F245" s="8" t="str">
        <f t="shared" si="8"/>
        <v/>
      </c>
      <c r="H245" s="10" t="str">
        <f t="shared" si="7"/>
        <v/>
      </c>
    </row>
    <row r="246" spans="6:8" ht="19.5" x14ac:dyDescent="0.25">
      <c r="F246" s="8" t="str">
        <f t="shared" si="8"/>
        <v/>
      </c>
      <c r="H246" s="10" t="str">
        <f t="shared" si="7"/>
        <v/>
      </c>
    </row>
    <row r="247" spans="6:8" ht="19.5" x14ac:dyDescent="0.25">
      <c r="F247" s="8" t="str">
        <f t="shared" si="8"/>
        <v/>
      </c>
      <c r="H247" s="10" t="str">
        <f t="shared" si="7"/>
        <v/>
      </c>
    </row>
    <row r="248" spans="6:8" ht="19.5" x14ac:dyDescent="0.25">
      <c r="F248" s="8" t="str">
        <f t="shared" si="8"/>
        <v/>
      </c>
      <c r="H248" s="10" t="str">
        <f t="shared" si="7"/>
        <v/>
      </c>
    </row>
    <row r="249" spans="6:8" ht="19.5" x14ac:dyDescent="0.25">
      <c r="F249" s="8" t="str">
        <f t="shared" si="8"/>
        <v/>
      </c>
      <c r="H249" s="10" t="str">
        <f t="shared" si="7"/>
        <v/>
      </c>
    </row>
    <row r="250" spans="6:8" ht="19.5" x14ac:dyDescent="0.25">
      <c r="F250" s="8" t="str">
        <f t="shared" si="8"/>
        <v/>
      </c>
      <c r="H250" s="10" t="str">
        <f t="shared" si="7"/>
        <v/>
      </c>
    </row>
    <row r="251" spans="6:8" ht="19.5" x14ac:dyDescent="0.25">
      <c r="F251" s="8" t="str">
        <f t="shared" si="8"/>
        <v/>
      </c>
      <c r="H251" s="10" t="str">
        <f t="shared" si="7"/>
        <v/>
      </c>
    </row>
    <row r="252" spans="6:8" ht="19.5" x14ac:dyDescent="0.25">
      <c r="F252" s="8" t="str">
        <f t="shared" si="8"/>
        <v/>
      </c>
      <c r="H252" s="10" t="str">
        <f t="shared" si="7"/>
        <v/>
      </c>
    </row>
    <row r="253" spans="6:8" ht="19.5" x14ac:dyDescent="0.25">
      <c r="F253" s="8" t="str">
        <f t="shared" si="8"/>
        <v/>
      </c>
      <c r="H253" s="10" t="str">
        <f t="shared" si="7"/>
        <v/>
      </c>
    </row>
    <row r="254" spans="6:8" ht="19.5" x14ac:dyDescent="0.25">
      <c r="F254" s="8" t="str">
        <f t="shared" si="8"/>
        <v/>
      </c>
      <c r="H254" s="10" t="str">
        <f t="shared" si="7"/>
        <v/>
      </c>
    </row>
    <row r="255" spans="6:8" ht="19.5" x14ac:dyDescent="0.25">
      <c r="F255" s="8" t="str">
        <f t="shared" ref="F255:F318" si="9">IF(A255="", "", "gift-codes.html?game=" &amp; A255)</f>
        <v/>
      </c>
      <c r="H255" s="10" t="str">
        <f t="shared" ref="H255:H318" si="10">IF(A255="", "", "https://www.ssbuy.tw/game-detail.html?game="&amp;A255)</f>
        <v/>
      </c>
    </row>
    <row r="256" spans="6:8" ht="19.5" x14ac:dyDescent="0.25">
      <c r="F256" s="8" t="str">
        <f t="shared" si="9"/>
        <v/>
      </c>
      <c r="H256" s="10" t="str">
        <f t="shared" si="10"/>
        <v/>
      </c>
    </row>
    <row r="257" spans="6:8" ht="19.5" x14ac:dyDescent="0.25">
      <c r="F257" s="8" t="str">
        <f t="shared" si="9"/>
        <v/>
      </c>
      <c r="H257" s="10" t="str">
        <f t="shared" si="10"/>
        <v/>
      </c>
    </row>
    <row r="258" spans="6:8" ht="19.5" x14ac:dyDescent="0.25">
      <c r="F258" s="8" t="str">
        <f t="shared" si="9"/>
        <v/>
      </c>
      <c r="H258" s="10" t="str">
        <f t="shared" si="10"/>
        <v/>
      </c>
    </row>
    <row r="259" spans="6:8" ht="19.5" x14ac:dyDescent="0.25">
      <c r="F259" s="8" t="str">
        <f t="shared" si="9"/>
        <v/>
      </c>
      <c r="H259" s="10" t="str">
        <f t="shared" si="10"/>
        <v/>
      </c>
    </row>
    <row r="260" spans="6:8" ht="19.5" x14ac:dyDescent="0.25">
      <c r="F260" s="8" t="str">
        <f t="shared" si="9"/>
        <v/>
      </c>
      <c r="H260" s="10" t="str">
        <f t="shared" si="10"/>
        <v/>
      </c>
    </row>
    <row r="261" spans="6:8" ht="19.5" x14ac:dyDescent="0.25">
      <c r="F261" s="8" t="str">
        <f t="shared" si="9"/>
        <v/>
      </c>
      <c r="H261" s="10" t="str">
        <f t="shared" si="10"/>
        <v/>
      </c>
    </row>
    <row r="262" spans="6:8" ht="19.5" x14ac:dyDescent="0.25">
      <c r="F262" s="8" t="str">
        <f t="shared" si="9"/>
        <v/>
      </c>
      <c r="H262" s="10" t="str">
        <f t="shared" si="10"/>
        <v/>
      </c>
    </row>
    <row r="263" spans="6:8" ht="19.5" x14ac:dyDescent="0.25">
      <c r="F263" s="8" t="str">
        <f t="shared" si="9"/>
        <v/>
      </c>
      <c r="H263" s="10" t="str">
        <f t="shared" si="10"/>
        <v/>
      </c>
    </row>
    <row r="264" spans="6:8" ht="19.5" x14ac:dyDescent="0.25">
      <c r="F264" s="8" t="str">
        <f t="shared" si="9"/>
        <v/>
      </c>
      <c r="H264" s="10" t="str">
        <f t="shared" si="10"/>
        <v/>
      </c>
    </row>
    <row r="265" spans="6:8" ht="19.5" x14ac:dyDescent="0.25">
      <c r="F265" s="8" t="str">
        <f t="shared" si="9"/>
        <v/>
      </c>
      <c r="H265" s="10" t="str">
        <f t="shared" si="10"/>
        <v/>
      </c>
    </row>
    <row r="266" spans="6:8" ht="19.5" x14ac:dyDescent="0.25">
      <c r="F266" s="8" t="str">
        <f t="shared" si="9"/>
        <v/>
      </c>
      <c r="H266" s="10" t="str">
        <f t="shared" si="10"/>
        <v/>
      </c>
    </row>
    <row r="267" spans="6:8" ht="19.5" x14ac:dyDescent="0.25">
      <c r="F267" s="8" t="str">
        <f t="shared" si="9"/>
        <v/>
      </c>
      <c r="H267" s="10" t="str">
        <f t="shared" si="10"/>
        <v/>
      </c>
    </row>
    <row r="268" spans="6:8" ht="19.5" x14ac:dyDescent="0.25">
      <c r="F268" s="8" t="str">
        <f t="shared" si="9"/>
        <v/>
      </c>
      <c r="H268" s="10" t="str">
        <f t="shared" si="10"/>
        <v/>
      </c>
    </row>
    <row r="269" spans="6:8" ht="19.5" x14ac:dyDescent="0.25">
      <c r="F269" s="8" t="str">
        <f t="shared" si="9"/>
        <v/>
      </c>
      <c r="H269" s="10" t="str">
        <f t="shared" si="10"/>
        <v/>
      </c>
    </row>
    <row r="270" spans="6:8" ht="19.5" x14ac:dyDescent="0.25">
      <c r="F270" s="8" t="str">
        <f t="shared" si="9"/>
        <v/>
      </c>
      <c r="H270" s="10" t="str">
        <f t="shared" si="10"/>
        <v/>
      </c>
    </row>
    <row r="271" spans="6:8" ht="19.5" x14ac:dyDescent="0.25">
      <c r="F271" s="8" t="str">
        <f t="shared" si="9"/>
        <v/>
      </c>
      <c r="H271" s="10" t="str">
        <f t="shared" si="10"/>
        <v/>
      </c>
    </row>
    <row r="272" spans="6:8" ht="19.5" x14ac:dyDescent="0.25">
      <c r="F272" s="8" t="str">
        <f t="shared" si="9"/>
        <v/>
      </c>
      <c r="H272" s="10" t="str">
        <f t="shared" si="10"/>
        <v/>
      </c>
    </row>
    <row r="273" spans="6:8" ht="19.5" x14ac:dyDescent="0.25">
      <c r="F273" s="8" t="str">
        <f t="shared" si="9"/>
        <v/>
      </c>
      <c r="H273" s="10" t="str">
        <f t="shared" si="10"/>
        <v/>
      </c>
    </row>
    <row r="274" spans="6:8" ht="19.5" x14ac:dyDescent="0.25">
      <c r="F274" s="8" t="str">
        <f t="shared" si="9"/>
        <v/>
      </c>
      <c r="H274" s="10" t="str">
        <f t="shared" si="10"/>
        <v/>
      </c>
    </row>
    <row r="275" spans="6:8" ht="19.5" x14ac:dyDescent="0.25">
      <c r="F275" s="8" t="str">
        <f t="shared" si="9"/>
        <v/>
      </c>
      <c r="H275" s="10" t="str">
        <f t="shared" si="10"/>
        <v/>
      </c>
    </row>
    <row r="276" spans="6:8" ht="19.5" x14ac:dyDescent="0.25">
      <c r="F276" s="8" t="str">
        <f t="shared" si="9"/>
        <v/>
      </c>
      <c r="H276" s="10" t="str">
        <f t="shared" si="10"/>
        <v/>
      </c>
    </row>
    <row r="277" spans="6:8" ht="19.5" x14ac:dyDescent="0.25">
      <c r="F277" s="8" t="str">
        <f t="shared" si="9"/>
        <v/>
      </c>
      <c r="H277" s="10" t="str">
        <f t="shared" si="10"/>
        <v/>
      </c>
    </row>
    <row r="278" spans="6:8" ht="19.5" x14ac:dyDescent="0.25">
      <c r="F278" s="8" t="str">
        <f t="shared" si="9"/>
        <v/>
      </c>
      <c r="H278" s="10" t="str">
        <f t="shared" si="10"/>
        <v/>
      </c>
    </row>
    <row r="279" spans="6:8" ht="19.5" x14ac:dyDescent="0.25">
      <c r="F279" s="8" t="str">
        <f t="shared" si="9"/>
        <v/>
      </c>
      <c r="H279" s="10" t="str">
        <f t="shared" si="10"/>
        <v/>
      </c>
    </row>
    <row r="280" spans="6:8" ht="19.5" x14ac:dyDescent="0.25">
      <c r="F280" s="8" t="str">
        <f t="shared" si="9"/>
        <v/>
      </c>
      <c r="H280" s="10" t="str">
        <f t="shared" si="10"/>
        <v/>
      </c>
    </row>
    <row r="281" spans="6:8" ht="19.5" x14ac:dyDescent="0.25">
      <c r="F281" s="8" t="str">
        <f t="shared" si="9"/>
        <v/>
      </c>
      <c r="H281" s="10" t="str">
        <f t="shared" si="10"/>
        <v/>
      </c>
    </row>
    <row r="282" spans="6:8" ht="19.5" x14ac:dyDescent="0.25">
      <c r="F282" s="8" t="str">
        <f t="shared" si="9"/>
        <v/>
      </c>
      <c r="H282" s="10" t="str">
        <f t="shared" si="10"/>
        <v/>
      </c>
    </row>
    <row r="283" spans="6:8" ht="19.5" x14ac:dyDescent="0.25">
      <c r="F283" s="8" t="str">
        <f t="shared" si="9"/>
        <v/>
      </c>
      <c r="H283" s="10" t="str">
        <f t="shared" si="10"/>
        <v/>
      </c>
    </row>
    <row r="284" spans="6:8" ht="19.5" x14ac:dyDescent="0.25">
      <c r="F284" s="8" t="str">
        <f t="shared" si="9"/>
        <v/>
      </c>
      <c r="H284" s="10" t="str">
        <f t="shared" si="10"/>
        <v/>
      </c>
    </row>
    <row r="285" spans="6:8" ht="19.5" x14ac:dyDescent="0.25">
      <c r="F285" s="8" t="str">
        <f t="shared" si="9"/>
        <v/>
      </c>
      <c r="H285" s="10" t="str">
        <f t="shared" si="10"/>
        <v/>
      </c>
    </row>
    <row r="286" spans="6:8" ht="19.5" x14ac:dyDescent="0.25">
      <c r="F286" s="8" t="str">
        <f t="shared" si="9"/>
        <v/>
      </c>
      <c r="H286" s="10" t="str">
        <f t="shared" si="10"/>
        <v/>
      </c>
    </row>
    <row r="287" spans="6:8" ht="19.5" x14ac:dyDescent="0.25">
      <c r="F287" s="8" t="str">
        <f t="shared" si="9"/>
        <v/>
      </c>
      <c r="H287" s="10" t="str">
        <f t="shared" si="10"/>
        <v/>
      </c>
    </row>
    <row r="288" spans="6:8" ht="19.5" x14ac:dyDescent="0.25">
      <c r="F288" s="8" t="str">
        <f t="shared" si="9"/>
        <v/>
      </c>
      <c r="H288" s="10" t="str">
        <f t="shared" si="10"/>
        <v/>
      </c>
    </row>
    <row r="289" spans="6:8" ht="19.5" x14ac:dyDescent="0.25">
      <c r="F289" s="8" t="str">
        <f t="shared" si="9"/>
        <v/>
      </c>
      <c r="H289" s="10" t="str">
        <f t="shared" si="10"/>
        <v/>
      </c>
    </row>
    <row r="290" spans="6:8" ht="19.5" x14ac:dyDescent="0.25">
      <c r="F290" s="8" t="str">
        <f t="shared" si="9"/>
        <v/>
      </c>
      <c r="H290" s="10" t="str">
        <f t="shared" si="10"/>
        <v/>
      </c>
    </row>
    <row r="291" spans="6:8" ht="19.5" x14ac:dyDescent="0.25">
      <c r="F291" s="8" t="str">
        <f t="shared" si="9"/>
        <v/>
      </c>
      <c r="H291" s="10" t="str">
        <f t="shared" si="10"/>
        <v/>
      </c>
    </row>
    <row r="292" spans="6:8" ht="19.5" x14ac:dyDescent="0.25">
      <c r="F292" s="8" t="str">
        <f t="shared" si="9"/>
        <v/>
      </c>
      <c r="H292" s="10" t="str">
        <f t="shared" si="10"/>
        <v/>
      </c>
    </row>
    <row r="293" spans="6:8" ht="19.5" x14ac:dyDescent="0.25">
      <c r="F293" s="8" t="str">
        <f t="shared" si="9"/>
        <v/>
      </c>
      <c r="H293" s="10" t="str">
        <f t="shared" si="10"/>
        <v/>
      </c>
    </row>
    <row r="294" spans="6:8" ht="19.5" x14ac:dyDescent="0.25">
      <c r="F294" s="8" t="str">
        <f t="shared" si="9"/>
        <v/>
      </c>
      <c r="H294" s="10" t="str">
        <f t="shared" si="10"/>
        <v/>
      </c>
    </row>
    <row r="295" spans="6:8" ht="19.5" x14ac:dyDescent="0.25">
      <c r="F295" s="8" t="str">
        <f t="shared" si="9"/>
        <v/>
      </c>
      <c r="H295" s="10" t="str">
        <f t="shared" si="10"/>
        <v/>
      </c>
    </row>
    <row r="296" spans="6:8" ht="19.5" x14ac:dyDescent="0.25">
      <c r="F296" s="8" t="str">
        <f t="shared" si="9"/>
        <v/>
      </c>
      <c r="H296" s="10" t="str">
        <f t="shared" si="10"/>
        <v/>
      </c>
    </row>
    <row r="297" spans="6:8" ht="19.5" x14ac:dyDescent="0.25">
      <c r="F297" s="8" t="str">
        <f t="shared" si="9"/>
        <v/>
      </c>
      <c r="H297" s="10" t="str">
        <f t="shared" si="10"/>
        <v/>
      </c>
    </row>
    <row r="298" spans="6:8" ht="19.5" x14ac:dyDescent="0.25">
      <c r="F298" s="8" t="str">
        <f t="shared" si="9"/>
        <v/>
      </c>
      <c r="H298" s="10" t="str">
        <f t="shared" si="10"/>
        <v/>
      </c>
    </row>
    <row r="299" spans="6:8" ht="19.5" x14ac:dyDescent="0.25">
      <c r="F299" s="8" t="str">
        <f t="shared" si="9"/>
        <v/>
      </c>
      <c r="H299" s="10" t="str">
        <f t="shared" si="10"/>
        <v/>
      </c>
    </row>
    <row r="300" spans="6:8" ht="19.5" x14ac:dyDescent="0.25">
      <c r="F300" s="8" t="str">
        <f t="shared" si="9"/>
        <v/>
      </c>
      <c r="H300" s="10" t="str">
        <f t="shared" si="10"/>
        <v/>
      </c>
    </row>
    <row r="301" spans="6:8" ht="19.5" x14ac:dyDescent="0.25">
      <c r="F301" s="8" t="str">
        <f t="shared" si="9"/>
        <v/>
      </c>
      <c r="H301" s="10" t="str">
        <f t="shared" si="10"/>
        <v/>
      </c>
    </row>
    <row r="302" spans="6:8" ht="19.5" x14ac:dyDescent="0.25">
      <c r="F302" s="8" t="str">
        <f t="shared" si="9"/>
        <v/>
      </c>
      <c r="H302" s="10" t="str">
        <f t="shared" si="10"/>
        <v/>
      </c>
    </row>
    <row r="303" spans="6:8" ht="19.5" x14ac:dyDescent="0.25">
      <c r="F303" s="8" t="str">
        <f t="shared" si="9"/>
        <v/>
      </c>
      <c r="H303" s="10" t="str">
        <f t="shared" si="10"/>
        <v/>
      </c>
    </row>
    <row r="304" spans="6:8" ht="19.5" x14ac:dyDescent="0.25">
      <c r="F304" s="8" t="str">
        <f t="shared" si="9"/>
        <v/>
      </c>
      <c r="H304" s="10" t="str">
        <f t="shared" si="10"/>
        <v/>
      </c>
    </row>
    <row r="305" spans="6:8" ht="19.5" x14ac:dyDescent="0.25">
      <c r="F305" s="8" t="str">
        <f t="shared" si="9"/>
        <v/>
      </c>
      <c r="H305" s="10" t="str">
        <f t="shared" si="10"/>
        <v/>
      </c>
    </row>
    <row r="306" spans="6:8" ht="19.5" x14ac:dyDescent="0.25">
      <c r="F306" s="8" t="str">
        <f t="shared" si="9"/>
        <v/>
      </c>
      <c r="H306" s="10" t="str">
        <f t="shared" si="10"/>
        <v/>
      </c>
    </row>
    <row r="307" spans="6:8" ht="19.5" x14ac:dyDescent="0.25">
      <c r="F307" s="8" t="str">
        <f t="shared" si="9"/>
        <v/>
      </c>
      <c r="H307" s="10" t="str">
        <f t="shared" si="10"/>
        <v/>
      </c>
    </row>
    <row r="308" spans="6:8" ht="19.5" x14ac:dyDescent="0.25">
      <c r="F308" s="8" t="str">
        <f t="shared" si="9"/>
        <v/>
      </c>
      <c r="H308" s="10" t="str">
        <f t="shared" si="10"/>
        <v/>
      </c>
    </row>
    <row r="309" spans="6:8" ht="19.5" x14ac:dyDescent="0.25">
      <c r="F309" s="8" t="str">
        <f t="shared" si="9"/>
        <v/>
      </c>
      <c r="H309" s="10" t="str">
        <f t="shared" si="10"/>
        <v/>
      </c>
    </row>
    <row r="310" spans="6:8" ht="19.5" x14ac:dyDescent="0.25">
      <c r="F310" s="8" t="str">
        <f t="shared" si="9"/>
        <v/>
      </c>
      <c r="H310" s="10" t="str">
        <f t="shared" si="10"/>
        <v/>
      </c>
    </row>
    <row r="311" spans="6:8" ht="19.5" x14ac:dyDescent="0.25">
      <c r="F311" s="8" t="str">
        <f t="shared" si="9"/>
        <v/>
      </c>
      <c r="H311" s="10" t="str">
        <f t="shared" si="10"/>
        <v/>
      </c>
    </row>
    <row r="312" spans="6:8" ht="19.5" x14ac:dyDescent="0.25">
      <c r="F312" s="8" t="str">
        <f t="shared" si="9"/>
        <v/>
      </c>
      <c r="H312" s="10" t="str">
        <f t="shared" si="10"/>
        <v/>
      </c>
    </row>
    <row r="313" spans="6:8" ht="19.5" x14ac:dyDescent="0.25">
      <c r="F313" s="8" t="str">
        <f t="shared" si="9"/>
        <v/>
      </c>
      <c r="H313" s="10" t="str">
        <f t="shared" si="10"/>
        <v/>
      </c>
    </row>
    <row r="314" spans="6:8" ht="19.5" x14ac:dyDescent="0.25">
      <c r="F314" s="8" t="str">
        <f t="shared" si="9"/>
        <v/>
      </c>
      <c r="H314" s="10" t="str">
        <f t="shared" si="10"/>
        <v/>
      </c>
    </row>
    <row r="315" spans="6:8" ht="19.5" x14ac:dyDescent="0.25">
      <c r="F315" s="8" t="str">
        <f t="shared" si="9"/>
        <v/>
      </c>
      <c r="H315" s="10" t="str">
        <f t="shared" si="10"/>
        <v/>
      </c>
    </row>
    <row r="316" spans="6:8" ht="19.5" x14ac:dyDescent="0.25">
      <c r="F316" s="8" t="str">
        <f t="shared" si="9"/>
        <v/>
      </c>
      <c r="H316" s="10" t="str">
        <f t="shared" si="10"/>
        <v/>
      </c>
    </row>
    <row r="317" spans="6:8" ht="19.5" x14ac:dyDescent="0.25">
      <c r="F317" s="8" t="str">
        <f t="shared" si="9"/>
        <v/>
      </c>
      <c r="H317" s="10" t="str">
        <f t="shared" si="10"/>
        <v/>
      </c>
    </row>
    <row r="318" spans="6:8" ht="19.5" x14ac:dyDescent="0.25">
      <c r="F318" s="8" t="str">
        <f t="shared" si="9"/>
        <v/>
      </c>
      <c r="H318" s="10" t="str">
        <f t="shared" si="10"/>
        <v/>
      </c>
    </row>
    <row r="319" spans="6:8" ht="19.5" x14ac:dyDescent="0.25">
      <c r="F319" s="8" t="str">
        <f t="shared" ref="F319:F382" si="11">IF(A319="", "", "gift-codes.html?game=" &amp; A319)</f>
        <v/>
      </c>
      <c r="H319" s="10" t="str">
        <f t="shared" ref="H319:H382" si="12">IF(A319="", "", "https://www.ssbuy.tw/game-detail.html?game="&amp;A319)</f>
        <v/>
      </c>
    </row>
    <row r="320" spans="6:8" ht="19.5" x14ac:dyDescent="0.25">
      <c r="F320" s="8" t="str">
        <f t="shared" si="11"/>
        <v/>
      </c>
      <c r="H320" s="10" t="str">
        <f t="shared" si="12"/>
        <v/>
      </c>
    </row>
    <row r="321" spans="6:8" ht="19.5" x14ac:dyDescent="0.25">
      <c r="F321" s="8" t="str">
        <f t="shared" si="11"/>
        <v/>
      </c>
      <c r="H321" s="10" t="str">
        <f t="shared" si="12"/>
        <v/>
      </c>
    </row>
    <row r="322" spans="6:8" ht="19.5" x14ac:dyDescent="0.25">
      <c r="F322" s="8" t="str">
        <f t="shared" si="11"/>
        <v/>
      </c>
      <c r="H322" s="10" t="str">
        <f t="shared" si="12"/>
        <v/>
      </c>
    </row>
    <row r="323" spans="6:8" ht="19.5" x14ac:dyDescent="0.25">
      <c r="F323" s="8" t="str">
        <f t="shared" si="11"/>
        <v/>
      </c>
      <c r="H323" s="10" t="str">
        <f t="shared" si="12"/>
        <v/>
      </c>
    </row>
    <row r="324" spans="6:8" ht="19.5" x14ac:dyDescent="0.25">
      <c r="F324" s="8" t="str">
        <f t="shared" si="11"/>
        <v/>
      </c>
      <c r="H324" s="10" t="str">
        <f t="shared" si="12"/>
        <v/>
      </c>
    </row>
    <row r="325" spans="6:8" ht="19.5" x14ac:dyDescent="0.25">
      <c r="F325" s="8" t="str">
        <f t="shared" si="11"/>
        <v/>
      </c>
      <c r="H325" s="10" t="str">
        <f t="shared" si="12"/>
        <v/>
      </c>
    </row>
    <row r="326" spans="6:8" ht="19.5" x14ac:dyDescent="0.25">
      <c r="F326" s="8" t="str">
        <f t="shared" si="11"/>
        <v/>
      </c>
      <c r="H326" s="10" t="str">
        <f t="shared" si="12"/>
        <v/>
      </c>
    </row>
    <row r="327" spans="6:8" ht="19.5" x14ac:dyDescent="0.25">
      <c r="F327" s="8" t="str">
        <f t="shared" si="11"/>
        <v/>
      </c>
      <c r="H327" s="10" t="str">
        <f t="shared" si="12"/>
        <v/>
      </c>
    </row>
    <row r="328" spans="6:8" ht="19.5" x14ac:dyDescent="0.25">
      <c r="F328" s="8" t="str">
        <f t="shared" si="11"/>
        <v/>
      </c>
      <c r="H328" s="10" t="str">
        <f t="shared" si="12"/>
        <v/>
      </c>
    </row>
    <row r="329" spans="6:8" ht="19.5" x14ac:dyDescent="0.25">
      <c r="F329" s="8" t="str">
        <f t="shared" si="11"/>
        <v/>
      </c>
      <c r="H329" s="10" t="str">
        <f t="shared" si="12"/>
        <v/>
      </c>
    </row>
    <row r="330" spans="6:8" ht="19.5" x14ac:dyDescent="0.25">
      <c r="F330" s="8" t="str">
        <f t="shared" si="11"/>
        <v/>
      </c>
      <c r="H330" s="10" t="str">
        <f t="shared" si="12"/>
        <v/>
      </c>
    </row>
    <row r="331" spans="6:8" ht="19.5" x14ac:dyDescent="0.25">
      <c r="F331" s="8" t="str">
        <f t="shared" si="11"/>
        <v/>
      </c>
      <c r="H331" s="10" t="str">
        <f t="shared" si="12"/>
        <v/>
      </c>
    </row>
    <row r="332" spans="6:8" ht="19.5" x14ac:dyDescent="0.25">
      <c r="F332" s="8" t="str">
        <f t="shared" si="11"/>
        <v/>
      </c>
      <c r="H332" s="10" t="str">
        <f t="shared" si="12"/>
        <v/>
      </c>
    </row>
    <row r="333" spans="6:8" ht="19.5" x14ac:dyDescent="0.25">
      <c r="F333" s="8" t="str">
        <f t="shared" si="11"/>
        <v/>
      </c>
      <c r="H333" s="10" t="str">
        <f t="shared" si="12"/>
        <v/>
      </c>
    </row>
    <row r="334" spans="6:8" ht="19.5" x14ac:dyDescent="0.25">
      <c r="F334" s="8" t="str">
        <f t="shared" si="11"/>
        <v/>
      </c>
      <c r="H334" s="10" t="str">
        <f t="shared" si="12"/>
        <v/>
      </c>
    </row>
    <row r="335" spans="6:8" ht="19.5" x14ac:dyDescent="0.25">
      <c r="F335" s="8" t="str">
        <f t="shared" si="11"/>
        <v/>
      </c>
      <c r="H335" s="10" t="str">
        <f t="shared" si="12"/>
        <v/>
      </c>
    </row>
    <row r="336" spans="6:8" ht="19.5" x14ac:dyDescent="0.25">
      <c r="F336" s="8" t="str">
        <f t="shared" si="11"/>
        <v/>
      </c>
      <c r="H336" s="10" t="str">
        <f t="shared" si="12"/>
        <v/>
      </c>
    </row>
    <row r="337" spans="6:8" ht="19.5" x14ac:dyDescent="0.25">
      <c r="F337" s="8" t="str">
        <f t="shared" si="11"/>
        <v/>
      </c>
      <c r="H337" s="10" t="str">
        <f t="shared" si="12"/>
        <v/>
      </c>
    </row>
    <row r="338" spans="6:8" ht="19.5" x14ac:dyDescent="0.25">
      <c r="F338" s="8" t="str">
        <f t="shared" si="11"/>
        <v/>
      </c>
      <c r="H338" s="10" t="str">
        <f t="shared" si="12"/>
        <v/>
      </c>
    </row>
    <row r="339" spans="6:8" ht="19.5" x14ac:dyDescent="0.25">
      <c r="F339" s="8" t="str">
        <f t="shared" si="11"/>
        <v/>
      </c>
      <c r="H339" s="10" t="str">
        <f t="shared" si="12"/>
        <v/>
      </c>
    </row>
    <row r="340" spans="6:8" ht="19.5" x14ac:dyDescent="0.25">
      <c r="F340" s="8" t="str">
        <f t="shared" si="11"/>
        <v/>
      </c>
      <c r="H340" s="10" t="str">
        <f t="shared" si="12"/>
        <v/>
      </c>
    </row>
    <row r="341" spans="6:8" ht="19.5" x14ac:dyDescent="0.25">
      <c r="F341" s="8" t="str">
        <f t="shared" si="11"/>
        <v/>
      </c>
      <c r="H341" s="10" t="str">
        <f t="shared" si="12"/>
        <v/>
      </c>
    </row>
    <row r="342" spans="6:8" ht="19.5" x14ac:dyDescent="0.25">
      <c r="F342" s="8" t="str">
        <f t="shared" si="11"/>
        <v/>
      </c>
      <c r="H342" s="10" t="str">
        <f t="shared" si="12"/>
        <v/>
      </c>
    </row>
    <row r="343" spans="6:8" ht="19.5" x14ac:dyDescent="0.25">
      <c r="F343" s="8" t="str">
        <f t="shared" si="11"/>
        <v/>
      </c>
      <c r="H343" s="10" t="str">
        <f t="shared" si="12"/>
        <v/>
      </c>
    </row>
    <row r="344" spans="6:8" ht="19.5" x14ac:dyDescent="0.25">
      <c r="F344" s="8" t="str">
        <f t="shared" si="11"/>
        <v/>
      </c>
      <c r="H344" s="10" t="str">
        <f t="shared" si="12"/>
        <v/>
      </c>
    </row>
    <row r="345" spans="6:8" ht="19.5" x14ac:dyDescent="0.25">
      <c r="F345" s="8" t="str">
        <f t="shared" si="11"/>
        <v/>
      </c>
      <c r="H345" s="10" t="str">
        <f t="shared" si="12"/>
        <v/>
      </c>
    </row>
    <row r="346" spans="6:8" ht="19.5" x14ac:dyDescent="0.25">
      <c r="F346" s="8" t="str">
        <f t="shared" si="11"/>
        <v/>
      </c>
      <c r="H346" s="10" t="str">
        <f t="shared" si="12"/>
        <v/>
      </c>
    </row>
    <row r="347" spans="6:8" ht="19.5" x14ac:dyDescent="0.25">
      <c r="F347" s="8" t="str">
        <f t="shared" si="11"/>
        <v/>
      </c>
      <c r="H347" s="10" t="str">
        <f t="shared" si="12"/>
        <v/>
      </c>
    </row>
    <row r="348" spans="6:8" ht="19.5" x14ac:dyDescent="0.25">
      <c r="F348" s="8" t="str">
        <f t="shared" si="11"/>
        <v/>
      </c>
      <c r="H348" s="10" t="str">
        <f t="shared" si="12"/>
        <v/>
      </c>
    </row>
    <row r="349" spans="6:8" ht="19.5" x14ac:dyDescent="0.25">
      <c r="F349" s="8" t="str">
        <f t="shared" si="11"/>
        <v/>
      </c>
      <c r="H349" s="10" t="str">
        <f t="shared" si="12"/>
        <v/>
      </c>
    </row>
    <row r="350" spans="6:8" ht="19.5" x14ac:dyDescent="0.25">
      <c r="F350" s="8" t="str">
        <f t="shared" si="11"/>
        <v/>
      </c>
      <c r="H350" s="10" t="str">
        <f t="shared" si="12"/>
        <v/>
      </c>
    </row>
    <row r="351" spans="6:8" ht="19.5" x14ac:dyDescent="0.25">
      <c r="F351" s="8" t="str">
        <f t="shared" si="11"/>
        <v/>
      </c>
      <c r="H351" s="10" t="str">
        <f t="shared" si="12"/>
        <v/>
      </c>
    </row>
    <row r="352" spans="6:8" ht="19.5" x14ac:dyDescent="0.25">
      <c r="F352" s="8" t="str">
        <f t="shared" si="11"/>
        <v/>
      </c>
      <c r="H352" s="10" t="str">
        <f t="shared" si="12"/>
        <v/>
      </c>
    </row>
    <row r="353" spans="6:8" ht="19.5" x14ac:dyDescent="0.25">
      <c r="F353" s="8" t="str">
        <f t="shared" si="11"/>
        <v/>
      </c>
      <c r="H353" s="10" t="str">
        <f t="shared" si="12"/>
        <v/>
      </c>
    </row>
    <row r="354" spans="6:8" ht="19.5" x14ac:dyDescent="0.25">
      <c r="F354" s="8" t="str">
        <f t="shared" si="11"/>
        <v/>
      </c>
      <c r="H354" s="10" t="str">
        <f t="shared" si="12"/>
        <v/>
      </c>
    </row>
    <row r="355" spans="6:8" ht="19.5" x14ac:dyDescent="0.25">
      <c r="F355" s="8" t="str">
        <f t="shared" si="11"/>
        <v/>
      </c>
      <c r="H355" s="10" t="str">
        <f t="shared" si="12"/>
        <v/>
      </c>
    </row>
    <row r="356" spans="6:8" ht="19.5" x14ac:dyDescent="0.25">
      <c r="F356" s="8" t="str">
        <f t="shared" si="11"/>
        <v/>
      </c>
      <c r="H356" s="10" t="str">
        <f t="shared" si="12"/>
        <v/>
      </c>
    </row>
    <row r="357" spans="6:8" ht="19.5" x14ac:dyDescent="0.25">
      <c r="F357" s="8" t="str">
        <f t="shared" si="11"/>
        <v/>
      </c>
      <c r="H357" s="10" t="str">
        <f t="shared" si="12"/>
        <v/>
      </c>
    </row>
    <row r="358" spans="6:8" ht="19.5" x14ac:dyDescent="0.25">
      <c r="F358" s="8" t="str">
        <f t="shared" si="11"/>
        <v/>
      </c>
      <c r="H358" s="10" t="str">
        <f t="shared" si="12"/>
        <v/>
      </c>
    </row>
    <row r="359" spans="6:8" ht="19.5" x14ac:dyDescent="0.25">
      <c r="F359" s="8" t="str">
        <f t="shared" si="11"/>
        <v/>
      </c>
      <c r="H359" s="10" t="str">
        <f t="shared" si="12"/>
        <v/>
      </c>
    </row>
    <row r="360" spans="6:8" ht="19.5" x14ac:dyDescent="0.25">
      <c r="F360" s="8" t="str">
        <f t="shared" si="11"/>
        <v/>
      </c>
      <c r="H360" s="10" t="str">
        <f t="shared" si="12"/>
        <v/>
      </c>
    </row>
    <row r="361" spans="6:8" ht="19.5" x14ac:dyDescent="0.25">
      <c r="F361" s="8" t="str">
        <f t="shared" si="11"/>
        <v/>
      </c>
      <c r="H361" s="10" t="str">
        <f t="shared" si="12"/>
        <v/>
      </c>
    </row>
    <row r="362" spans="6:8" ht="19.5" x14ac:dyDescent="0.25">
      <c r="F362" s="8" t="str">
        <f t="shared" si="11"/>
        <v/>
      </c>
      <c r="H362" s="10" t="str">
        <f t="shared" si="12"/>
        <v/>
      </c>
    </row>
    <row r="363" spans="6:8" ht="19.5" x14ac:dyDescent="0.25">
      <c r="F363" s="8" t="str">
        <f t="shared" si="11"/>
        <v/>
      </c>
      <c r="H363" s="10" t="str">
        <f t="shared" si="12"/>
        <v/>
      </c>
    </row>
    <row r="364" spans="6:8" ht="19.5" x14ac:dyDescent="0.25">
      <c r="F364" s="8" t="str">
        <f t="shared" si="11"/>
        <v/>
      </c>
      <c r="H364" s="10" t="str">
        <f t="shared" si="12"/>
        <v/>
      </c>
    </row>
    <row r="365" spans="6:8" ht="19.5" x14ac:dyDescent="0.25">
      <c r="F365" s="8" t="str">
        <f t="shared" si="11"/>
        <v/>
      </c>
      <c r="H365" s="10" t="str">
        <f t="shared" si="12"/>
        <v/>
      </c>
    </row>
    <row r="366" spans="6:8" ht="19.5" x14ac:dyDescent="0.25">
      <c r="F366" s="8" t="str">
        <f t="shared" si="11"/>
        <v/>
      </c>
      <c r="H366" s="10" t="str">
        <f t="shared" si="12"/>
        <v/>
      </c>
    </row>
    <row r="367" spans="6:8" ht="19.5" x14ac:dyDescent="0.25">
      <c r="F367" s="8" t="str">
        <f t="shared" si="11"/>
        <v/>
      </c>
      <c r="H367" s="10" t="str">
        <f t="shared" si="12"/>
        <v/>
      </c>
    </row>
    <row r="368" spans="6:8" ht="19.5" x14ac:dyDescent="0.25">
      <c r="F368" s="8" t="str">
        <f t="shared" si="11"/>
        <v/>
      </c>
      <c r="H368" s="10" t="str">
        <f t="shared" si="12"/>
        <v/>
      </c>
    </row>
    <row r="369" spans="6:8" ht="19.5" x14ac:dyDescent="0.25">
      <c r="F369" s="8" t="str">
        <f t="shared" si="11"/>
        <v/>
      </c>
      <c r="H369" s="10" t="str">
        <f t="shared" si="12"/>
        <v/>
      </c>
    </row>
    <row r="370" spans="6:8" ht="19.5" x14ac:dyDescent="0.25">
      <c r="F370" s="8" t="str">
        <f t="shared" si="11"/>
        <v/>
      </c>
      <c r="H370" s="10" t="str">
        <f t="shared" si="12"/>
        <v/>
      </c>
    </row>
    <row r="371" spans="6:8" ht="19.5" x14ac:dyDescent="0.25">
      <c r="F371" s="8" t="str">
        <f t="shared" si="11"/>
        <v/>
      </c>
      <c r="H371" s="10" t="str">
        <f t="shared" si="12"/>
        <v/>
      </c>
    </row>
    <row r="372" spans="6:8" ht="19.5" x14ac:dyDescent="0.25">
      <c r="F372" s="8" t="str">
        <f t="shared" si="11"/>
        <v/>
      </c>
      <c r="H372" s="10" t="str">
        <f t="shared" si="12"/>
        <v/>
      </c>
    </row>
    <row r="373" spans="6:8" ht="19.5" x14ac:dyDescent="0.25">
      <c r="F373" s="8" t="str">
        <f t="shared" si="11"/>
        <v/>
      </c>
      <c r="H373" s="10" t="str">
        <f t="shared" si="12"/>
        <v/>
      </c>
    </row>
    <row r="374" spans="6:8" ht="19.5" x14ac:dyDescent="0.25">
      <c r="F374" s="8" t="str">
        <f t="shared" si="11"/>
        <v/>
      </c>
      <c r="H374" s="10" t="str">
        <f t="shared" si="12"/>
        <v/>
      </c>
    </row>
    <row r="375" spans="6:8" ht="19.5" x14ac:dyDescent="0.25">
      <c r="F375" s="8" t="str">
        <f t="shared" si="11"/>
        <v/>
      </c>
      <c r="H375" s="10" t="str">
        <f t="shared" si="12"/>
        <v/>
      </c>
    </row>
    <row r="376" spans="6:8" ht="19.5" x14ac:dyDescent="0.25">
      <c r="F376" s="8" t="str">
        <f t="shared" si="11"/>
        <v/>
      </c>
      <c r="H376" s="10" t="str">
        <f t="shared" si="12"/>
        <v/>
      </c>
    </row>
    <row r="377" spans="6:8" ht="19.5" x14ac:dyDescent="0.25">
      <c r="F377" s="8" t="str">
        <f t="shared" si="11"/>
        <v/>
      </c>
      <c r="H377" s="10" t="str">
        <f t="shared" si="12"/>
        <v/>
      </c>
    </row>
    <row r="378" spans="6:8" ht="19.5" x14ac:dyDescent="0.25">
      <c r="F378" s="8" t="str">
        <f t="shared" si="11"/>
        <v/>
      </c>
      <c r="H378" s="10" t="str">
        <f t="shared" si="12"/>
        <v/>
      </c>
    </row>
    <row r="379" spans="6:8" ht="19.5" x14ac:dyDescent="0.25">
      <c r="F379" s="8" t="str">
        <f t="shared" si="11"/>
        <v/>
      </c>
      <c r="H379" s="10" t="str">
        <f t="shared" si="12"/>
        <v/>
      </c>
    </row>
    <row r="380" spans="6:8" ht="19.5" x14ac:dyDescent="0.25">
      <c r="F380" s="8" t="str">
        <f t="shared" si="11"/>
        <v/>
      </c>
      <c r="H380" s="10" t="str">
        <f t="shared" si="12"/>
        <v/>
      </c>
    </row>
    <row r="381" spans="6:8" ht="19.5" x14ac:dyDescent="0.25">
      <c r="F381" s="8" t="str">
        <f t="shared" si="11"/>
        <v/>
      </c>
      <c r="H381" s="10" t="str">
        <f t="shared" si="12"/>
        <v/>
      </c>
    </row>
    <row r="382" spans="6:8" ht="19.5" x14ac:dyDescent="0.25">
      <c r="F382" s="8" t="str">
        <f t="shared" si="11"/>
        <v/>
      </c>
      <c r="H382" s="10" t="str">
        <f t="shared" si="12"/>
        <v/>
      </c>
    </row>
    <row r="383" spans="6:8" ht="19.5" x14ac:dyDescent="0.25">
      <c r="F383" s="8" t="str">
        <f t="shared" ref="F383:F446" si="13">IF(A383="", "", "gift-codes.html?game=" &amp; A383)</f>
        <v/>
      </c>
      <c r="H383" s="10" t="str">
        <f t="shared" ref="H383:H446" si="14">IF(A383="", "", "https://www.ssbuy.tw/game-detail.html?game="&amp;A383)</f>
        <v/>
      </c>
    </row>
    <row r="384" spans="6:8" ht="19.5" x14ac:dyDescent="0.25">
      <c r="F384" s="8" t="str">
        <f t="shared" si="13"/>
        <v/>
      </c>
      <c r="H384" s="10" t="str">
        <f t="shared" si="14"/>
        <v/>
      </c>
    </row>
    <row r="385" spans="6:8" ht="19.5" x14ac:dyDescent="0.25">
      <c r="F385" s="8" t="str">
        <f t="shared" si="13"/>
        <v/>
      </c>
      <c r="H385" s="10" t="str">
        <f t="shared" si="14"/>
        <v/>
      </c>
    </row>
    <row r="386" spans="6:8" ht="19.5" x14ac:dyDescent="0.25">
      <c r="F386" s="8" t="str">
        <f t="shared" si="13"/>
        <v/>
      </c>
      <c r="H386" s="10" t="str">
        <f t="shared" si="14"/>
        <v/>
      </c>
    </row>
    <row r="387" spans="6:8" ht="19.5" x14ac:dyDescent="0.25">
      <c r="F387" s="8" t="str">
        <f t="shared" si="13"/>
        <v/>
      </c>
      <c r="H387" s="10" t="str">
        <f t="shared" si="14"/>
        <v/>
      </c>
    </row>
    <row r="388" spans="6:8" ht="19.5" x14ac:dyDescent="0.25">
      <c r="F388" s="8" t="str">
        <f t="shared" si="13"/>
        <v/>
      </c>
      <c r="H388" s="10" t="str">
        <f t="shared" si="14"/>
        <v/>
      </c>
    </row>
    <row r="389" spans="6:8" ht="19.5" x14ac:dyDescent="0.25">
      <c r="F389" s="8" t="str">
        <f t="shared" si="13"/>
        <v/>
      </c>
      <c r="H389" s="10" t="str">
        <f t="shared" si="14"/>
        <v/>
      </c>
    </row>
    <row r="390" spans="6:8" ht="19.5" x14ac:dyDescent="0.25">
      <c r="F390" s="8" t="str">
        <f t="shared" si="13"/>
        <v/>
      </c>
      <c r="H390" s="10" t="str">
        <f t="shared" si="14"/>
        <v/>
      </c>
    </row>
    <row r="391" spans="6:8" ht="19.5" x14ac:dyDescent="0.25">
      <c r="F391" s="8" t="str">
        <f t="shared" si="13"/>
        <v/>
      </c>
      <c r="H391" s="10" t="str">
        <f t="shared" si="14"/>
        <v/>
      </c>
    </row>
    <row r="392" spans="6:8" ht="19.5" x14ac:dyDescent="0.25">
      <c r="F392" s="8" t="str">
        <f t="shared" si="13"/>
        <v/>
      </c>
      <c r="H392" s="10" t="str">
        <f t="shared" si="14"/>
        <v/>
      </c>
    </row>
    <row r="393" spans="6:8" ht="19.5" x14ac:dyDescent="0.25">
      <c r="F393" s="8" t="str">
        <f t="shared" si="13"/>
        <v/>
      </c>
      <c r="H393" s="10" t="str">
        <f t="shared" si="14"/>
        <v/>
      </c>
    </row>
    <row r="394" spans="6:8" ht="19.5" x14ac:dyDescent="0.25">
      <c r="F394" s="8" t="str">
        <f t="shared" si="13"/>
        <v/>
      </c>
      <c r="H394" s="10" t="str">
        <f t="shared" si="14"/>
        <v/>
      </c>
    </row>
    <row r="395" spans="6:8" ht="19.5" x14ac:dyDescent="0.25">
      <c r="F395" s="8" t="str">
        <f t="shared" si="13"/>
        <v/>
      </c>
      <c r="H395" s="10" t="str">
        <f t="shared" si="14"/>
        <v/>
      </c>
    </row>
    <row r="396" spans="6:8" ht="19.5" x14ac:dyDescent="0.25">
      <c r="F396" s="8" t="str">
        <f t="shared" si="13"/>
        <v/>
      </c>
      <c r="H396" s="10" t="str">
        <f t="shared" si="14"/>
        <v/>
      </c>
    </row>
    <row r="397" spans="6:8" ht="19.5" x14ac:dyDescent="0.25">
      <c r="F397" s="8" t="str">
        <f t="shared" si="13"/>
        <v/>
      </c>
      <c r="H397" s="10" t="str">
        <f t="shared" si="14"/>
        <v/>
      </c>
    </row>
    <row r="398" spans="6:8" ht="19.5" x14ac:dyDescent="0.25">
      <c r="F398" s="8" t="str">
        <f t="shared" si="13"/>
        <v/>
      </c>
      <c r="H398" s="10" t="str">
        <f t="shared" si="14"/>
        <v/>
      </c>
    </row>
    <row r="399" spans="6:8" ht="19.5" x14ac:dyDescent="0.25">
      <c r="F399" s="8" t="str">
        <f t="shared" si="13"/>
        <v/>
      </c>
      <c r="H399" s="10" t="str">
        <f t="shared" si="14"/>
        <v/>
      </c>
    </row>
    <row r="400" spans="6:8" ht="19.5" x14ac:dyDescent="0.25">
      <c r="F400" s="8" t="str">
        <f t="shared" si="13"/>
        <v/>
      </c>
      <c r="H400" s="10" t="str">
        <f t="shared" si="14"/>
        <v/>
      </c>
    </row>
    <row r="401" spans="6:8" ht="19.5" x14ac:dyDescent="0.25">
      <c r="F401" s="8" t="str">
        <f t="shared" si="13"/>
        <v/>
      </c>
      <c r="H401" s="10" t="str">
        <f t="shared" si="14"/>
        <v/>
      </c>
    </row>
    <row r="402" spans="6:8" ht="19.5" x14ac:dyDescent="0.25">
      <c r="F402" s="8" t="str">
        <f t="shared" si="13"/>
        <v/>
      </c>
      <c r="H402" s="10" t="str">
        <f t="shared" si="14"/>
        <v/>
      </c>
    </row>
    <row r="403" spans="6:8" ht="19.5" x14ac:dyDescent="0.25">
      <c r="F403" s="8" t="str">
        <f t="shared" si="13"/>
        <v/>
      </c>
      <c r="H403" s="10" t="str">
        <f t="shared" si="14"/>
        <v/>
      </c>
    </row>
    <row r="404" spans="6:8" ht="19.5" x14ac:dyDescent="0.25">
      <c r="F404" s="8" t="str">
        <f t="shared" si="13"/>
        <v/>
      </c>
      <c r="H404" s="10" t="str">
        <f t="shared" si="14"/>
        <v/>
      </c>
    </row>
    <row r="405" spans="6:8" ht="19.5" x14ac:dyDescent="0.25">
      <c r="F405" s="8" t="str">
        <f t="shared" si="13"/>
        <v/>
      </c>
      <c r="H405" s="10" t="str">
        <f t="shared" si="14"/>
        <v/>
      </c>
    </row>
    <row r="406" spans="6:8" ht="19.5" x14ac:dyDescent="0.25">
      <c r="F406" s="8" t="str">
        <f t="shared" si="13"/>
        <v/>
      </c>
      <c r="H406" s="10" t="str">
        <f t="shared" si="14"/>
        <v/>
      </c>
    </row>
    <row r="407" spans="6:8" ht="19.5" x14ac:dyDescent="0.25">
      <c r="F407" s="8" t="str">
        <f t="shared" si="13"/>
        <v/>
      </c>
      <c r="H407" s="10" t="str">
        <f t="shared" si="14"/>
        <v/>
      </c>
    </row>
    <row r="408" spans="6:8" ht="19.5" x14ac:dyDescent="0.25">
      <c r="F408" s="8" t="str">
        <f t="shared" si="13"/>
        <v/>
      </c>
      <c r="H408" s="10" t="str">
        <f t="shared" si="14"/>
        <v/>
      </c>
    </row>
    <row r="409" spans="6:8" ht="19.5" x14ac:dyDescent="0.25">
      <c r="F409" s="8" t="str">
        <f t="shared" si="13"/>
        <v/>
      </c>
      <c r="H409" s="10" t="str">
        <f t="shared" si="14"/>
        <v/>
      </c>
    </row>
    <row r="410" spans="6:8" ht="19.5" x14ac:dyDescent="0.25">
      <c r="F410" s="8" t="str">
        <f t="shared" si="13"/>
        <v/>
      </c>
      <c r="H410" s="10" t="str">
        <f t="shared" si="14"/>
        <v/>
      </c>
    </row>
    <row r="411" spans="6:8" ht="19.5" x14ac:dyDescent="0.25">
      <c r="F411" s="8" t="str">
        <f t="shared" si="13"/>
        <v/>
      </c>
      <c r="H411" s="10" t="str">
        <f t="shared" si="14"/>
        <v/>
      </c>
    </row>
    <row r="412" spans="6:8" ht="19.5" x14ac:dyDescent="0.25">
      <c r="F412" s="8" t="str">
        <f t="shared" si="13"/>
        <v/>
      </c>
      <c r="H412" s="10" t="str">
        <f t="shared" si="14"/>
        <v/>
      </c>
    </row>
    <row r="413" spans="6:8" ht="19.5" x14ac:dyDescent="0.25">
      <c r="F413" s="8" t="str">
        <f t="shared" si="13"/>
        <v/>
      </c>
      <c r="H413" s="10" t="str">
        <f t="shared" si="14"/>
        <v/>
      </c>
    </row>
    <row r="414" spans="6:8" ht="19.5" x14ac:dyDescent="0.25">
      <c r="F414" s="8" t="str">
        <f t="shared" si="13"/>
        <v/>
      </c>
      <c r="H414" s="10" t="str">
        <f t="shared" si="14"/>
        <v/>
      </c>
    </row>
    <row r="415" spans="6:8" ht="19.5" x14ac:dyDescent="0.25">
      <c r="F415" s="8" t="str">
        <f t="shared" si="13"/>
        <v/>
      </c>
      <c r="H415" s="10" t="str">
        <f t="shared" si="14"/>
        <v/>
      </c>
    </row>
    <row r="416" spans="6:8" ht="19.5" x14ac:dyDescent="0.25">
      <c r="F416" s="8" t="str">
        <f t="shared" si="13"/>
        <v/>
      </c>
      <c r="H416" s="10" t="str">
        <f t="shared" si="14"/>
        <v/>
      </c>
    </row>
    <row r="417" spans="6:8" ht="19.5" x14ac:dyDescent="0.25">
      <c r="F417" s="8" t="str">
        <f t="shared" si="13"/>
        <v/>
      </c>
      <c r="H417" s="10" t="str">
        <f t="shared" si="14"/>
        <v/>
      </c>
    </row>
    <row r="418" spans="6:8" ht="19.5" x14ac:dyDescent="0.25">
      <c r="F418" s="8" t="str">
        <f t="shared" si="13"/>
        <v/>
      </c>
      <c r="H418" s="10" t="str">
        <f t="shared" si="14"/>
        <v/>
      </c>
    </row>
    <row r="419" spans="6:8" ht="19.5" x14ac:dyDescent="0.25">
      <c r="F419" s="8" t="str">
        <f t="shared" si="13"/>
        <v/>
      </c>
      <c r="H419" s="10" t="str">
        <f t="shared" si="14"/>
        <v/>
      </c>
    </row>
    <row r="420" spans="6:8" ht="19.5" x14ac:dyDescent="0.25">
      <c r="F420" s="8" t="str">
        <f t="shared" si="13"/>
        <v/>
      </c>
      <c r="H420" s="10" t="str">
        <f t="shared" si="14"/>
        <v/>
      </c>
    </row>
    <row r="421" spans="6:8" ht="19.5" x14ac:dyDescent="0.25">
      <c r="F421" s="8" t="str">
        <f t="shared" si="13"/>
        <v/>
      </c>
      <c r="H421" s="10" t="str">
        <f t="shared" si="14"/>
        <v/>
      </c>
    </row>
    <row r="422" spans="6:8" ht="19.5" x14ac:dyDescent="0.25">
      <c r="F422" s="8" t="str">
        <f t="shared" si="13"/>
        <v/>
      </c>
      <c r="H422" s="10" t="str">
        <f t="shared" si="14"/>
        <v/>
      </c>
    </row>
    <row r="423" spans="6:8" ht="19.5" x14ac:dyDescent="0.25">
      <c r="F423" s="8" t="str">
        <f t="shared" si="13"/>
        <v/>
      </c>
      <c r="H423" s="10" t="str">
        <f t="shared" si="14"/>
        <v/>
      </c>
    </row>
    <row r="424" spans="6:8" ht="19.5" x14ac:dyDescent="0.25">
      <c r="F424" s="8" t="str">
        <f t="shared" si="13"/>
        <v/>
      </c>
      <c r="H424" s="10" t="str">
        <f t="shared" si="14"/>
        <v/>
      </c>
    </row>
    <row r="425" spans="6:8" ht="19.5" x14ac:dyDescent="0.25">
      <c r="F425" s="8" t="str">
        <f t="shared" si="13"/>
        <v/>
      </c>
      <c r="H425" s="10" t="str">
        <f t="shared" si="14"/>
        <v/>
      </c>
    </row>
    <row r="426" spans="6:8" ht="19.5" x14ac:dyDescent="0.25">
      <c r="F426" s="8" t="str">
        <f t="shared" si="13"/>
        <v/>
      </c>
      <c r="H426" s="10" t="str">
        <f t="shared" si="14"/>
        <v/>
      </c>
    </row>
    <row r="427" spans="6:8" ht="19.5" x14ac:dyDescent="0.25">
      <c r="F427" s="8" t="str">
        <f t="shared" si="13"/>
        <v/>
      </c>
      <c r="H427" s="10" t="str">
        <f t="shared" si="14"/>
        <v/>
      </c>
    </row>
    <row r="428" spans="6:8" ht="19.5" x14ac:dyDescent="0.25">
      <c r="F428" s="8" t="str">
        <f t="shared" si="13"/>
        <v/>
      </c>
      <c r="H428" s="10" t="str">
        <f t="shared" si="14"/>
        <v/>
      </c>
    </row>
    <row r="429" spans="6:8" ht="19.5" x14ac:dyDescent="0.25">
      <c r="F429" s="8" t="str">
        <f t="shared" si="13"/>
        <v/>
      </c>
      <c r="H429" s="10" t="str">
        <f t="shared" si="14"/>
        <v/>
      </c>
    </row>
    <row r="430" spans="6:8" ht="19.5" x14ac:dyDescent="0.25">
      <c r="F430" s="8" t="str">
        <f t="shared" si="13"/>
        <v/>
      </c>
      <c r="H430" s="10" t="str">
        <f t="shared" si="14"/>
        <v/>
      </c>
    </row>
    <row r="431" spans="6:8" ht="19.5" x14ac:dyDescent="0.25">
      <c r="F431" s="8" t="str">
        <f t="shared" si="13"/>
        <v/>
      </c>
      <c r="H431" s="10" t="str">
        <f t="shared" si="14"/>
        <v/>
      </c>
    </row>
    <row r="432" spans="6:8" ht="19.5" x14ac:dyDescent="0.25">
      <c r="F432" s="8" t="str">
        <f t="shared" si="13"/>
        <v/>
      </c>
      <c r="H432" s="10" t="str">
        <f t="shared" si="14"/>
        <v/>
      </c>
    </row>
    <row r="433" spans="6:8" ht="19.5" x14ac:dyDescent="0.25">
      <c r="F433" s="8" t="str">
        <f t="shared" si="13"/>
        <v/>
      </c>
      <c r="H433" s="10" t="str">
        <f t="shared" si="14"/>
        <v/>
      </c>
    </row>
    <row r="434" spans="6:8" ht="19.5" x14ac:dyDescent="0.25">
      <c r="F434" s="8" t="str">
        <f t="shared" si="13"/>
        <v/>
      </c>
      <c r="H434" s="10" t="str">
        <f t="shared" si="14"/>
        <v/>
      </c>
    </row>
    <row r="435" spans="6:8" ht="19.5" x14ac:dyDescent="0.25">
      <c r="F435" s="8" t="str">
        <f t="shared" si="13"/>
        <v/>
      </c>
      <c r="H435" s="10" t="str">
        <f t="shared" si="14"/>
        <v/>
      </c>
    </row>
    <row r="436" spans="6:8" ht="19.5" x14ac:dyDescent="0.25">
      <c r="F436" s="8" t="str">
        <f t="shared" si="13"/>
        <v/>
      </c>
      <c r="H436" s="10" t="str">
        <f t="shared" si="14"/>
        <v/>
      </c>
    </row>
    <row r="437" spans="6:8" ht="19.5" x14ac:dyDescent="0.25">
      <c r="F437" s="8" t="str">
        <f t="shared" si="13"/>
        <v/>
      </c>
      <c r="H437" s="10" t="str">
        <f t="shared" si="14"/>
        <v/>
      </c>
    </row>
    <row r="438" spans="6:8" ht="19.5" x14ac:dyDescent="0.25">
      <c r="F438" s="8" t="str">
        <f t="shared" si="13"/>
        <v/>
      </c>
      <c r="H438" s="10" t="str">
        <f t="shared" si="14"/>
        <v/>
      </c>
    </row>
    <row r="439" spans="6:8" ht="19.5" x14ac:dyDescent="0.25">
      <c r="F439" s="8" t="str">
        <f t="shared" si="13"/>
        <v/>
      </c>
      <c r="H439" s="10" t="str">
        <f t="shared" si="14"/>
        <v/>
      </c>
    </row>
    <row r="440" spans="6:8" ht="19.5" x14ac:dyDescent="0.25">
      <c r="F440" s="8" t="str">
        <f t="shared" si="13"/>
        <v/>
      </c>
      <c r="H440" s="10" t="str">
        <f t="shared" si="14"/>
        <v/>
      </c>
    </row>
    <row r="441" spans="6:8" ht="19.5" x14ac:dyDescent="0.25">
      <c r="F441" s="8" t="str">
        <f t="shared" si="13"/>
        <v/>
      </c>
      <c r="H441" s="10" t="str">
        <f t="shared" si="14"/>
        <v/>
      </c>
    </row>
    <row r="442" spans="6:8" ht="19.5" x14ac:dyDescent="0.25">
      <c r="F442" s="8" t="str">
        <f t="shared" si="13"/>
        <v/>
      </c>
      <c r="H442" s="10" t="str">
        <f t="shared" si="14"/>
        <v/>
      </c>
    </row>
    <row r="443" spans="6:8" ht="19.5" x14ac:dyDescent="0.25">
      <c r="F443" s="8" t="str">
        <f t="shared" si="13"/>
        <v/>
      </c>
      <c r="H443" s="10" t="str">
        <f t="shared" si="14"/>
        <v/>
      </c>
    </row>
    <row r="444" spans="6:8" ht="19.5" x14ac:dyDescent="0.25">
      <c r="F444" s="8" t="str">
        <f t="shared" si="13"/>
        <v/>
      </c>
      <c r="H444" s="10" t="str">
        <f t="shared" si="14"/>
        <v/>
      </c>
    </row>
    <row r="445" spans="6:8" ht="19.5" x14ac:dyDescent="0.25">
      <c r="F445" s="8" t="str">
        <f t="shared" si="13"/>
        <v/>
      </c>
      <c r="H445" s="10" t="str">
        <f t="shared" si="14"/>
        <v/>
      </c>
    </row>
    <row r="446" spans="6:8" ht="19.5" x14ac:dyDescent="0.25">
      <c r="F446" s="8" t="str">
        <f t="shared" si="13"/>
        <v/>
      </c>
      <c r="H446" s="10" t="str">
        <f t="shared" si="14"/>
        <v/>
      </c>
    </row>
    <row r="447" spans="6:8" ht="19.5" x14ac:dyDescent="0.25">
      <c r="F447" s="8" t="str">
        <f t="shared" ref="F447:F510" si="15">IF(A447="", "", "gift-codes.html?game=" &amp; A447)</f>
        <v/>
      </c>
      <c r="H447" s="10" t="str">
        <f t="shared" ref="H447:H510" si="16">IF(A447="", "", "https://www.ssbuy.tw/game-detail.html?game="&amp;A447)</f>
        <v/>
      </c>
    </row>
    <row r="448" spans="6:8" ht="19.5" x14ac:dyDescent="0.25">
      <c r="F448" s="8" t="str">
        <f t="shared" si="15"/>
        <v/>
      </c>
      <c r="H448" s="10" t="str">
        <f t="shared" si="16"/>
        <v/>
      </c>
    </row>
    <row r="449" spans="6:8" ht="19.5" x14ac:dyDescent="0.25">
      <c r="F449" s="8" t="str">
        <f t="shared" si="15"/>
        <v/>
      </c>
      <c r="H449" s="10" t="str">
        <f t="shared" si="16"/>
        <v/>
      </c>
    </row>
    <row r="450" spans="6:8" ht="19.5" x14ac:dyDescent="0.25">
      <c r="F450" s="8" t="str">
        <f t="shared" si="15"/>
        <v/>
      </c>
      <c r="H450" s="10" t="str">
        <f t="shared" si="16"/>
        <v/>
      </c>
    </row>
    <row r="451" spans="6:8" ht="19.5" x14ac:dyDescent="0.25">
      <c r="F451" s="8" t="str">
        <f t="shared" si="15"/>
        <v/>
      </c>
      <c r="H451" s="10" t="str">
        <f t="shared" si="16"/>
        <v/>
      </c>
    </row>
    <row r="452" spans="6:8" ht="19.5" x14ac:dyDescent="0.25">
      <c r="F452" s="8" t="str">
        <f t="shared" si="15"/>
        <v/>
      </c>
      <c r="H452" s="10" t="str">
        <f t="shared" si="16"/>
        <v/>
      </c>
    </row>
    <row r="453" spans="6:8" ht="19.5" x14ac:dyDescent="0.25">
      <c r="F453" s="8" t="str">
        <f t="shared" si="15"/>
        <v/>
      </c>
      <c r="H453" s="10" t="str">
        <f t="shared" si="16"/>
        <v/>
      </c>
    </row>
    <row r="454" spans="6:8" ht="19.5" x14ac:dyDescent="0.25">
      <c r="F454" s="8" t="str">
        <f t="shared" si="15"/>
        <v/>
      </c>
      <c r="H454" s="10" t="str">
        <f t="shared" si="16"/>
        <v/>
      </c>
    </row>
    <row r="455" spans="6:8" ht="19.5" x14ac:dyDescent="0.25">
      <c r="F455" s="8" t="str">
        <f t="shared" si="15"/>
        <v/>
      </c>
      <c r="H455" s="10" t="str">
        <f t="shared" si="16"/>
        <v/>
      </c>
    </row>
    <row r="456" spans="6:8" ht="19.5" x14ac:dyDescent="0.25">
      <c r="F456" s="8" t="str">
        <f t="shared" si="15"/>
        <v/>
      </c>
      <c r="H456" s="10" t="str">
        <f t="shared" si="16"/>
        <v/>
      </c>
    </row>
    <row r="457" spans="6:8" ht="19.5" x14ac:dyDescent="0.25">
      <c r="F457" s="8" t="str">
        <f t="shared" si="15"/>
        <v/>
      </c>
      <c r="H457" s="10" t="str">
        <f t="shared" si="16"/>
        <v/>
      </c>
    </row>
    <row r="458" spans="6:8" ht="19.5" x14ac:dyDescent="0.25">
      <c r="F458" s="8" t="str">
        <f t="shared" si="15"/>
        <v/>
      </c>
      <c r="H458" s="10" t="str">
        <f t="shared" si="16"/>
        <v/>
      </c>
    </row>
    <row r="459" spans="6:8" ht="19.5" x14ac:dyDescent="0.25">
      <c r="F459" s="8" t="str">
        <f t="shared" si="15"/>
        <v/>
      </c>
      <c r="H459" s="10" t="str">
        <f t="shared" si="16"/>
        <v/>
      </c>
    </row>
    <row r="460" spans="6:8" ht="19.5" x14ac:dyDescent="0.25">
      <c r="F460" s="8" t="str">
        <f t="shared" si="15"/>
        <v/>
      </c>
      <c r="H460" s="10" t="str">
        <f t="shared" si="16"/>
        <v/>
      </c>
    </row>
    <row r="461" spans="6:8" ht="19.5" x14ac:dyDescent="0.25">
      <c r="F461" s="8" t="str">
        <f t="shared" si="15"/>
        <v/>
      </c>
      <c r="H461" s="10" t="str">
        <f t="shared" si="16"/>
        <v/>
      </c>
    </row>
    <row r="462" spans="6:8" ht="19.5" x14ac:dyDescent="0.25">
      <c r="F462" s="8" t="str">
        <f t="shared" si="15"/>
        <v/>
      </c>
      <c r="H462" s="10" t="str">
        <f t="shared" si="16"/>
        <v/>
      </c>
    </row>
    <row r="463" spans="6:8" ht="19.5" x14ac:dyDescent="0.25">
      <c r="F463" s="8" t="str">
        <f t="shared" si="15"/>
        <v/>
      </c>
      <c r="H463" s="10" t="str">
        <f t="shared" si="16"/>
        <v/>
      </c>
    </row>
    <row r="464" spans="6:8" ht="19.5" x14ac:dyDescent="0.25">
      <c r="F464" s="8" t="str">
        <f t="shared" si="15"/>
        <v/>
      </c>
      <c r="H464" s="10" t="str">
        <f t="shared" si="16"/>
        <v/>
      </c>
    </row>
    <row r="465" spans="6:8" ht="19.5" x14ac:dyDescent="0.25">
      <c r="F465" s="8" t="str">
        <f t="shared" si="15"/>
        <v/>
      </c>
      <c r="H465" s="10" t="str">
        <f t="shared" si="16"/>
        <v/>
      </c>
    </row>
    <row r="466" spans="6:8" ht="19.5" x14ac:dyDescent="0.25">
      <c r="F466" s="8" t="str">
        <f t="shared" si="15"/>
        <v/>
      </c>
      <c r="H466" s="10" t="str">
        <f t="shared" si="16"/>
        <v/>
      </c>
    </row>
    <row r="467" spans="6:8" ht="19.5" x14ac:dyDescent="0.25">
      <c r="F467" s="8" t="str">
        <f t="shared" si="15"/>
        <v/>
      </c>
      <c r="H467" s="10" t="str">
        <f t="shared" si="16"/>
        <v/>
      </c>
    </row>
    <row r="468" spans="6:8" ht="19.5" x14ac:dyDescent="0.25">
      <c r="F468" s="8" t="str">
        <f t="shared" si="15"/>
        <v/>
      </c>
      <c r="H468" s="10" t="str">
        <f t="shared" si="16"/>
        <v/>
      </c>
    </row>
    <row r="469" spans="6:8" ht="19.5" x14ac:dyDescent="0.25">
      <c r="F469" s="8" t="str">
        <f t="shared" si="15"/>
        <v/>
      </c>
      <c r="H469" s="10" t="str">
        <f t="shared" si="16"/>
        <v/>
      </c>
    </row>
    <row r="470" spans="6:8" ht="19.5" x14ac:dyDescent="0.25">
      <c r="F470" s="8" t="str">
        <f t="shared" si="15"/>
        <v/>
      </c>
      <c r="H470" s="10" t="str">
        <f t="shared" si="16"/>
        <v/>
      </c>
    </row>
    <row r="471" spans="6:8" ht="19.5" x14ac:dyDescent="0.25">
      <c r="F471" s="8" t="str">
        <f t="shared" si="15"/>
        <v/>
      </c>
      <c r="H471" s="10" t="str">
        <f t="shared" si="16"/>
        <v/>
      </c>
    </row>
    <row r="472" spans="6:8" ht="19.5" x14ac:dyDescent="0.25">
      <c r="F472" s="8" t="str">
        <f t="shared" si="15"/>
        <v/>
      </c>
      <c r="H472" s="10" t="str">
        <f t="shared" si="16"/>
        <v/>
      </c>
    </row>
    <row r="473" spans="6:8" ht="19.5" x14ac:dyDescent="0.25">
      <c r="F473" s="8" t="str">
        <f t="shared" si="15"/>
        <v/>
      </c>
      <c r="H473" s="10" t="str">
        <f t="shared" si="16"/>
        <v/>
      </c>
    </row>
    <row r="474" spans="6:8" ht="19.5" x14ac:dyDescent="0.25">
      <c r="F474" s="8" t="str">
        <f t="shared" si="15"/>
        <v/>
      </c>
      <c r="H474" s="10" t="str">
        <f t="shared" si="16"/>
        <v/>
      </c>
    </row>
    <row r="475" spans="6:8" ht="19.5" x14ac:dyDescent="0.25">
      <c r="F475" s="8" t="str">
        <f t="shared" si="15"/>
        <v/>
      </c>
      <c r="H475" s="10" t="str">
        <f t="shared" si="16"/>
        <v/>
      </c>
    </row>
    <row r="476" spans="6:8" ht="19.5" x14ac:dyDescent="0.25">
      <c r="F476" s="8" t="str">
        <f t="shared" si="15"/>
        <v/>
      </c>
      <c r="H476" s="10" t="str">
        <f t="shared" si="16"/>
        <v/>
      </c>
    </row>
    <row r="477" spans="6:8" ht="19.5" x14ac:dyDescent="0.25">
      <c r="F477" s="8" t="str">
        <f t="shared" si="15"/>
        <v/>
      </c>
      <c r="H477" s="10" t="str">
        <f t="shared" si="16"/>
        <v/>
      </c>
    </row>
    <row r="478" spans="6:8" ht="19.5" x14ac:dyDescent="0.25">
      <c r="F478" s="8" t="str">
        <f t="shared" si="15"/>
        <v/>
      </c>
      <c r="H478" s="10" t="str">
        <f t="shared" si="16"/>
        <v/>
      </c>
    </row>
    <row r="479" spans="6:8" ht="19.5" x14ac:dyDescent="0.25">
      <c r="F479" s="8" t="str">
        <f t="shared" si="15"/>
        <v/>
      </c>
      <c r="H479" s="10" t="str">
        <f t="shared" si="16"/>
        <v/>
      </c>
    </row>
    <row r="480" spans="6:8" ht="19.5" x14ac:dyDescent="0.25">
      <c r="F480" s="8" t="str">
        <f t="shared" si="15"/>
        <v/>
      </c>
      <c r="H480" s="10" t="str">
        <f t="shared" si="16"/>
        <v/>
      </c>
    </row>
    <row r="481" spans="6:8" ht="19.5" x14ac:dyDescent="0.25">
      <c r="F481" s="8" t="str">
        <f t="shared" si="15"/>
        <v/>
      </c>
      <c r="H481" s="10" t="str">
        <f t="shared" si="16"/>
        <v/>
      </c>
    </row>
    <row r="482" spans="6:8" ht="19.5" x14ac:dyDescent="0.25">
      <c r="F482" s="8" t="str">
        <f t="shared" si="15"/>
        <v/>
      </c>
      <c r="H482" s="10" t="str">
        <f t="shared" si="16"/>
        <v/>
      </c>
    </row>
    <row r="483" spans="6:8" ht="19.5" x14ac:dyDescent="0.25">
      <c r="F483" s="8" t="str">
        <f t="shared" si="15"/>
        <v/>
      </c>
      <c r="H483" s="10" t="str">
        <f t="shared" si="16"/>
        <v/>
      </c>
    </row>
    <row r="484" spans="6:8" ht="19.5" x14ac:dyDescent="0.25">
      <c r="F484" s="8" t="str">
        <f t="shared" si="15"/>
        <v/>
      </c>
      <c r="H484" s="10" t="str">
        <f t="shared" si="16"/>
        <v/>
      </c>
    </row>
    <row r="485" spans="6:8" ht="19.5" x14ac:dyDescent="0.25">
      <c r="F485" s="8" t="str">
        <f t="shared" si="15"/>
        <v/>
      </c>
      <c r="H485" s="10" t="str">
        <f t="shared" si="16"/>
        <v/>
      </c>
    </row>
    <row r="486" spans="6:8" ht="19.5" x14ac:dyDescent="0.25">
      <c r="F486" s="8" t="str">
        <f t="shared" si="15"/>
        <v/>
      </c>
      <c r="H486" s="10" t="str">
        <f t="shared" si="16"/>
        <v/>
      </c>
    </row>
    <row r="487" spans="6:8" ht="19.5" x14ac:dyDescent="0.25">
      <c r="F487" s="8" t="str">
        <f t="shared" si="15"/>
        <v/>
      </c>
      <c r="H487" s="10" t="str">
        <f t="shared" si="16"/>
        <v/>
      </c>
    </row>
    <row r="488" spans="6:8" ht="19.5" x14ac:dyDescent="0.25">
      <c r="F488" s="8" t="str">
        <f t="shared" si="15"/>
        <v/>
      </c>
      <c r="H488" s="10" t="str">
        <f t="shared" si="16"/>
        <v/>
      </c>
    </row>
    <row r="489" spans="6:8" ht="19.5" x14ac:dyDescent="0.25">
      <c r="F489" s="8" t="str">
        <f t="shared" si="15"/>
        <v/>
      </c>
      <c r="H489" s="10" t="str">
        <f t="shared" si="16"/>
        <v/>
      </c>
    </row>
    <row r="490" spans="6:8" ht="19.5" x14ac:dyDescent="0.25">
      <c r="F490" s="8" t="str">
        <f t="shared" si="15"/>
        <v/>
      </c>
      <c r="H490" s="10" t="str">
        <f t="shared" si="16"/>
        <v/>
      </c>
    </row>
    <row r="491" spans="6:8" ht="19.5" x14ac:dyDescent="0.25">
      <c r="F491" s="8" t="str">
        <f t="shared" si="15"/>
        <v/>
      </c>
      <c r="H491" s="10" t="str">
        <f t="shared" si="16"/>
        <v/>
      </c>
    </row>
    <row r="492" spans="6:8" ht="19.5" x14ac:dyDescent="0.25">
      <c r="F492" s="8" t="str">
        <f t="shared" si="15"/>
        <v/>
      </c>
      <c r="H492" s="10" t="str">
        <f t="shared" si="16"/>
        <v/>
      </c>
    </row>
    <row r="493" spans="6:8" ht="19.5" x14ac:dyDescent="0.25">
      <c r="F493" s="8" t="str">
        <f t="shared" si="15"/>
        <v/>
      </c>
      <c r="H493" s="10" t="str">
        <f t="shared" si="16"/>
        <v/>
      </c>
    </row>
    <row r="494" spans="6:8" ht="19.5" x14ac:dyDescent="0.25">
      <c r="F494" s="8" t="str">
        <f t="shared" si="15"/>
        <v/>
      </c>
      <c r="H494" s="10" t="str">
        <f t="shared" si="16"/>
        <v/>
      </c>
    </row>
    <row r="495" spans="6:8" ht="19.5" x14ac:dyDescent="0.25">
      <c r="F495" s="8" t="str">
        <f t="shared" si="15"/>
        <v/>
      </c>
      <c r="H495" s="10" t="str">
        <f t="shared" si="16"/>
        <v/>
      </c>
    </row>
    <row r="496" spans="6:8" ht="19.5" x14ac:dyDescent="0.25">
      <c r="F496" s="8" t="str">
        <f t="shared" si="15"/>
        <v/>
      </c>
      <c r="H496" s="10" t="str">
        <f t="shared" si="16"/>
        <v/>
      </c>
    </row>
    <row r="497" spans="6:8" ht="19.5" x14ac:dyDescent="0.25">
      <c r="F497" s="8" t="str">
        <f t="shared" si="15"/>
        <v/>
      </c>
      <c r="H497" s="10" t="str">
        <f t="shared" si="16"/>
        <v/>
      </c>
    </row>
    <row r="498" spans="6:8" ht="19.5" x14ac:dyDescent="0.25">
      <c r="F498" s="8" t="str">
        <f t="shared" si="15"/>
        <v/>
      </c>
      <c r="H498" s="10" t="str">
        <f t="shared" si="16"/>
        <v/>
      </c>
    </row>
    <row r="499" spans="6:8" ht="19.5" x14ac:dyDescent="0.25">
      <c r="F499" s="8" t="str">
        <f t="shared" si="15"/>
        <v/>
      </c>
      <c r="H499" s="10" t="str">
        <f t="shared" si="16"/>
        <v/>
      </c>
    </row>
    <row r="500" spans="6:8" ht="19.5" x14ac:dyDescent="0.25">
      <c r="F500" s="8" t="str">
        <f t="shared" si="15"/>
        <v/>
      </c>
      <c r="H500" s="10" t="str">
        <f t="shared" si="16"/>
        <v/>
      </c>
    </row>
    <row r="501" spans="6:8" ht="19.5" x14ac:dyDescent="0.25">
      <c r="F501" s="8" t="str">
        <f t="shared" si="15"/>
        <v/>
      </c>
      <c r="H501" s="10" t="str">
        <f t="shared" si="16"/>
        <v/>
      </c>
    </row>
    <row r="502" spans="6:8" ht="19.5" x14ac:dyDescent="0.25">
      <c r="F502" s="8" t="str">
        <f t="shared" si="15"/>
        <v/>
      </c>
      <c r="H502" s="10" t="str">
        <f t="shared" si="16"/>
        <v/>
      </c>
    </row>
    <row r="503" spans="6:8" ht="19.5" x14ac:dyDescent="0.25">
      <c r="F503" s="8" t="str">
        <f t="shared" si="15"/>
        <v/>
      </c>
      <c r="H503" s="10" t="str">
        <f t="shared" si="16"/>
        <v/>
      </c>
    </row>
    <row r="504" spans="6:8" ht="19.5" x14ac:dyDescent="0.25">
      <c r="F504" s="8" t="str">
        <f t="shared" si="15"/>
        <v/>
      </c>
      <c r="H504" s="10" t="str">
        <f t="shared" si="16"/>
        <v/>
      </c>
    </row>
    <row r="505" spans="6:8" ht="19.5" x14ac:dyDescent="0.25">
      <c r="F505" s="8" t="str">
        <f t="shared" si="15"/>
        <v/>
      </c>
      <c r="H505" s="10" t="str">
        <f t="shared" si="16"/>
        <v/>
      </c>
    </row>
    <row r="506" spans="6:8" ht="19.5" x14ac:dyDescent="0.25">
      <c r="F506" s="8" t="str">
        <f t="shared" si="15"/>
        <v/>
      </c>
      <c r="H506" s="10" t="str">
        <f t="shared" si="16"/>
        <v/>
      </c>
    </row>
    <row r="507" spans="6:8" ht="19.5" x14ac:dyDescent="0.25">
      <c r="F507" s="8" t="str">
        <f t="shared" si="15"/>
        <v/>
      </c>
      <c r="H507" s="10" t="str">
        <f t="shared" si="16"/>
        <v/>
      </c>
    </row>
    <row r="508" spans="6:8" ht="19.5" x14ac:dyDescent="0.25">
      <c r="F508" s="8" t="str">
        <f t="shared" si="15"/>
        <v/>
      </c>
      <c r="H508" s="10" t="str">
        <f t="shared" si="16"/>
        <v/>
      </c>
    </row>
    <row r="509" spans="6:8" ht="19.5" x14ac:dyDescent="0.25">
      <c r="F509" s="8" t="str">
        <f t="shared" si="15"/>
        <v/>
      </c>
      <c r="H509" s="10" t="str">
        <f t="shared" si="16"/>
        <v/>
      </c>
    </row>
    <row r="510" spans="6:8" ht="19.5" x14ac:dyDescent="0.25">
      <c r="F510" s="8" t="str">
        <f t="shared" si="15"/>
        <v/>
      </c>
      <c r="H510" s="10" t="str">
        <f t="shared" si="16"/>
        <v/>
      </c>
    </row>
    <row r="511" spans="6:8" ht="19.5" x14ac:dyDescent="0.25">
      <c r="F511" s="8" t="str">
        <f t="shared" ref="F511:F574" si="17">IF(A511="", "", "gift-codes.html?game=" &amp; A511)</f>
        <v/>
      </c>
      <c r="H511" s="10" t="str">
        <f t="shared" ref="H511:H574" si="18">IF(A511="", "", "https://www.ssbuy.tw/game-detail.html?game="&amp;A511)</f>
        <v/>
      </c>
    </row>
    <row r="512" spans="6:8" ht="19.5" x14ac:dyDescent="0.25">
      <c r="F512" s="8" t="str">
        <f t="shared" si="17"/>
        <v/>
      </c>
      <c r="H512" s="10" t="str">
        <f t="shared" si="18"/>
        <v/>
      </c>
    </row>
    <row r="513" spans="6:8" ht="19.5" x14ac:dyDescent="0.25">
      <c r="F513" s="8" t="str">
        <f t="shared" si="17"/>
        <v/>
      </c>
      <c r="H513" s="10" t="str">
        <f t="shared" si="18"/>
        <v/>
      </c>
    </row>
    <row r="514" spans="6:8" ht="19.5" x14ac:dyDescent="0.25">
      <c r="F514" s="8" t="str">
        <f t="shared" si="17"/>
        <v/>
      </c>
      <c r="H514" s="10" t="str">
        <f t="shared" si="18"/>
        <v/>
      </c>
    </row>
    <row r="515" spans="6:8" ht="19.5" x14ac:dyDescent="0.25">
      <c r="F515" s="8" t="str">
        <f t="shared" si="17"/>
        <v/>
      </c>
      <c r="H515" s="10" t="str">
        <f t="shared" si="18"/>
        <v/>
      </c>
    </row>
    <row r="516" spans="6:8" ht="19.5" x14ac:dyDescent="0.25">
      <c r="F516" s="8" t="str">
        <f t="shared" si="17"/>
        <v/>
      </c>
      <c r="H516" s="10" t="str">
        <f t="shared" si="18"/>
        <v/>
      </c>
    </row>
    <row r="517" spans="6:8" ht="19.5" x14ac:dyDescent="0.25">
      <c r="F517" s="8" t="str">
        <f t="shared" si="17"/>
        <v/>
      </c>
      <c r="H517" s="10" t="str">
        <f t="shared" si="18"/>
        <v/>
      </c>
    </row>
    <row r="518" spans="6:8" ht="19.5" x14ac:dyDescent="0.25">
      <c r="F518" s="8" t="str">
        <f t="shared" si="17"/>
        <v/>
      </c>
      <c r="H518" s="10" t="str">
        <f t="shared" si="18"/>
        <v/>
      </c>
    </row>
    <row r="519" spans="6:8" ht="19.5" x14ac:dyDescent="0.25">
      <c r="F519" s="8" t="str">
        <f t="shared" si="17"/>
        <v/>
      </c>
      <c r="H519" s="10" t="str">
        <f t="shared" si="18"/>
        <v/>
      </c>
    </row>
    <row r="520" spans="6:8" ht="19.5" x14ac:dyDescent="0.25">
      <c r="F520" s="8" t="str">
        <f t="shared" si="17"/>
        <v/>
      </c>
      <c r="H520" s="10" t="str">
        <f t="shared" si="18"/>
        <v/>
      </c>
    </row>
    <row r="521" spans="6:8" ht="19.5" x14ac:dyDescent="0.25">
      <c r="F521" s="8" t="str">
        <f t="shared" si="17"/>
        <v/>
      </c>
      <c r="H521" s="10" t="str">
        <f t="shared" si="18"/>
        <v/>
      </c>
    </row>
    <row r="522" spans="6:8" ht="19.5" x14ac:dyDescent="0.25">
      <c r="F522" s="8" t="str">
        <f t="shared" si="17"/>
        <v/>
      </c>
      <c r="H522" s="10" t="str">
        <f t="shared" si="18"/>
        <v/>
      </c>
    </row>
    <row r="523" spans="6:8" ht="19.5" x14ac:dyDescent="0.25">
      <c r="F523" s="8" t="str">
        <f t="shared" si="17"/>
        <v/>
      </c>
      <c r="H523" s="10" t="str">
        <f t="shared" si="18"/>
        <v/>
      </c>
    </row>
    <row r="524" spans="6:8" ht="19.5" x14ac:dyDescent="0.25">
      <c r="F524" s="8" t="str">
        <f t="shared" si="17"/>
        <v/>
      </c>
      <c r="H524" s="10" t="str">
        <f t="shared" si="18"/>
        <v/>
      </c>
    </row>
    <row r="525" spans="6:8" ht="19.5" x14ac:dyDescent="0.25">
      <c r="F525" s="8" t="str">
        <f t="shared" si="17"/>
        <v/>
      </c>
      <c r="H525" s="10" t="str">
        <f t="shared" si="18"/>
        <v/>
      </c>
    </row>
    <row r="526" spans="6:8" ht="19.5" x14ac:dyDescent="0.25">
      <c r="F526" s="8" t="str">
        <f t="shared" si="17"/>
        <v/>
      </c>
      <c r="H526" s="10" t="str">
        <f t="shared" si="18"/>
        <v/>
      </c>
    </row>
    <row r="527" spans="6:8" ht="19.5" x14ac:dyDescent="0.25">
      <c r="F527" s="8" t="str">
        <f t="shared" si="17"/>
        <v/>
      </c>
      <c r="H527" s="10" t="str">
        <f t="shared" si="18"/>
        <v/>
      </c>
    </row>
    <row r="528" spans="6:8" ht="19.5" x14ac:dyDescent="0.25">
      <c r="F528" s="8" t="str">
        <f t="shared" si="17"/>
        <v/>
      </c>
      <c r="H528" s="10" t="str">
        <f t="shared" si="18"/>
        <v/>
      </c>
    </row>
    <row r="529" spans="6:8" ht="19.5" x14ac:dyDescent="0.25">
      <c r="F529" s="8" t="str">
        <f t="shared" si="17"/>
        <v/>
      </c>
      <c r="H529" s="10" t="str">
        <f t="shared" si="18"/>
        <v/>
      </c>
    </row>
    <row r="530" spans="6:8" ht="19.5" x14ac:dyDescent="0.25">
      <c r="F530" s="8" t="str">
        <f t="shared" si="17"/>
        <v/>
      </c>
      <c r="H530" s="10" t="str">
        <f t="shared" si="18"/>
        <v/>
      </c>
    </row>
    <row r="531" spans="6:8" ht="19.5" x14ac:dyDescent="0.25">
      <c r="F531" s="8" t="str">
        <f t="shared" si="17"/>
        <v/>
      </c>
      <c r="H531" s="10" t="str">
        <f t="shared" si="18"/>
        <v/>
      </c>
    </row>
    <row r="532" spans="6:8" ht="19.5" x14ac:dyDescent="0.25">
      <c r="F532" s="8" t="str">
        <f t="shared" si="17"/>
        <v/>
      </c>
      <c r="H532" s="10" t="str">
        <f t="shared" si="18"/>
        <v/>
      </c>
    </row>
    <row r="533" spans="6:8" ht="19.5" x14ac:dyDescent="0.25">
      <c r="F533" s="8" t="str">
        <f t="shared" si="17"/>
        <v/>
      </c>
      <c r="H533" s="10" t="str">
        <f t="shared" si="18"/>
        <v/>
      </c>
    </row>
    <row r="534" spans="6:8" ht="19.5" x14ac:dyDescent="0.25">
      <c r="F534" s="8" t="str">
        <f t="shared" si="17"/>
        <v/>
      </c>
      <c r="H534" s="10" t="str">
        <f t="shared" si="18"/>
        <v/>
      </c>
    </row>
    <row r="535" spans="6:8" ht="19.5" x14ac:dyDescent="0.25">
      <c r="F535" s="8" t="str">
        <f t="shared" si="17"/>
        <v/>
      </c>
      <c r="H535" s="10" t="str">
        <f t="shared" si="18"/>
        <v/>
      </c>
    </row>
    <row r="536" spans="6:8" ht="19.5" x14ac:dyDescent="0.25">
      <c r="F536" s="8" t="str">
        <f t="shared" si="17"/>
        <v/>
      </c>
      <c r="H536" s="10" t="str">
        <f t="shared" si="18"/>
        <v/>
      </c>
    </row>
    <row r="537" spans="6:8" ht="19.5" x14ac:dyDescent="0.25">
      <c r="F537" s="8" t="str">
        <f t="shared" si="17"/>
        <v/>
      </c>
      <c r="H537" s="10" t="str">
        <f t="shared" si="18"/>
        <v/>
      </c>
    </row>
    <row r="538" spans="6:8" ht="19.5" x14ac:dyDescent="0.25">
      <c r="F538" s="8" t="str">
        <f t="shared" si="17"/>
        <v/>
      </c>
      <c r="H538" s="10" t="str">
        <f t="shared" si="18"/>
        <v/>
      </c>
    </row>
    <row r="539" spans="6:8" ht="19.5" x14ac:dyDescent="0.25">
      <c r="F539" s="8" t="str">
        <f t="shared" si="17"/>
        <v/>
      </c>
      <c r="H539" s="10" t="str">
        <f t="shared" si="18"/>
        <v/>
      </c>
    </row>
    <row r="540" spans="6:8" ht="19.5" x14ac:dyDescent="0.25">
      <c r="F540" s="8" t="str">
        <f t="shared" si="17"/>
        <v/>
      </c>
      <c r="H540" s="10" t="str">
        <f t="shared" si="18"/>
        <v/>
      </c>
    </row>
    <row r="541" spans="6:8" ht="19.5" x14ac:dyDescent="0.25">
      <c r="F541" s="8" t="str">
        <f t="shared" si="17"/>
        <v/>
      </c>
      <c r="H541" s="10" t="str">
        <f t="shared" si="18"/>
        <v/>
      </c>
    </row>
    <row r="542" spans="6:8" ht="19.5" x14ac:dyDescent="0.25">
      <c r="F542" s="8" t="str">
        <f t="shared" si="17"/>
        <v/>
      </c>
      <c r="H542" s="10" t="str">
        <f t="shared" si="18"/>
        <v/>
      </c>
    </row>
    <row r="543" spans="6:8" ht="19.5" x14ac:dyDescent="0.25">
      <c r="F543" s="8" t="str">
        <f t="shared" si="17"/>
        <v/>
      </c>
      <c r="H543" s="10" t="str">
        <f t="shared" si="18"/>
        <v/>
      </c>
    </row>
    <row r="544" spans="6:8" ht="19.5" x14ac:dyDescent="0.25">
      <c r="F544" s="8" t="str">
        <f t="shared" si="17"/>
        <v/>
      </c>
      <c r="H544" s="10" t="str">
        <f t="shared" si="18"/>
        <v/>
      </c>
    </row>
    <row r="545" spans="6:8" ht="19.5" x14ac:dyDescent="0.25">
      <c r="F545" s="8" t="str">
        <f t="shared" si="17"/>
        <v/>
      </c>
      <c r="H545" s="10" t="str">
        <f t="shared" si="18"/>
        <v/>
      </c>
    </row>
    <row r="546" spans="6:8" ht="19.5" x14ac:dyDescent="0.25">
      <c r="F546" s="8" t="str">
        <f t="shared" si="17"/>
        <v/>
      </c>
      <c r="H546" s="10" t="str">
        <f t="shared" si="18"/>
        <v/>
      </c>
    </row>
    <row r="547" spans="6:8" ht="19.5" x14ac:dyDescent="0.25">
      <c r="F547" s="8" t="str">
        <f t="shared" si="17"/>
        <v/>
      </c>
      <c r="H547" s="10" t="str">
        <f t="shared" si="18"/>
        <v/>
      </c>
    </row>
    <row r="548" spans="6:8" ht="19.5" x14ac:dyDescent="0.25">
      <c r="F548" s="8" t="str">
        <f t="shared" si="17"/>
        <v/>
      </c>
      <c r="H548" s="10" t="str">
        <f t="shared" si="18"/>
        <v/>
      </c>
    </row>
    <row r="549" spans="6:8" ht="19.5" x14ac:dyDescent="0.25">
      <c r="F549" s="8" t="str">
        <f t="shared" si="17"/>
        <v/>
      </c>
      <c r="H549" s="10" t="str">
        <f t="shared" si="18"/>
        <v/>
      </c>
    </row>
    <row r="550" spans="6:8" ht="19.5" x14ac:dyDescent="0.25">
      <c r="F550" s="8" t="str">
        <f t="shared" si="17"/>
        <v/>
      </c>
      <c r="H550" s="10" t="str">
        <f t="shared" si="18"/>
        <v/>
      </c>
    </row>
    <row r="551" spans="6:8" ht="19.5" x14ac:dyDescent="0.25">
      <c r="F551" s="8" t="str">
        <f t="shared" si="17"/>
        <v/>
      </c>
      <c r="H551" s="10" t="str">
        <f t="shared" si="18"/>
        <v/>
      </c>
    </row>
    <row r="552" spans="6:8" ht="19.5" x14ac:dyDescent="0.25">
      <c r="F552" s="8" t="str">
        <f t="shared" si="17"/>
        <v/>
      </c>
      <c r="H552" s="10" t="str">
        <f t="shared" si="18"/>
        <v/>
      </c>
    </row>
    <row r="553" spans="6:8" ht="19.5" x14ac:dyDescent="0.25">
      <c r="F553" s="8" t="str">
        <f t="shared" si="17"/>
        <v/>
      </c>
      <c r="H553" s="10" t="str">
        <f t="shared" si="18"/>
        <v/>
      </c>
    </row>
    <row r="554" spans="6:8" ht="19.5" x14ac:dyDescent="0.25">
      <c r="F554" s="8" t="str">
        <f t="shared" si="17"/>
        <v/>
      </c>
      <c r="H554" s="10" t="str">
        <f t="shared" si="18"/>
        <v/>
      </c>
    </row>
    <row r="555" spans="6:8" ht="19.5" x14ac:dyDescent="0.25">
      <c r="F555" s="8" t="str">
        <f t="shared" si="17"/>
        <v/>
      </c>
      <c r="H555" s="10" t="str">
        <f t="shared" si="18"/>
        <v/>
      </c>
    </row>
    <row r="556" spans="6:8" ht="19.5" x14ac:dyDescent="0.25">
      <c r="F556" s="8" t="str">
        <f t="shared" si="17"/>
        <v/>
      </c>
      <c r="H556" s="10" t="str">
        <f t="shared" si="18"/>
        <v/>
      </c>
    </row>
    <row r="557" spans="6:8" ht="19.5" x14ac:dyDescent="0.25">
      <c r="F557" s="8" t="str">
        <f t="shared" si="17"/>
        <v/>
      </c>
      <c r="H557" s="10" t="str">
        <f t="shared" si="18"/>
        <v/>
      </c>
    </row>
    <row r="558" spans="6:8" ht="19.5" x14ac:dyDescent="0.25">
      <c r="F558" s="8" t="str">
        <f t="shared" si="17"/>
        <v/>
      </c>
      <c r="H558" s="10" t="str">
        <f t="shared" si="18"/>
        <v/>
      </c>
    </row>
    <row r="559" spans="6:8" ht="19.5" x14ac:dyDescent="0.25">
      <c r="F559" s="8" t="str">
        <f t="shared" si="17"/>
        <v/>
      </c>
      <c r="H559" s="10" t="str">
        <f t="shared" si="18"/>
        <v/>
      </c>
    </row>
    <row r="560" spans="6:8" ht="19.5" x14ac:dyDescent="0.25">
      <c r="F560" s="8" t="str">
        <f t="shared" si="17"/>
        <v/>
      </c>
      <c r="H560" s="10" t="str">
        <f t="shared" si="18"/>
        <v/>
      </c>
    </row>
    <row r="561" spans="6:8" ht="19.5" x14ac:dyDescent="0.25">
      <c r="F561" s="8" t="str">
        <f t="shared" si="17"/>
        <v/>
      </c>
      <c r="H561" s="10" t="str">
        <f t="shared" si="18"/>
        <v/>
      </c>
    </row>
    <row r="562" spans="6:8" ht="19.5" x14ac:dyDescent="0.25">
      <c r="F562" s="8" t="str">
        <f t="shared" si="17"/>
        <v/>
      </c>
      <c r="H562" s="10" t="str">
        <f t="shared" si="18"/>
        <v/>
      </c>
    </row>
    <row r="563" spans="6:8" ht="19.5" x14ac:dyDescent="0.25">
      <c r="F563" s="8" t="str">
        <f t="shared" si="17"/>
        <v/>
      </c>
      <c r="H563" s="10" t="str">
        <f t="shared" si="18"/>
        <v/>
      </c>
    </row>
    <row r="564" spans="6:8" ht="19.5" x14ac:dyDescent="0.25">
      <c r="F564" s="8" t="str">
        <f t="shared" si="17"/>
        <v/>
      </c>
      <c r="H564" s="10" t="str">
        <f t="shared" si="18"/>
        <v/>
      </c>
    </row>
    <row r="565" spans="6:8" ht="19.5" x14ac:dyDescent="0.25">
      <c r="F565" s="8" t="str">
        <f t="shared" si="17"/>
        <v/>
      </c>
      <c r="H565" s="10" t="str">
        <f t="shared" si="18"/>
        <v/>
      </c>
    </row>
    <row r="566" spans="6:8" ht="19.5" x14ac:dyDescent="0.25">
      <c r="F566" s="8" t="str">
        <f t="shared" si="17"/>
        <v/>
      </c>
      <c r="H566" s="10" t="str">
        <f t="shared" si="18"/>
        <v/>
      </c>
    </row>
    <row r="567" spans="6:8" ht="19.5" x14ac:dyDescent="0.25">
      <c r="F567" s="8" t="str">
        <f t="shared" si="17"/>
        <v/>
      </c>
      <c r="H567" s="10" t="str">
        <f t="shared" si="18"/>
        <v/>
      </c>
    </row>
    <row r="568" spans="6:8" ht="19.5" x14ac:dyDescent="0.25">
      <c r="F568" s="8" t="str">
        <f t="shared" si="17"/>
        <v/>
      </c>
      <c r="H568" s="10" t="str">
        <f t="shared" si="18"/>
        <v/>
      </c>
    </row>
    <row r="569" spans="6:8" ht="19.5" x14ac:dyDescent="0.25">
      <c r="F569" s="8" t="str">
        <f t="shared" si="17"/>
        <v/>
      </c>
      <c r="H569" s="10" t="str">
        <f t="shared" si="18"/>
        <v/>
      </c>
    </row>
    <row r="570" spans="6:8" ht="19.5" x14ac:dyDescent="0.25">
      <c r="F570" s="8" t="str">
        <f t="shared" si="17"/>
        <v/>
      </c>
      <c r="H570" s="10" t="str">
        <f t="shared" si="18"/>
        <v/>
      </c>
    </row>
    <row r="571" spans="6:8" ht="19.5" x14ac:dyDescent="0.25">
      <c r="F571" s="8" t="str">
        <f t="shared" si="17"/>
        <v/>
      </c>
      <c r="H571" s="10" t="str">
        <f t="shared" si="18"/>
        <v/>
      </c>
    </row>
    <row r="572" spans="6:8" ht="19.5" x14ac:dyDescent="0.25">
      <c r="F572" s="8" t="str">
        <f t="shared" si="17"/>
        <v/>
      </c>
      <c r="H572" s="10" t="str">
        <f t="shared" si="18"/>
        <v/>
      </c>
    </row>
    <row r="573" spans="6:8" ht="19.5" x14ac:dyDescent="0.25">
      <c r="F573" s="8" t="str">
        <f t="shared" si="17"/>
        <v/>
      </c>
      <c r="H573" s="10" t="str">
        <f t="shared" si="18"/>
        <v/>
      </c>
    </row>
    <row r="574" spans="6:8" ht="19.5" x14ac:dyDescent="0.25">
      <c r="F574" s="8" t="str">
        <f t="shared" si="17"/>
        <v/>
      </c>
      <c r="H574" s="10" t="str">
        <f t="shared" si="18"/>
        <v/>
      </c>
    </row>
    <row r="575" spans="6:8" ht="19.5" x14ac:dyDescent="0.25">
      <c r="F575" s="8" t="str">
        <f t="shared" ref="F575:F577" si="19">IF(A575="", "", "gift-codes.html?game=" &amp; A575)</f>
        <v/>
      </c>
      <c r="H575" s="10" t="str">
        <f t="shared" ref="H575:H633" si="20">IF(A575="", "", "https://www.ssbuy.tw/game-detail.html?game="&amp;A575)</f>
        <v/>
      </c>
    </row>
    <row r="576" spans="6:8" ht="19.5" x14ac:dyDescent="0.25">
      <c r="F576" s="8" t="str">
        <f t="shared" si="19"/>
        <v/>
      </c>
      <c r="H576" s="10" t="str">
        <f t="shared" si="20"/>
        <v/>
      </c>
    </row>
    <row r="577" spans="6:8" ht="19.5" x14ac:dyDescent="0.25">
      <c r="F577" s="8" t="str">
        <f t="shared" si="19"/>
        <v/>
      </c>
      <c r="H577" s="10" t="str">
        <f t="shared" si="20"/>
        <v/>
      </c>
    </row>
    <row r="578" spans="6:8" ht="19.5" x14ac:dyDescent="0.25">
      <c r="H578" s="10" t="str">
        <f t="shared" si="20"/>
        <v/>
      </c>
    </row>
    <row r="579" spans="6:8" ht="19.5" x14ac:dyDescent="0.25">
      <c r="H579" s="10" t="str">
        <f t="shared" si="20"/>
        <v/>
      </c>
    </row>
    <row r="580" spans="6:8" ht="19.5" x14ac:dyDescent="0.25">
      <c r="H580" s="10" t="str">
        <f t="shared" si="20"/>
        <v/>
      </c>
    </row>
    <row r="581" spans="6:8" ht="19.5" x14ac:dyDescent="0.25">
      <c r="H581" s="10" t="str">
        <f t="shared" si="20"/>
        <v/>
      </c>
    </row>
    <row r="582" spans="6:8" ht="19.5" x14ac:dyDescent="0.25">
      <c r="H582" s="10" t="str">
        <f t="shared" si="20"/>
        <v/>
      </c>
    </row>
    <row r="583" spans="6:8" ht="19.5" x14ac:dyDescent="0.25">
      <c r="H583" s="10" t="str">
        <f t="shared" si="20"/>
        <v/>
      </c>
    </row>
    <row r="584" spans="6:8" ht="19.5" x14ac:dyDescent="0.25">
      <c r="H584" s="10" t="str">
        <f t="shared" si="20"/>
        <v/>
      </c>
    </row>
    <row r="585" spans="6:8" ht="19.5" x14ac:dyDescent="0.25">
      <c r="H585" s="10" t="str">
        <f t="shared" si="20"/>
        <v/>
      </c>
    </row>
    <row r="586" spans="6:8" ht="19.5" x14ac:dyDescent="0.25">
      <c r="H586" s="10" t="str">
        <f t="shared" si="20"/>
        <v/>
      </c>
    </row>
    <row r="587" spans="6:8" ht="19.5" x14ac:dyDescent="0.25">
      <c r="H587" s="10" t="str">
        <f t="shared" si="20"/>
        <v/>
      </c>
    </row>
    <row r="588" spans="6:8" ht="19.5" x14ac:dyDescent="0.25">
      <c r="H588" s="10" t="str">
        <f t="shared" si="20"/>
        <v/>
      </c>
    </row>
    <row r="589" spans="6:8" ht="19.5" x14ac:dyDescent="0.25">
      <c r="H589" s="10" t="str">
        <f t="shared" si="20"/>
        <v/>
      </c>
    </row>
    <row r="590" spans="6:8" ht="19.5" x14ac:dyDescent="0.25">
      <c r="H590" s="10" t="str">
        <f t="shared" si="20"/>
        <v/>
      </c>
    </row>
    <row r="591" spans="6:8" ht="19.5" x14ac:dyDescent="0.25">
      <c r="H591" s="10" t="str">
        <f t="shared" si="20"/>
        <v/>
      </c>
    </row>
    <row r="592" spans="6:8" ht="19.5" x14ac:dyDescent="0.25">
      <c r="H592" s="10" t="str">
        <f t="shared" si="20"/>
        <v/>
      </c>
    </row>
    <row r="593" spans="8:8" ht="19.5" x14ac:dyDescent="0.25">
      <c r="H593" s="10" t="str">
        <f t="shared" si="20"/>
        <v/>
      </c>
    </row>
    <row r="594" spans="8:8" ht="19.5" x14ac:dyDescent="0.25">
      <c r="H594" s="10" t="str">
        <f t="shared" si="20"/>
        <v/>
      </c>
    </row>
    <row r="595" spans="8:8" ht="19.5" x14ac:dyDescent="0.25">
      <c r="H595" s="10" t="str">
        <f t="shared" si="20"/>
        <v/>
      </c>
    </row>
    <row r="596" spans="8:8" ht="19.5" x14ac:dyDescent="0.25">
      <c r="H596" s="10" t="str">
        <f t="shared" si="20"/>
        <v/>
      </c>
    </row>
    <row r="597" spans="8:8" ht="19.5" x14ac:dyDescent="0.25">
      <c r="H597" s="10" t="str">
        <f t="shared" si="20"/>
        <v/>
      </c>
    </row>
    <row r="598" spans="8:8" ht="19.5" x14ac:dyDescent="0.25">
      <c r="H598" s="10" t="str">
        <f t="shared" si="20"/>
        <v/>
      </c>
    </row>
    <row r="599" spans="8:8" ht="19.5" x14ac:dyDescent="0.25">
      <c r="H599" s="10" t="str">
        <f t="shared" si="20"/>
        <v/>
      </c>
    </row>
    <row r="600" spans="8:8" ht="19.5" x14ac:dyDescent="0.25">
      <c r="H600" s="10" t="str">
        <f t="shared" si="20"/>
        <v/>
      </c>
    </row>
    <row r="601" spans="8:8" ht="19.5" x14ac:dyDescent="0.25">
      <c r="H601" s="10" t="str">
        <f t="shared" si="20"/>
        <v/>
      </c>
    </row>
    <row r="602" spans="8:8" ht="19.5" x14ac:dyDescent="0.25">
      <c r="H602" s="10" t="str">
        <f t="shared" si="20"/>
        <v/>
      </c>
    </row>
    <row r="603" spans="8:8" ht="19.5" x14ac:dyDescent="0.25">
      <c r="H603" s="10" t="str">
        <f t="shared" si="20"/>
        <v/>
      </c>
    </row>
    <row r="604" spans="8:8" ht="19.5" x14ac:dyDescent="0.25">
      <c r="H604" s="10" t="str">
        <f t="shared" si="20"/>
        <v/>
      </c>
    </row>
    <row r="605" spans="8:8" ht="19.5" x14ac:dyDescent="0.25">
      <c r="H605" s="10" t="str">
        <f t="shared" si="20"/>
        <v/>
      </c>
    </row>
    <row r="606" spans="8:8" ht="19.5" x14ac:dyDescent="0.25">
      <c r="H606" s="10" t="str">
        <f t="shared" si="20"/>
        <v/>
      </c>
    </row>
    <row r="607" spans="8:8" ht="19.5" x14ac:dyDescent="0.25">
      <c r="H607" s="10" t="str">
        <f t="shared" si="20"/>
        <v/>
      </c>
    </row>
    <row r="608" spans="8:8" ht="19.5" x14ac:dyDescent="0.25">
      <c r="H608" s="10" t="str">
        <f t="shared" si="20"/>
        <v/>
      </c>
    </row>
    <row r="609" spans="8:8" ht="19.5" x14ac:dyDescent="0.25">
      <c r="H609" s="10" t="str">
        <f t="shared" si="20"/>
        <v/>
      </c>
    </row>
    <row r="610" spans="8:8" ht="19.5" x14ac:dyDescent="0.25">
      <c r="H610" s="10" t="str">
        <f t="shared" si="20"/>
        <v/>
      </c>
    </row>
    <row r="611" spans="8:8" ht="19.5" x14ac:dyDescent="0.25">
      <c r="H611" s="10" t="str">
        <f t="shared" si="20"/>
        <v/>
      </c>
    </row>
    <row r="612" spans="8:8" ht="19.5" x14ac:dyDescent="0.25">
      <c r="H612" s="10" t="str">
        <f t="shared" si="20"/>
        <v/>
      </c>
    </row>
    <row r="613" spans="8:8" ht="19.5" x14ac:dyDescent="0.25">
      <c r="H613" s="10" t="str">
        <f t="shared" si="20"/>
        <v/>
      </c>
    </row>
    <row r="614" spans="8:8" ht="19.5" x14ac:dyDescent="0.25">
      <c r="H614" s="10" t="str">
        <f t="shared" si="20"/>
        <v/>
      </c>
    </row>
    <row r="615" spans="8:8" ht="19.5" x14ac:dyDescent="0.25">
      <c r="H615" s="10" t="str">
        <f t="shared" si="20"/>
        <v/>
      </c>
    </row>
    <row r="616" spans="8:8" ht="19.5" x14ac:dyDescent="0.25">
      <c r="H616" s="10" t="str">
        <f t="shared" si="20"/>
        <v/>
      </c>
    </row>
    <row r="617" spans="8:8" ht="19.5" x14ac:dyDescent="0.25">
      <c r="H617" s="10" t="str">
        <f t="shared" si="20"/>
        <v/>
      </c>
    </row>
    <row r="618" spans="8:8" ht="19.5" x14ac:dyDescent="0.25">
      <c r="H618" s="10" t="str">
        <f t="shared" si="20"/>
        <v/>
      </c>
    </row>
    <row r="619" spans="8:8" ht="19.5" x14ac:dyDescent="0.25">
      <c r="H619" s="10" t="str">
        <f t="shared" si="20"/>
        <v/>
      </c>
    </row>
    <row r="620" spans="8:8" ht="19.5" x14ac:dyDescent="0.25">
      <c r="H620" s="10" t="str">
        <f t="shared" si="20"/>
        <v/>
      </c>
    </row>
    <row r="621" spans="8:8" ht="19.5" x14ac:dyDescent="0.25">
      <c r="H621" s="10" t="str">
        <f t="shared" si="20"/>
        <v/>
      </c>
    </row>
    <row r="622" spans="8:8" ht="19.5" x14ac:dyDescent="0.25">
      <c r="H622" s="10" t="str">
        <f t="shared" si="20"/>
        <v/>
      </c>
    </row>
    <row r="623" spans="8:8" ht="19.5" x14ac:dyDescent="0.25">
      <c r="H623" s="10" t="str">
        <f t="shared" si="20"/>
        <v/>
      </c>
    </row>
    <row r="624" spans="8:8" ht="19.5" x14ac:dyDescent="0.25">
      <c r="H624" s="10" t="str">
        <f t="shared" si="20"/>
        <v/>
      </c>
    </row>
    <row r="625" spans="8:8" ht="19.5" x14ac:dyDescent="0.25">
      <c r="H625" s="10" t="str">
        <f t="shared" si="20"/>
        <v/>
      </c>
    </row>
    <row r="626" spans="8:8" ht="19.5" x14ac:dyDescent="0.25">
      <c r="H626" s="10" t="str">
        <f t="shared" si="20"/>
        <v/>
      </c>
    </row>
    <row r="627" spans="8:8" ht="19.5" x14ac:dyDescent="0.25">
      <c r="H627" s="10" t="str">
        <f t="shared" si="20"/>
        <v/>
      </c>
    </row>
    <row r="628" spans="8:8" ht="19.5" x14ac:dyDescent="0.25">
      <c r="H628" s="10" t="str">
        <f t="shared" si="20"/>
        <v/>
      </c>
    </row>
    <row r="629" spans="8:8" ht="19.5" x14ac:dyDescent="0.25">
      <c r="H629" s="10" t="str">
        <f t="shared" si="20"/>
        <v/>
      </c>
    </row>
    <row r="630" spans="8:8" ht="19.5" x14ac:dyDescent="0.25">
      <c r="H630" s="10" t="str">
        <f t="shared" si="20"/>
        <v/>
      </c>
    </row>
    <row r="631" spans="8:8" ht="19.5" x14ac:dyDescent="0.25">
      <c r="H631" s="10" t="str">
        <f t="shared" si="20"/>
        <v/>
      </c>
    </row>
    <row r="632" spans="8:8" ht="19.5" x14ac:dyDescent="0.25">
      <c r="H632" s="10" t="str">
        <f t="shared" si="20"/>
        <v/>
      </c>
    </row>
    <row r="633" spans="8:8" ht="19.5" x14ac:dyDescent="0.25">
      <c r="H633" s="10" t="str">
        <f t="shared" si="20"/>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s>
  <pageMargins left="0.7" right="0.7" top="0.75" bottom="0.75" header="0.3" footer="0.3"/>
  <pageSetup paperSize="9" orientation="portrait" r:id="rId5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41"/>
  <sheetViews>
    <sheetView workbookViewId="0">
      <pane xSplit="1" ySplit="1" topLeftCell="B187" activePane="bottomRight" state="frozen"/>
      <selection pane="topRight" activeCell="B1" sqref="B1"/>
      <selection pane="bottomLeft" activeCell="A2" sqref="A2"/>
      <selection pane="bottomRight" activeCell="A197" sqref="A197"/>
    </sheetView>
  </sheetViews>
  <sheetFormatPr defaultColWidth="7.875" defaultRowHeight="19.5" x14ac:dyDescent="0.3"/>
  <cols>
    <col min="1" max="1" width="24.375" style="49" customWidth="1"/>
    <col min="2" max="4" width="19.75" style="49" customWidth="1"/>
    <col min="5" max="5" width="69.25" style="50" customWidth="1"/>
    <col min="6" max="6" width="16" style="70" customWidth="1"/>
    <col min="7" max="9" width="16" style="49" customWidth="1"/>
    <col min="10" max="10" width="16" style="50" customWidth="1"/>
    <col min="11" max="11" width="10.625" style="53" customWidth="1"/>
    <col min="12" max="12" width="10.625" style="49" customWidth="1"/>
    <col min="13" max="13" width="10.625" style="54" customWidth="1"/>
    <col min="14" max="14" width="10.625" style="49" customWidth="1"/>
    <col min="15" max="15" width="10.625" style="54" customWidth="1"/>
    <col min="16" max="16" width="10.625" style="49" customWidth="1"/>
    <col min="17" max="17" width="10.625" style="54" customWidth="1"/>
    <col min="18" max="18" width="10.625" style="49" customWidth="1"/>
    <col min="19" max="19" width="10.625" style="54" customWidth="1"/>
    <col min="20" max="20" width="10.625" style="49" customWidth="1"/>
    <col min="21" max="21" width="10.625" style="54" customWidth="1"/>
    <col min="22" max="22" width="10.625" style="49" customWidth="1"/>
    <col min="23" max="23" width="10.625" style="54" customWidth="1"/>
    <col min="24" max="24" width="10.625" style="49" customWidth="1"/>
    <col min="25" max="25" width="10.625" style="54" customWidth="1"/>
    <col min="26" max="26" width="10.625" style="49" customWidth="1"/>
    <col min="27" max="27" width="10.625" style="54" customWidth="1"/>
    <col min="28" max="28" width="10.625" style="49" customWidth="1"/>
    <col min="29" max="29" width="10.625" style="54" customWidth="1"/>
    <col min="30" max="30" width="10.625" style="49" customWidth="1"/>
    <col min="31" max="31" width="10.625" style="54" customWidth="1"/>
    <col min="32" max="32" width="10.625" style="49" customWidth="1"/>
    <col min="33" max="33" width="10.625" style="54" customWidth="1"/>
    <col min="34" max="34" width="10.625" style="49" customWidth="1"/>
    <col min="35" max="35" width="10.625" style="54" customWidth="1"/>
    <col min="36" max="36" width="7.875" style="49"/>
    <col min="37" max="37" width="7.875" style="54"/>
    <col min="38" max="38" width="7.875" style="49"/>
    <col min="39" max="39" width="7.875" style="54"/>
    <col min="40" max="40" width="7.875" style="49"/>
    <col min="41" max="41" width="7.875" style="54"/>
    <col min="42" max="42" width="7.875" style="49"/>
    <col min="43" max="43" width="7.875" style="54"/>
    <col min="44" max="44" width="7.875" style="49"/>
    <col min="45" max="45" width="7.875" style="54"/>
    <col min="46" max="46" width="7.875" style="49"/>
    <col min="47" max="47" width="7.875" style="54"/>
    <col min="48" max="48" width="7.875" style="49"/>
    <col min="49" max="49" width="7.875" style="54"/>
    <col min="50" max="16384" width="7.875" style="49"/>
  </cols>
  <sheetData>
    <row r="1" spans="1:50" s="43" customFormat="1" ht="22.5" customHeight="1" x14ac:dyDescent="0.3">
      <c r="A1" s="42" t="s">
        <v>327</v>
      </c>
      <c r="B1" s="42" t="s">
        <v>1706</v>
      </c>
      <c r="C1" s="42" t="s">
        <v>2669</v>
      </c>
      <c r="D1" s="43" t="s">
        <v>2670</v>
      </c>
      <c r="E1" s="44" t="s">
        <v>1707</v>
      </c>
      <c r="F1" s="45" t="s">
        <v>1708</v>
      </c>
      <c r="G1" s="42" t="s">
        <v>1709</v>
      </c>
      <c r="H1" s="42" t="s">
        <v>1710</v>
      </c>
      <c r="I1" s="42" t="s">
        <v>1711</v>
      </c>
      <c r="J1" s="44" t="s">
        <v>1712</v>
      </c>
      <c r="K1" s="46" t="s">
        <v>1713</v>
      </c>
      <c r="L1" s="42" t="s">
        <v>1714</v>
      </c>
      <c r="M1" s="47" t="s">
        <v>1715</v>
      </c>
      <c r="N1" s="42" t="s">
        <v>1716</v>
      </c>
      <c r="O1" s="47" t="s">
        <v>1717</v>
      </c>
      <c r="P1" s="42" t="s">
        <v>1718</v>
      </c>
      <c r="Q1" s="47" t="s">
        <v>1719</v>
      </c>
      <c r="R1" s="42" t="s">
        <v>1720</v>
      </c>
      <c r="S1" s="47" t="s">
        <v>1721</v>
      </c>
      <c r="T1" s="42" t="s">
        <v>1722</v>
      </c>
      <c r="U1" s="47" t="s">
        <v>1723</v>
      </c>
      <c r="V1" s="42" t="s">
        <v>1724</v>
      </c>
      <c r="W1" s="47" t="s">
        <v>2671</v>
      </c>
      <c r="X1" s="42" t="s">
        <v>2672</v>
      </c>
      <c r="Y1" s="47" t="s">
        <v>2673</v>
      </c>
      <c r="Z1" s="42" t="s">
        <v>2674</v>
      </c>
      <c r="AA1" s="47" t="s">
        <v>2675</v>
      </c>
      <c r="AB1" s="42" t="s">
        <v>2676</v>
      </c>
      <c r="AC1" s="47" t="s">
        <v>2677</v>
      </c>
      <c r="AD1" s="42" t="s">
        <v>1725</v>
      </c>
      <c r="AE1" s="47" t="s">
        <v>2678</v>
      </c>
      <c r="AF1" s="42" t="s">
        <v>2679</v>
      </c>
      <c r="AG1" s="47" t="s">
        <v>2680</v>
      </c>
      <c r="AH1" s="42" t="s">
        <v>1726</v>
      </c>
      <c r="AI1" s="47" t="s">
        <v>2681</v>
      </c>
      <c r="AJ1" s="42" t="s">
        <v>2682</v>
      </c>
      <c r="AK1" s="47" t="s">
        <v>2683</v>
      </c>
      <c r="AL1" s="42" t="s">
        <v>2684</v>
      </c>
      <c r="AM1" s="47" t="s">
        <v>2685</v>
      </c>
      <c r="AN1" s="42" t="s">
        <v>1727</v>
      </c>
      <c r="AO1" s="47" t="s">
        <v>2686</v>
      </c>
      <c r="AP1" s="42" t="s">
        <v>2687</v>
      </c>
      <c r="AQ1" s="47" t="s">
        <v>2688</v>
      </c>
      <c r="AR1" s="42" t="s">
        <v>2689</v>
      </c>
      <c r="AS1" s="47" t="s">
        <v>2690</v>
      </c>
      <c r="AT1" s="42" t="s">
        <v>2691</v>
      </c>
      <c r="AU1" s="47" t="s">
        <v>2692</v>
      </c>
      <c r="AV1" s="42" t="s">
        <v>2693</v>
      </c>
      <c r="AW1" s="47" t="s">
        <v>1728</v>
      </c>
      <c r="AX1" s="42" t="s">
        <v>1729</v>
      </c>
    </row>
    <row r="2" spans="1:50" ht="22.5" customHeight="1" x14ac:dyDescent="0.3">
      <c r="A2" s="48" t="s">
        <v>361</v>
      </c>
      <c r="B2" s="49" t="str">
        <f>"giftcodesbanner/" &amp; A2 &amp; "-bar.jpg"</f>
        <v>giftcodesbanner/巔峰極速-bar.jpg</v>
      </c>
      <c r="D2" s="49" t="str">
        <f t="shared" ref="D2:D65" si="0">"https://www.ssbuy.tw/gift-codes.html?game="&amp;A2</f>
        <v>https://www.ssbuy.tw/gift-codes.html?game=巔峰極速</v>
      </c>
      <c r="E2" s="50" t="s">
        <v>2694</v>
      </c>
      <c r="F2" s="51" t="s">
        <v>2695</v>
      </c>
      <c r="G2" s="52" t="s">
        <v>1731</v>
      </c>
      <c r="H2" s="52" t="s">
        <v>2696</v>
      </c>
      <c r="K2" s="53" t="s">
        <v>1732</v>
      </c>
      <c r="L2" s="49" t="s">
        <v>1733</v>
      </c>
      <c r="M2" s="54" t="s">
        <v>1734</v>
      </c>
      <c r="N2" s="49" t="s">
        <v>1733</v>
      </c>
      <c r="O2" s="54" t="s">
        <v>1735</v>
      </c>
      <c r="P2" s="49" t="s">
        <v>1733</v>
      </c>
      <c r="Q2" s="54" t="s">
        <v>1736</v>
      </c>
      <c r="R2" s="49" t="s">
        <v>1733</v>
      </c>
      <c r="S2" s="54" t="s">
        <v>1737</v>
      </c>
      <c r="T2" s="49" t="s">
        <v>1733</v>
      </c>
      <c r="U2" s="54" t="s">
        <v>1738</v>
      </c>
      <c r="V2" s="49" t="s">
        <v>1733</v>
      </c>
      <c r="W2" s="54" t="s">
        <v>1739</v>
      </c>
      <c r="X2" s="49" t="s">
        <v>1733</v>
      </c>
      <c r="Y2" s="54" t="s">
        <v>1740</v>
      </c>
      <c r="Z2" s="49" t="s">
        <v>1733</v>
      </c>
      <c r="AA2" s="54" t="s">
        <v>1741</v>
      </c>
      <c r="AB2" s="49" t="s">
        <v>1733</v>
      </c>
      <c r="AC2" s="54" t="s">
        <v>1742</v>
      </c>
      <c r="AD2" s="49" t="s">
        <v>1733</v>
      </c>
      <c r="AE2" s="54" t="s">
        <v>1743</v>
      </c>
      <c r="AF2" s="49" t="s">
        <v>1733</v>
      </c>
      <c r="AG2" s="54" t="s">
        <v>1744</v>
      </c>
      <c r="AH2" s="49" t="s">
        <v>1733</v>
      </c>
      <c r="AI2" s="54" t="s">
        <v>1745</v>
      </c>
      <c r="AJ2" s="49" t="s">
        <v>1733</v>
      </c>
      <c r="AK2" s="54" t="s">
        <v>1746</v>
      </c>
      <c r="AL2" s="49" t="s">
        <v>1733</v>
      </c>
      <c r="AM2" s="54" t="s">
        <v>1747</v>
      </c>
      <c r="AN2" s="49" t="s">
        <v>1733</v>
      </c>
      <c r="AO2" s="54" t="s">
        <v>1748</v>
      </c>
      <c r="AP2" s="49" t="s">
        <v>1733</v>
      </c>
      <c r="AQ2" s="54" t="s">
        <v>1749</v>
      </c>
      <c r="AR2" s="49" t="s">
        <v>1733</v>
      </c>
      <c r="AS2" s="54" t="s">
        <v>1750</v>
      </c>
      <c r="AT2" s="49" t="s">
        <v>1733</v>
      </c>
      <c r="AU2" s="54" t="s">
        <v>1751</v>
      </c>
      <c r="AV2" s="49" t="s">
        <v>1733</v>
      </c>
    </row>
    <row r="3" spans="1:50" ht="22.5" customHeight="1" x14ac:dyDescent="0.3">
      <c r="A3" s="48" t="s">
        <v>376</v>
      </c>
      <c r="B3" s="49" t="str">
        <f t="shared" ref="B3:B66" si="1">"giftcodesbanner/" &amp; A3 &amp; "-bar.jpg"</f>
        <v>giftcodesbanner/原神-bar.jpg</v>
      </c>
      <c r="D3" s="49" t="str">
        <f t="shared" si="0"/>
        <v>https://www.ssbuy.tw/gift-codes.html?game=原神</v>
      </c>
      <c r="E3" s="50" t="s">
        <v>2697</v>
      </c>
      <c r="F3" s="51" t="s">
        <v>2695</v>
      </c>
      <c r="G3" s="52" t="s">
        <v>1731</v>
      </c>
      <c r="H3" s="52" t="s">
        <v>2698</v>
      </c>
      <c r="K3" s="53" t="s">
        <v>1752</v>
      </c>
      <c r="L3" s="49" t="s">
        <v>1753</v>
      </c>
      <c r="M3" s="54" t="s">
        <v>1754</v>
      </c>
      <c r="N3" s="49" t="s">
        <v>1755</v>
      </c>
      <c r="O3" s="54" t="s">
        <v>1756</v>
      </c>
      <c r="P3" s="49" t="s">
        <v>1757</v>
      </c>
      <c r="Q3" s="54" t="s">
        <v>1758</v>
      </c>
      <c r="R3" s="49" t="s">
        <v>1759</v>
      </c>
    </row>
    <row r="4" spans="1:50" ht="22.5" customHeight="1" x14ac:dyDescent="0.3">
      <c r="A4" s="48" t="s">
        <v>2699</v>
      </c>
      <c r="B4" s="49" t="str">
        <f t="shared" si="1"/>
        <v>giftcodesbanner/極速快感-bar.jpg</v>
      </c>
      <c r="D4" s="49" t="str">
        <f t="shared" si="0"/>
        <v>https://www.ssbuy.tw/gift-codes.html?game=極速快感</v>
      </c>
      <c r="F4" s="51" t="s">
        <v>2700</v>
      </c>
      <c r="G4" s="52" t="s">
        <v>1731</v>
      </c>
      <c r="H4" s="52" t="s">
        <v>2701</v>
      </c>
      <c r="K4" s="53" t="s">
        <v>1761</v>
      </c>
      <c r="L4" s="49" t="s">
        <v>1762</v>
      </c>
      <c r="M4" s="54" t="s">
        <v>1763</v>
      </c>
      <c r="N4" s="49" t="s">
        <v>1764</v>
      </c>
      <c r="O4" s="54" t="s">
        <v>1765</v>
      </c>
      <c r="P4" s="49" t="s">
        <v>1733</v>
      </c>
      <c r="Q4" s="54" t="s">
        <v>1766</v>
      </c>
      <c r="R4" s="49" t="s">
        <v>1733</v>
      </c>
    </row>
    <row r="5" spans="1:50" ht="22.5" customHeight="1" x14ac:dyDescent="0.3">
      <c r="A5" s="55" t="s">
        <v>401</v>
      </c>
      <c r="B5" s="49" t="str">
        <f t="shared" si="1"/>
        <v>giftcodesbanner/俠客傳說：小小英雄-bar.jpg</v>
      </c>
      <c r="D5" s="49" t="str">
        <f t="shared" si="0"/>
        <v>https://www.ssbuy.tw/gift-codes.html?game=俠客傳說：小小英雄</v>
      </c>
      <c r="E5" s="50" t="s">
        <v>402</v>
      </c>
      <c r="F5" s="51" t="s">
        <v>1760</v>
      </c>
      <c r="G5" s="52" t="s">
        <v>1731</v>
      </c>
      <c r="H5" s="52" t="s">
        <v>1860</v>
      </c>
      <c r="K5" s="53" t="s">
        <v>1767</v>
      </c>
      <c r="L5" s="49" t="s">
        <v>1733</v>
      </c>
      <c r="M5" s="54" t="s">
        <v>1768</v>
      </c>
      <c r="N5" s="49" t="s">
        <v>1733</v>
      </c>
      <c r="O5" s="54" t="s">
        <v>1769</v>
      </c>
      <c r="P5" s="49" t="s">
        <v>1733</v>
      </c>
      <c r="Q5" s="54" t="s">
        <v>1770</v>
      </c>
      <c r="R5" s="49" t="s">
        <v>1733</v>
      </c>
      <c r="S5" s="54" t="s">
        <v>1771</v>
      </c>
      <c r="T5" s="49" t="s">
        <v>1733</v>
      </c>
      <c r="U5" s="54" t="s">
        <v>1772</v>
      </c>
      <c r="V5" s="49" t="s">
        <v>1733</v>
      </c>
      <c r="W5" s="54" t="s">
        <v>1773</v>
      </c>
      <c r="X5" s="49" t="s">
        <v>1733</v>
      </c>
      <c r="Y5" s="56" t="s">
        <v>1774</v>
      </c>
      <c r="Z5" s="49" t="s">
        <v>1733</v>
      </c>
      <c r="AA5" s="54" t="s">
        <v>1775</v>
      </c>
      <c r="AB5" s="49" t="s">
        <v>1733</v>
      </c>
      <c r="AC5" s="54" t="s">
        <v>1776</v>
      </c>
      <c r="AD5" s="49" t="s">
        <v>1733</v>
      </c>
      <c r="AE5" s="54" t="s">
        <v>1777</v>
      </c>
      <c r="AF5" s="49" t="s">
        <v>1733</v>
      </c>
      <c r="AG5" s="54" t="s">
        <v>1778</v>
      </c>
      <c r="AH5" s="49" t="s">
        <v>1733</v>
      </c>
      <c r="AI5" s="54" t="s">
        <v>1779</v>
      </c>
      <c r="AJ5" s="49" t="s">
        <v>1733</v>
      </c>
    </row>
    <row r="6" spans="1:50" ht="22.5" customHeight="1" x14ac:dyDescent="0.3">
      <c r="A6" s="55" t="s">
        <v>2702</v>
      </c>
      <c r="B6" s="49" t="str">
        <f t="shared" si="1"/>
        <v>giftcodesbanner/逆水寒-bar.jpg</v>
      </c>
      <c r="D6" s="49" t="str">
        <f t="shared" si="0"/>
        <v>https://www.ssbuy.tw/gift-codes.html?game=逆水寒</v>
      </c>
      <c r="E6" s="50" t="s">
        <v>411</v>
      </c>
      <c r="F6" s="51" t="s">
        <v>2700</v>
      </c>
      <c r="G6" s="52" t="s">
        <v>1731</v>
      </c>
      <c r="H6" s="52" t="s">
        <v>2701</v>
      </c>
      <c r="K6" s="53" t="s">
        <v>1780</v>
      </c>
      <c r="L6" s="49" t="s">
        <v>1781</v>
      </c>
    </row>
    <row r="7" spans="1:50" ht="22.5" customHeight="1" x14ac:dyDescent="0.3">
      <c r="A7" s="55" t="s">
        <v>418</v>
      </c>
      <c r="B7" s="49" t="str">
        <f t="shared" si="1"/>
        <v>giftcodesbanner/RO仙境傳說：一定要可愛-bar.jpg</v>
      </c>
      <c r="D7" s="49" t="str">
        <f t="shared" si="0"/>
        <v>https://www.ssbuy.tw/gift-codes.html?game=RO仙境傳說：一定要可愛</v>
      </c>
      <c r="E7" s="50" t="s">
        <v>2703</v>
      </c>
      <c r="F7" s="51" t="s">
        <v>1730</v>
      </c>
      <c r="G7" s="52" t="s">
        <v>1731</v>
      </c>
      <c r="H7" s="52" t="s">
        <v>2701</v>
      </c>
      <c r="K7" s="53" t="s">
        <v>1782</v>
      </c>
      <c r="L7" s="49" t="s">
        <v>1783</v>
      </c>
      <c r="M7" s="54" t="s">
        <v>1784</v>
      </c>
      <c r="N7" s="49" t="s">
        <v>1785</v>
      </c>
      <c r="O7" s="54" t="s">
        <v>1786</v>
      </c>
      <c r="P7" s="49" t="s">
        <v>1787</v>
      </c>
      <c r="Q7" s="54" t="s">
        <v>1788</v>
      </c>
      <c r="R7" s="49" t="s">
        <v>1787</v>
      </c>
      <c r="S7" s="54" t="s">
        <v>1782</v>
      </c>
      <c r="T7" s="49" t="s">
        <v>1789</v>
      </c>
      <c r="U7" s="54" t="s">
        <v>1790</v>
      </c>
      <c r="V7" s="49" t="s">
        <v>1791</v>
      </c>
      <c r="W7" s="54" t="s">
        <v>1792</v>
      </c>
      <c r="X7" s="49" t="s">
        <v>2704</v>
      </c>
    </row>
    <row r="8" spans="1:50" ht="22.5" customHeight="1" x14ac:dyDescent="0.3">
      <c r="A8" s="55" t="s">
        <v>427</v>
      </c>
      <c r="B8" s="49" t="str">
        <f t="shared" si="1"/>
        <v>giftcodesbanner/RO新世代-bar.jpg</v>
      </c>
      <c r="D8" s="49" t="str">
        <f t="shared" si="0"/>
        <v>https://www.ssbuy.tw/gift-codes.html?game=RO新世代</v>
      </c>
      <c r="E8" s="50" t="s">
        <v>428</v>
      </c>
      <c r="F8" s="51" t="s">
        <v>2695</v>
      </c>
      <c r="G8" s="52" t="s">
        <v>1731</v>
      </c>
      <c r="H8" s="52" t="s">
        <v>2701</v>
      </c>
      <c r="K8" s="53" t="s">
        <v>1793</v>
      </c>
      <c r="L8" s="49" t="s">
        <v>1733</v>
      </c>
      <c r="M8" s="54" t="s">
        <v>1794</v>
      </c>
      <c r="N8" s="49" t="s">
        <v>1733</v>
      </c>
      <c r="O8" s="54" t="s">
        <v>1795</v>
      </c>
      <c r="P8" s="49" t="s">
        <v>1733</v>
      </c>
      <c r="Q8" s="54" t="s">
        <v>1796</v>
      </c>
      <c r="R8" s="49" t="s">
        <v>1733</v>
      </c>
      <c r="S8" s="54" t="s">
        <v>1797</v>
      </c>
      <c r="T8" s="49" t="s">
        <v>1733</v>
      </c>
      <c r="U8" s="54" t="s">
        <v>1798</v>
      </c>
      <c r="V8" s="49" t="s">
        <v>1733</v>
      </c>
    </row>
    <row r="9" spans="1:50" ht="22.5" customHeight="1" x14ac:dyDescent="0.3">
      <c r="A9" s="55" t="s">
        <v>436</v>
      </c>
      <c r="B9" s="49" t="str">
        <f t="shared" si="1"/>
        <v>giftcodesbanner/上古：龍神覺醒-bar.jpg</v>
      </c>
      <c r="D9" s="49" t="str">
        <f t="shared" si="0"/>
        <v>https://www.ssbuy.tw/gift-codes.html?game=上古：龍神覺醒</v>
      </c>
      <c r="E9" s="50" t="s">
        <v>437</v>
      </c>
      <c r="F9" s="51" t="s">
        <v>1760</v>
      </c>
      <c r="G9" s="52" t="s">
        <v>1731</v>
      </c>
      <c r="H9" s="52" t="s">
        <v>2701</v>
      </c>
      <c r="K9" s="53" t="s">
        <v>1799</v>
      </c>
      <c r="L9" s="49" t="s">
        <v>1733</v>
      </c>
      <c r="M9" s="54" t="s">
        <v>1800</v>
      </c>
      <c r="N9" s="49" t="s">
        <v>1733</v>
      </c>
      <c r="O9" s="54" t="s">
        <v>1801</v>
      </c>
      <c r="P9" s="49" t="s">
        <v>1733</v>
      </c>
      <c r="Q9" s="54" t="s">
        <v>1802</v>
      </c>
      <c r="R9" s="49" t="s">
        <v>1733</v>
      </c>
      <c r="S9" s="54" t="s">
        <v>1734</v>
      </c>
      <c r="T9" s="49" t="s">
        <v>1733</v>
      </c>
      <c r="U9" s="54" t="s">
        <v>1735</v>
      </c>
      <c r="V9" s="49" t="s">
        <v>1733</v>
      </c>
      <c r="W9" s="54" t="s">
        <v>1803</v>
      </c>
      <c r="X9" s="49" t="s">
        <v>1733</v>
      </c>
      <c r="Y9" s="54" t="s">
        <v>1804</v>
      </c>
      <c r="Z9" s="49" t="s">
        <v>1733</v>
      </c>
      <c r="AA9" s="54" t="s">
        <v>1805</v>
      </c>
      <c r="AB9" s="49" t="s">
        <v>1733</v>
      </c>
      <c r="AC9" s="54" t="s">
        <v>1806</v>
      </c>
      <c r="AD9" s="49" t="s">
        <v>1733</v>
      </c>
      <c r="AE9" s="54" t="s">
        <v>1807</v>
      </c>
      <c r="AF9" s="49" t="s">
        <v>1733</v>
      </c>
      <c r="AG9" s="54" t="s">
        <v>1808</v>
      </c>
      <c r="AH9" s="49" t="s">
        <v>1733</v>
      </c>
    </row>
    <row r="10" spans="1:50" ht="22.5" customHeight="1" x14ac:dyDescent="0.3">
      <c r="A10" s="55" t="s">
        <v>446</v>
      </c>
      <c r="B10" s="49" t="str">
        <f t="shared" si="1"/>
        <v>giftcodesbanner/小艦艦超勇-bar.jpg</v>
      </c>
      <c r="D10" s="49" t="str">
        <f t="shared" si="0"/>
        <v>https://www.ssbuy.tw/gift-codes.html?game=小艦艦超勇</v>
      </c>
      <c r="E10" s="50" t="s">
        <v>447</v>
      </c>
      <c r="F10" s="51" t="s">
        <v>2700</v>
      </c>
      <c r="G10" s="52" t="s">
        <v>1731</v>
      </c>
      <c r="H10" s="52" t="s">
        <v>2701</v>
      </c>
      <c r="K10" s="53" t="s">
        <v>1809</v>
      </c>
      <c r="L10" s="49" t="s">
        <v>1733</v>
      </c>
      <c r="M10" s="54" t="s">
        <v>1810</v>
      </c>
      <c r="N10" s="49" t="s">
        <v>1733</v>
      </c>
      <c r="O10" s="54" t="s">
        <v>1811</v>
      </c>
      <c r="P10" s="49" t="s">
        <v>1733</v>
      </c>
      <c r="Q10" s="54" t="s">
        <v>1812</v>
      </c>
      <c r="R10" s="49" t="s">
        <v>1733</v>
      </c>
      <c r="S10" s="54" t="s">
        <v>1813</v>
      </c>
      <c r="T10" s="49" t="s">
        <v>1733</v>
      </c>
      <c r="U10" s="54" t="s">
        <v>1734</v>
      </c>
      <c r="V10" s="49" t="s">
        <v>1733</v>
      </c>
      <c r="W10" s="54" t="s">
        <v>1735</v>
      </c>
      <c r="X10" s="49" t="s">
        <v>1733</v>
      </c>
      <c r="Y10" s="54" t="s">
        <v>1814</v>
      </c>
      <c r="Z10" s="49" t="s">
        <v>1733</v>
      </c>
    </row>
    <row r="11" spans="1:50" ht="22.5" customHeight="1" x14ac:dyDescent="0.3">
      <c r="A11" s="55" t="s">
        <v>454</v>
      </c>
      <c r="B11" s="49" t="str">
        <f t="shared" si="1"/>
        <v>giftcodesbanner/天使軍團-bar.jpg</v>
      </c>
      <c r="D11" s="49" t="str">
        <f t="shared" si="0"/>
        <v>https://www.ssbuy.tw/gift-codes.html?game=天使軍團</v>
      </c>
      <c r="E11" s="50" t="s">
        <v>455</v>
      </c>
      <c r="F11" s="51" t="s">
        <v>2700</v>
      </c>
      <c r="G11" s="52" t="s">
        <v>1731</v>
      </c>
      <c r="H11" s="52" t="s">
        <v>2701</v>
      </c>
      <c r="K11" s="53" t="s">
        <v>1815</v>
      </c>
      <c r="L11" s="49" t="s">
        <v>1733</v>
      </c>
      <c r="M11" s="54" t="s">
        <v>1816</v>
      </c>
      <c r="N11" s="49" t="s">
        <v>1733</v>
      </c>
      <c r="O11" s="54" t="s">
        <v>1817</v>
      </c>
      <c r="P11" s="49" t="s">
        <v>1733</v>
      </c>
    </row>
    <row r="12" spans="1:50" ht="22.5" customHeight="1" x14ac:dyDescent="0.3">
      <c r="A12" s="55" t="s">
        <v>462</v>
      </c>
      <c r="B12" s="49" t="str">
        <f t="shared" si="1"/>
        <v>giftcodesbanner/天堂W-bar.jpg</v>
      </c>
      <c r="D12" s="49" t="str">
        <f t="shared" si="0"/>
        <v>https://www.ssbuy.tw/gift-codes.html?game=天堂W</v>
      </c>
      <c r="E12" s="50" t="s">
        <v>463</v>
      </c>
      <c r="F12" s="51" t="s">
        <v>1760</v>
      </c>
      <c r="G12" s="52" t="s">
        <v>1731</v>
      </c>
      <c r="H12" s="52" t="s">
        <v>1860</v>
      </c>
      <c r="K12" s="53" t="s">
        <v>1818</v>
      </c>
      <c r="L12" s="49" t="s">
        <v>1733</v>
      </c>
      <c r="M12" s="54" t="s">
        <v>1819</v>
      </c>
      <c r="N12" s="49" t="s">
        <v>1733</v>
      </c>
    </row>
    <row r="13" spans="1:50" ht="22.5" customHeight="1" x14ac:dyDescent="0.3">
      <c r="A13" s="55" t="s">
        <v>469</v>
      </c>
      <c r="B13" s="49" t="str">
        <f t="shared" si="1"/>
        <v>giftcodesbanner/少女前線2：追放-bar.jpg</v>
      </c>
      <c r="D13" s="49" t="str">
        <f t="shared" si="0"/>
        <v>https://www.ssbuy.tw/gift-codes.html?game=少女前線2：追放</v>
      </c>
      <c r="E13" s="50" t="s">
        <v>470</v>
      </c>
      <c r="F13" s="51" t="s">
        <v>2700</v>
      </c>
      <c r="G13" s="52" t="s">
        <v>1731</v>
      </c>
      <c r="H13" s="52" t="s">
        <v>2701</v>
      </c>
      <c r="K13" s="53" t="s">
        <v>1820</v>
      </c>
      <c r="L13" s="49" t="s">
        <v>1821</v>
      </c>
      <c r="M13" s="54" t="s">
        <v>1822</v>
      </c>
      <c r="N13" s="49" t="s">
        <v>1821</v>
      </c>
      <c r="O13" s="54" t="s">
        <v>1823</v>
      </c>
      <c r="P13" s="49" t="s">
        <v>1824</v>
      </c>
      <c r="Q13" s="54" t="s">
        <v>1825</v>
      </c>
      <c r="R13" s="49" t="s">
        <v>1821</v>
      </c>
      <c r="S13" s="54" t="s">
        <v>1826</v>
      </c>
      <c r="T13" s="49" t="s">
        <v>1733</v>
      </c>
      <c r="U13" s="54" t="s">
        <v>1827</v>
      </c>
      <c r="V13" s="49" t="s">
        <v>1828</v>
      </c>
      <c r="W13" s="54" t="s">
        <v>1829</v>
      </c>
      <c r="X13" s="49" t="s">
        <v>1830</v>
      </c>
      <c r="Y13" s="54" t="s">
        <v>1831</v>
      </c>
      <c r="Z13" s="49" t="s">
        <v>1832</v>
      </c>
    </row>
    <row r="14" spans="1:50" ht="22.5" customHeight="1" x14ac:dyDescent="0.3">
      <c r="A14" s="55" t="s">
        <v>2705</v>
      </c>
      <c r="B14" s="49" t="str">
        <f t="shared" si="1"/>
        <v>giftcodesbanner/幻獸傳說Ｍ-bar.jpg</v>
      </c>
      <c r="D14" s="49" t="str">
        <f t="shared" si="0"/>
        <v>https://www.ssbuy.tw/gift-codes.html?game=幻獸傳說Ｍ</v>
      </c>
      <c r="E14" s="50" t="s">
        <v>2706</v>
      </c>
      <c r="F14" s="51" t="s">
        <v>2700</v>
      </c>
      <c r="G14" s="52" t="s">
        <v>1731</v>
      </c>
      <c r="H14" s="52" t="s">
        <v>2701</v>
      </c>
      <c r="K14" s="53" t="s">
        <v>1833</v>
      </c>
      <c r="L14" s="49" t="s">
        <v>1733</v>
      </c>
      <c r="M14" s="54" t="s">
        <v>1834</v>
      </c>
      <c r="N14" s="49" t="s">
        <v>1733</v>
      </c>
      <c r="O14" s="54" t="s">
        <v>1835</v>
      </c>
      <c r="P14" s="49" t="s">
        <v>1733</v>
      </c>
      <c r="Q14" s="54" t="s">
        <v>1836</v>
      </c>
      <c r="R14" s="49" t="s">
        <v>1733</v>
      </c>
      <c r="S14" s="54" t="s">
        <v>1837</v>
      </c>
      <c r="T14" s="49" t="s">
        <v>1733</v>
      </c>
      <c r="U14" s="54" t="s">
        <v>1838</v>
      </c>
      <c r="V14" s="49" t="s">
        <v>1733</v>
      </c>
      <c r="W14" s="54" t="s">
        <v>1839</v>
      </c>
      <c r="X14" s="49" t="s">
        <v>1733</v>
      </c>
      <c r="Y14" s="54" t="s">
        <v>1802</v>
      </c>
      <c r="Z14" s="49" t="s">
        <v>1733</v>
      </c>
      <c r="AA14" s="54" t="s">
        <v>1734</v>
      </c>
      <c r="AB14" s="49" t="s">
        <v>1733</v>
      </c>
      <c r="AC14" s="54" t="s">
        <v>1735</v>
      </c>
      <c r="AD14" s="49" t="s">
        <v>1733</v>
      </c>
      <c r="AE14" s="54" t="s">
        <v>1840</v>
      </c>
      <c r="AF14" s="49" t="s">
        <v>1733</v>
      </c>
      <c r="AG14" s="54" t="s">
        <v>1841</v>
      </c>
      <c r="AH14" s="49" t="s">
        <v>1733</v>
      </c>
    </row>
    <row r="15" spans="1:50" ht="22.5" customHeight="1" x14ac:dyDescent="0.3">
      <c r="A15" s="55" t="s">
        <v>2707</v>
      </c>
      <c r="B15" s="49" t="str">
        <f t="shared" si="1"/>
        <v>giftcodesbanner/未定事件簿-bar.jpg</v>
      </c>
      <c r="D15" s="49" t="str">
        <f t="shared" si="0"/>
        <v>https://www.ssbuy.tw/gift-codes.html?game=未定事件簿</v>
      </c>
      <c r="E15" s="50" t="s">
        <v>2708</v>
      </c>
      <c r="F15" s="51" t="s">
        <v>2700</v>
      </c>
      <c r="G15" s="52" t="s">
        <v>1731</v>
      </c>
      <c r="H15" s="52" t="s">
        <v>2701</v>
      </c>
      <c r="K15" s="53" t="s">
        <v>1842</v>
      </c>
      <c r="L15" s="49" t="s">
        <v>1843</v>
      </c>
      <c r="M15" s="54" t="s">
        <v>1844</v>
      </c>
      <c r="N15" s="49" t="s">
        <v>1845</v>
      </c>
      <c r="O15" s="54" t="s">
        <v>1846</v>
      </c>
      <c r="P15" s="49" t="s">
        <v>1847</v>
      </c>
      <c r="Q15" s="54" t="s">
        <v>1848</v>
      </c>
      <c r="R15" s="49" t="s">
        <v>1849</v>
      </c>
      <c r="S15" s="54" t="s">
        <v>1850</v>
      </c>
      <c r="T15" s="49" t="s">
        <v>1851</v>
      </c>
    </row>
    <row r="16" spans="1:50" ht="22.5" customHeight="1" x14ac:dyDescent="0.3">
      <c r="A16" s="55" t="s">
        <v>496</v>
      </c>
      <c r="B16" s="49" t="str">
        <f t="shared" si="1"/>
        <v>giftcodesbanner/永恆靈魂-bar.jpg</v>
      </c>
      <c r="D16" s="49" t="str">
        <f t="shared" si="0"/>
        <v>https://www.ssbuy.tw/gift-codes.html?game=永恆靈魂</v>
      </c>
      <c r="E16" s="57" t="s">
        <v>2709</v>
      </c>
      <c r="F16" s="51" t="s">
        <v>2700</v>
      </c>
      <c r="G16" s="52" t="s">
        <v>1731</v>
      </c>
      <c r="H16" s="52" t="s">
        <v>2701</v>
      </c>
      <c r="K16" s="53" t="s">
        <v>1852</v>
      </c>
      <c r="L16" s="49" t="s">
        <v>1853</v>
      </c>
    </row>
    <row r="17" spans="1:32" ht="22.5" customHeight="1" x14ac:dyDescent="0.3">
      <c r="A17" s="55" t="s">
        <v>503</v>
      </c>
      <c r="B17" s="49" t="str">
        <f t="shared" si="1"/>
        <v>giftcodesbanner/守住呀主公-bar.jpg</v>
      </c>
      <c r="D17" s="49" t="str">
        <f t="shared" si="0"/>
        <v>https://www.ssbuy.tw/gift-codes.html?game=守住呀主公</v>
      </c>
      <c r="E17" s="50" t="s">
        <v>2710</v>
      </c>
      <c r="F17" s="51" t="s">
        <v>2711</v>
      </c>
      <c r="G17" s="52" t="s">
        <v>1731</v>
      </c>
      <c r="H17" s="52" t="s">
        <v>2701</v>
      </c>
      <c r="K17" s="53" t="s">
        <v>1802</v>
      </c>
      <c r="L17" s="49" t="s">
        <v>1733</v>
      </c>
      <c r="M17" s="54" t="s">
        <v>1735</v>
      </c>
      <c r="N17" s="49" t="s">
        <v>1733</v>
      </c>
      <c r="O17" s="54" t="s">
        <v>1854</v>
      </c>
      <c r="P17" s="49" t="s">
        <v>1733</v>
      </c>
      <c r="Q17" s="54" t="s">
        <v>1855</v>
      </c>
      <c r="R17" s="49" t="s">
        <v>1733</v>
      </c>
      <c r="S17" s="54" t="s">
        <v>1856</v>
      </c>
      <c r="T17" s="49" t="s">
        <v>1733</v>
      </c>
      <c r="U17" s="54" t="s">
        <v>1857</v>
      </c>
      <c r="V17" s="49" t="s">
        <v>1733</v>
      </c>
      <c r="W17" s="54" t="s">
        <v>1858</v>
      </c>
      <c r="X17" s="49" t="s">
        <v>1733</v>
      </c>
    </row>
    <row r="18" spans="1:32" ht="22.5" customHeight="1" x14ac:dyDescent="0.3">
      <c r="A18" s="55" t="s">
        <v>1859</v>
      </c>
      <c r="B18" s="49" t="str">
        <f t="shared" si="1"/>
        <v>giftcodesbanner/吟遊戰記-bar.jpg</v>
      </c>
      <c r="D18" s="49" t="str">
        <f t="shared" si="0"/>
        <v>https://www.ssbuy.tw/gift-codes.html?game=吟遊戰記</v>
      </c>
      <c r="E18" s="58" t="s">
        <v>514</v>
      </c>
      <c r="F18" s="51" t="s">
        <v>2700</v>
      </c>
      <c r="G18" s="52" t="s">
        <v>1731</v>
      </c>
      <c r="H18" s="52" t="s">
        <v>2696</v>
      </c>
      <c r="K18" s="53" t="s">
        <v>1802</v>
      </c>
      <c r="L18" s="49" t="s">
        <v>1733</v>
      </c>
      <c r="M18" s="54" t="s">
        <v>1734</v>
      </c>
      <c r="N18" s="49" t="s">
        <v>1733</v>
      </c>
      <c r="O18" s="54" t="s">
        <v>1861</v>
      </c>
      <c r="P18" s="49" t="s">
        <v>1733</v>
      </c>
      <c r="Q18" s="54" t="s">
        <v>1840</v>
      </c>
      <c r="R18" s="49" t="s">
        <v>1733</v>
      </c>
    </row>
    <row r="19" spans="1:32" ht="22.5" customHeight="1" x14ac:dyDescent="0.3">
      <c r="A19" s="55" t="s">
        <v>2712</v>
      </c>
      <c r="B19" s="49" t="str">
        <f t="shared" si="1"/>
        <v>giftcodesbanner/我獨自升級：ARISE-bar.jpg</v>
      </c>
      <c r="D19" s="49" t="str">
        <f t="shared" si="0"/>
        <v>https://www.ssbuy.tw/gift-codes.html?game=我獨自升級：ARISE</v>
      </c>
      <c r="E19" s="50" t="s">
        <v>524</v>
      </c>
      <c r="F19" s="51" t="s">
        <v>1760</v>
      </c>
      <c r="G19" s="52" t="s">
        <v>1731</v>
      </c>
      <c r="H19" s="52" t="s">
        <v>2701</v>
      </c>
      <c r="K19" s="59" t="s">
        <v>2713</v>
      </c>
      <c r="L19" s="49" t="s">
        <v>1733</v>
      </c>
      <c r="M19" s="54" t="s">
        <v>2714</v>
      </c>
      <c r="N19" s="49" t="s">
        <v>1733</v>
      </c>
      <c r="O19" s="60" t="s">
        <v>2715</v>
      </c>
      <c r="P19" s="49" t="s">
        <v>1733</v>
      </c>
      <c r="Q19" s="54" t="s">
        <v>2716</v>
      </c>
      <c r="R19" s="49" t="s">
        <v>1733</v>
      </c>
      <c r="S19" s="54" t="s">
        <v>2717</v>
      </c>
      <c r="T19" s="49" t="s">
        <v>1733</v>
      </c>
      <c r="U19" s="54" t="s">
        <v>2718</v>
      </c>
      <c r="V19" s="49" t="s">
        <v>1733</v>
      </c>
      <c r="W19" s="54" t="s">
        <v>1862</v>
      </c>
      <c r="X19" s="49" t="s">
        <v>1733</v>
      </c>
      <c r="Y19" s="54" t="s">
        <v>2719</v>
      </c>
      <c r="Z19" s="49" t="s">
        <v>1733</v>
      </c>
    </row>
    <row r="20" spans="1:32" ht="22.5" customHeight="1" x14ac:dyDescent="0.3">
      <c r="A20" s="55" t="s">
        <v>2720</v>
      </c>
      <c r="B20" s="49" t="str">
        <f t="shared" si="1"/>
        <v>giftcodesbanner/命運聖契：少女的羈絆-bar.jpg</v>
      </c>
      <c r="D20" s="49" t="str">
        <f t="shared" si="0"/>
        <v>https://www.ssbuy.tw/gift-codes.html?game=命運聖契：少女的羈絆</v>
      </c>
      <c r="E20" s="50" t="s">
        <v>2721</v>
      </c>
      <c r="F20" s="51" t="s">
        <v>1730</v>
      </c>
      <c r="G20" s="52" t="s">
        <v>1731</v>
      </c>
      <c r="H20" s="52" t="s">
        <v>2701</v>
      </c>
      <c r="K20" s="53" t="s">
        <v>2722</v>
      </c>
      <c r="L20" s="49" t="s">
        <v>1733</v>
      </c>
      <c r="M20" s="54" t="s">
        <v>2723</v>
      </c>
      <c r="N20" s="49" t="s">
        <v>1733</v>
      </c>
      <c r="O20" s="54" t="s">
        <v>2724</v>
      </c>
      <c r="P20" s="49" t="s">
        <v>1733</v>
      </c>
      <c r="Q20" s="54" t="s">
        <v>2725</v>
      </c>
      <c r="R20" s="49" t="s">
        <v>1733</v>
      </c>
      <c r="S20" s="54" t="s">
        <v>2726</v>
      </c>
      <c r="T20" s="49" t="s">
        <v>1733</v>
      </c>
      <c r="U20" s="54" t="s">
        <v>2727</v>
      </c>
      <c r="V20" s="49" t="s">
        <v>1733</v>
      </c>
      <c r="W20" s="54" t="s">
        <v>2728</v>
      </c>
      <c r="X20" s="49" t="s">
        <v>1733</v>
      </c>
      <c r="Y20" s="54" t="s">
        <v>1863</v>
      </c>
      <c r="Z20" s="49" t="s">
        <v>1733</v>
      </c>
      <c r="AA20" s="54" t="s">
        <v>2729</v>
      </c>
      <c r="AB20" s="49" t="s">
        <v>1733</v>
      </c>
      <c r="AC20" s="54" t="s">
        <v>2730</v>
      </c>
      <c r="AD20" s="49" t="s">
        <v>1733</v>
      </c>
      <c r="AE20" s="54" t="s">
        <v>2731</v>
      </c>
      <c r="AF20" s="49" t="s">
        <v>1733</v>
      </c>
    </row>
    <row r="21" spans="1:32" ht="22.5" customHeight="1" x14ac:dyDescent="0.3">
      <c r="A21" s="55" t="s">
        <v>539</v>
      </c>
      <c r="B21" s="49" t="str">
        <f t="shared" si="1"/>
        <v>giftcodesbanner/放置軍團-bar.jpg</v>
      </c>
      <c r="D21" s="49" t="str">
        <f t="shared" si="0"/>
        <v>https://www.ssbuy.tw/gift-codes.html?game=放置軍團</v>
      </c>
      <c r="E21" s="50" t="s">
        <v>2732</v>
      </c>
      <c r="F21" s="51" t="s">
        <v>1730</v>
      </c>
      <c r="G21" s="52" t="s">
        <v>1731</v>
      </c>
      <c r="H21" s="52" t="s">
        <v>2701</v>
      </c>
      <c r="K21" s="53" t="s">
        <v>2733</v>
      </c>
      <c r="L21" s="49" t="s">
        <v>2734</v>
      </c>
      <c r="M21" s="54" t="s">
        <v>2735</v>
      </c>
      <c r="N21" s="49" t="s">
        <v>2736</v>
      </c>
      <c r="O21" s="54" t="s">
        <v>2737</v>
      </c>
      <c r="P21" s="49" t="s">
        <v>2738</v>
      </c>
      <c r="Q21" s="54" t="s">
        <v>2739</v>
      </c>
      <c r="R21" s="49" t="s">
        <v>2740</v>
      </c>
      <c r="S21" s="54" t="s">
        <v>2741</v>
      </c>
      <c r="T21" s="49" t="s">
        <v>2742</v>
      </c>
    </row>
    <row r="22" spans="1:32" ht="22.5" customHeight="1" x14ac:dyDescent="0.3">
      <c r="A22" s="55" t="s">
        <v>2743</v>
      </c>
      <c r="B22" s="49" t="str">
        <f t="shared" si="1"/>
        <v>giftcodesbanner/明日方舟-bar.jpg</v>
      </c>
      <c r="D22" s="49" t="str">
        <f t="shared" si="0"/>
        <v>https://www.ssbuy.tw/gift-codes.html?game=明日方舟</v>
      </c>
      <c r="E22" s="50" t="s">
        <v>2744</v>
      </c>
      <c r="F22" s="51" t="s">
        <v>2700</v>
      </c>
      <c r="G22" s="52" t="s">
        <v>1731</v>
      </c>
      <c r="H22" s="52" t="s">
        <v>2696</v>
      </c>
      <c r="K22" s="53" t="s">
        <v>2745</v>
      </c>
      <c r="L22" s="49" t="s">
        <v>2746</v>
      </c>
    </row>
    <row r="23" spans="1:32" ht="22.5" customHeight="1" x14ac:dyDescent="0.3">
      <c r="A23" s="55" t="s">
        <v>2747</v>
      </c>
      <c r="B23" s="49" t="str">
        <f t="shared" si="1"/>
        <v>giftcodesbanner/屍鬼三國-bar.jpg</v>
      </c>
      <c r="D23" s="49" t="str">
        <f t="shared" si="0"/>
        <v>https://www.ssbuy.tw/gift-codes.html?game=屍鬼三國</v>
      </c>
      <c r="E23" s="50" t="s">
        <v>2748</v>
      </c>
      <c r="F23" s="51" t="s">
        <v>2700</v>
      </c>
      <c r="G23" s="52" t="s">
        <v>1731</v>
      </c>
      <c r="H23" s="52" t="s">
        <v>2701</v>
      </c>
      <c r="K23" s="53" t="s">
        <v>1952</v>
      </c>
      <c r="L23" s="49" t="s">
        <v>1733</v>
      </c>
      <c r="M23" s="54" t="s">
        <v>2749</v>
      </c>
      <c r="N23" s="49" t="s">
        <v>1733</v>
      </c>
      <c r="O23" s="54" t="s">
        <v>1861</v>
      </c>
      <c r="P23" s="49" t="s">
        <v>1733</v>
      </c>
      <c r="Q23" s="54" t="s">
        <v>2750</v>
      </c>
      <c r="R23" s="49" t="s">
        <v>1733</v>
      </c>
      <c r="S23" s="54" t="s">
        <v>2751</v>
      </c>
      <c r="T23" s="49" t="s">
        <v>1733</v>
      </c>
      <c r="U23" s="54" t="s">
        <v>2752</v>
      </c>
      <c r="V23" s="49" t="s">
        <v>1733</v>
      </c>
      <c r="W23" s="54" t="s">
        <v>2753</v>
      </c>
      <c r="X23" s="49" t="s">
        <v>1733</v>
      </c>
      <c r="Y23" s="54" t="s">
        <v>2754</v>
      </c>
      <c r="Z23" s="49" t="s">
        <v>1733</v>
      </c>
      <c r="AA23" s="54" t="s">
        <v>2755</v>
      </c>
      <c r="AB23" s="49" t="s">
        <v>1733</v>
      </c>
      <c r="AC23" s="54" t="s">
        <v>2756</v>
      </c>
      <c r="AD23" s="49" t="s">
        <v>1733</v>
      </c>
    </row>
    <row r="24" spans="1:32" ht="22.5" customHeight="1" x14ac:dyDescent="0.3">
      <c r="A24" s="55" t="s">
        <v>2757</v>
      </c>
      <c r="B24" s="49" t="str">
        <f t="shared" si="1"/>
        <v>giftcodesbanner/星鏈計畫：未來少女-bar.jpg</v>
      </c>
      <c r="D24" s="49" t="str">
        <f t="shared" si="0"/>
        <v>https://www.ssbuy.tw/gift-codes.html?game=星鏈計畫：未來少女</v>
      </c>
      <c r="E24" s="50" t="s">
        <v>2758</v>
      </c>
      <c r="F24" s="51" t="s">
        <v>1730</v>
      </c>
      <c r="G24" s="52" t="s">
        <v>1731</v>
      </c>
      <c r="H24" s="52" t="s">
        <v>2701</v>
      </c>
      <c r="K24" s="53" t="s">
        <v>2759</v>
      </c>
      <c r="L24" s="49" t="s">
        <v>2760</v>
      </c>
      <c r="M24" s="54" t="s">
        <v>2761</v>
      </c>
      <c r="N24" s="49" t="s">
        <v>2762</v>
      </c>
      <c r="O24" s="54" t="s">
        <v>2763</v>
      </c>
      <c r="P24" s="49" t="s">
        <v>2764</v>
      </c>
      <c r="Q24" s="54" t="s">
        <v>2765</v>
      </c>
      <c r="R24" s="49" t="s">
        <v>2766</v>
      </c>
      <c r="S24" s="54" t="s">
        <v>2767</v>
      </c>
      <c r="T24" s="49" t="s">
        <v>2768</v>
      </c>
      <c r="U24" s="54" t="s">
        <v>1864</v>
      </c>
      <c r="V24" s="49" t="s">
        <v>2766</v>
      </c>
    </row>
    <row r="25" spans="1:32" ht="22.5" customHeight="1" x14ac:dyDescent="0.3">
      <c r="A25" s="55" t="s">
        <v>569</v>
      </c>
      <c r="B25" s="49" t="str">
        <f t="shared" si="1"/>
        <v>giftcodesbanner/英雄之王-bar.jpg</v>
      </c>
      <c r="D25" s="49" t="str">
        <f t="shared" si="0"/>
        <v>https://www.ssbuy.tw/gift-codes.html?game=英雄之王</v>
      </c>
      <c r="E25" s="58" t="s">
        <v>2769</v>
      </c>
      <c r="F25" s="51" t="s">
        <v>1730</v>
      </c>
      <c r="G25" s="52" t="s">
        <v>1731</v>
      </c>
      <c r="H25" s="52" t="s">
        <v>2701</v>
      </c>
      <c r="K25" s="53" t="s">
        <v>2770</v>
      </c>
      <c r="L25" s="49" t="s">
        <v>1733</v>
      </c>
      <c r="M25" s="54" t="s">
        <v>2771</v>
      </c>
      <c r="N25" s="49" t="s">
        <v>1733</v>
      </c>
      <c r="O25" s="54" t="s">
        <v>2772</v>
      </c>
      <c r="P25" s="49" t="s">
        <v>1733</v>
      </c>
      <c r="Q25" s="54" t="s">
        <v>2773</v>
      </c>
      <c r="R25" s="49" t="s">
        <v>1733</v>
      </c>
      <c r="S25" s="54" t="s">
        <v>2774</v>
      </c>
      <c r="T25" s="49" t="s">
        <v>1733</v>
      </c>
      <c r="U25" s="54" t="s">
        <v>2775</v>
      </c>
      <c r="V25" s="49" t="s">
        <v>1733</v>
      </c>
      <c r="W25" s="54" t="s">
        <v>2776</v>
      </c>
      <c r="X25" s="49" t="s">
        <v>1733</v>
      </c>
      <c r="Y25" s="54" t="s">
        <v>2777</v>
      </c>
      <c r="Z25" s="49" t="s">
        <v>1733</v>
      </c>
      <c r="AA25" s="54" t="s">
        <v>2778</v>
      </c>
      <c r="AB25" s="49" t="s">
        <v>1733</v>
      </c>
    </row>
    <row r="26" spans="1:32" ht="22.5" customHeight="1" x14ac:dyDescent="0.3">
      <c r="A26" s="55" t="s">
        <v>576</v>
      </c>
      <c r="B26" s="49" t="str">
        <f t="shared" si="1"/>
        <v>giftcodesbanner/英雄聯盟-bar.jpg</v>
      </c>
      <c r="D26" s="49" t="str">
        <f t="shared" si="0"/>
        <v>https://www.ssbuy.tw/gift-codes.html?game=英雄聯盟</v>
      </c>
      <c r="F26" s="51" t="s">
        <v>2700</v>
      </c>
      <c r="G26" s="52" t="s">
        <v>1731</v>
      </c>
      <c r="H26" s="52" t="s">
        <v>1860</v>
      </c>
      <c r="K26" s="53" t="s">
        <v>2779</v>
      </c>
      <c r="L26" s="49" t="s">
        <v>2780</v>
      </c>
      <c r="M26" s="54" t="s">
        <v>2781</v>
      </c>
      <c r="N26" s="49" t="s">
        <v>2782</v>
      </c>
    </row>
    <row r="27" spans="1:32" ht="22.5" customHeight="1" x14ac:dyDescent="0.3">
      <c r="A27" s="55" t="s">
        <v>582</v>
      </c>
      <c r="B27" s="49" t="str">
        <f t="shared" si="1"/>
        <v>giftcodesbanner/恐龍突變-bar.jpg</v>
      </c>
      <c r="D27" s="49" t="str">
        <f t="shared" si="0"/>
        <v>https://www.ssbuy.tw/gift-codes.html?game=恐龍突變</v>
      </c>
      <c r="E27" s="58" t="s">
        <v>2783</v>
      </c>
      <c r="F27" s="51" t="s">
        <v>2700</v>
      </c>
      <c r="G27" s="52" t="s">
        <v>1731</v>
      </c>
      <c r="H27" s="52" t="s">
        <v>2701</v>
      </c>
    </row>
    <row r="28" spans="1:32" ht="22.5" customHeight="1" x14ac:dyDescent="0.3">
      <c r="A28" s="55" t="s">
        <v>592</v>
      </c>
      <c r="B28" s="49" t="str">
        <f t="shared" si="1"/>
        <v>giftcodesbanner/神域-bar.jpg</v>
      </c>
      <c r="D28" s="49" t="str">
        <f t="shared" si="0"/>
        <v>https://www.ssbuy.tw/gift-codes.html?game=神域</v>
      </c>
      <c r="E28" s="50" t="s">
        <v>2784</v>
      </c>
      <c r="F28" s="51" t="s">
        <v>2700</v>
      </c>
      <c r="G28" s="52" t="s">
        <v>1731</v>
      </c>
      <c r="H28" s="52" t="s">
        <v>2701</v>
      </c>
      <c r="K28" s="53" t="s">
        <v>2785</v>
      </c>
      <c r="L28" s="49" t="s">
        <v>2786</v>
      </c>
      <c r="M28" s="54" t="s">
        <v>2787</v>
      </c>
      <c r="N28" s="49" t="s">
        <v>2786</v>
      </c>
    </row>
    <row r="29" spans="1:32" ht="22.5" customHeight="1" x14ac:dyDescent="0.3">
      <c r="A29" s="55" t="s">
        <v>2788</v>
      </c>
      <c r="B29" s="49" t="str">
        <f t="shared" si="1"/>
        <v>giftcodesbanner/崩壞：星穹鐵道-bar.jpg</v>
      </c>
      <c r="D29" s="49" t="str">
        <f t="shared" si="0"/>
        <v>https://www.ssbuy.tw/gift-codes.html?game=崩壞：星穹鐵道</v>
      </c>
      <c r="E29" s="58" t="s">
        <v>2789</v>
      </c>
      <c r="F29" s="51" t="s">
        <v>2700</v>
      </c>
      <c r="G29" s="52" t="s">
        <v>1731</v>
      </c>
      <c r="H29" s="52" t="s">
        <v>1860</v>
      </c>
      <c r="K29" s="53" t="s">
        <v>2790</v>
      </c>
      <c r="L29" s="49" t="s">
        <v>2791</v>
      </c>
    </row>
    <row r="30" spans="1:32" ht="22.5" customHeight="1" x14ac:dyDescent="0.3">
      <c r="A30" s="55" t="s">
        <v>610</v>
      </c>
      <c r="B30" s="49" t="str">
        <f t="shared" si="1"/>
        <v>giftcodesbanner/救世者之樹：新世界-bar.jpg</v>
      </c>
      <c r="D30" s="49" t="str">
        <f t="shared" si="0"/>
        <v>https://www.ssbuy.tw/gift-codes.html?game=救世者之樹：新世界</v>
      </c>
      <c r="E30" s="58" t="s">
        <v>2792</v>
      </c>
      <c r="F30" s="51" t="s">
        <v>2700</v>
      </c>
      <c r="G30" s="52" t="s">
        <v>1731</v>
      </c>
      <c r="H30" s="52" t="s">
        <v>2701</v>
      </c>
      <c r="K30" s="53" t="s">
        <v>2793</v>
      </c>
      <c r="L30" s="49" t="s">
        <v>2794</v>
      </c>
      <c r="M30" s="54" t="s">
        <v>2795</v>
      </c>
      <c r="N30" s="49" t="s">
        <v>1865</v>
      </c>
      <c r="O30" s="54" t="s">
        <v>2796</v>
      </c>
      <c r="P30" s="49" t="s">
        <v>2797</v>
      </c>
      <c r="Q30" s="54" t="s">
        <v>2798</v>
      </c>
      <c r="R30" s="49" t="s">
        <v>1733</v>
      </c>
      <c r="S30" s="54" t="s">
        <v>2799</v>
      </c>
      <c r="T30" s="49" t="s">
        <v>1733</v>
      </c>
      <c r="U30" s="54" t="s">
        <v>2800</v>
      </c>
      <c r="V30" s="49" t="s">
        <v>1733</v>
      </c>
      <c r="W30" s="54" t="s">
        <v>1866</v>
      </c>
      <c r="X30" s="49" t="s">
        <v>1733</v>
      </c>
      <c r="Y30" s="54" t="s">
        <v>2801</v>
      </c>
      <c r="Z30" s="49" t="s">
        <v>1733</v>
      </c>
    </row>
    <row r="31" spans="1:32" ht="22.5" customHeight="1" x14ac:dyDescent="0.3">
      <c r="A31" s="55" t="s">
        <v>618</v>
      </c>
      <c r="B31" s="49" t="str">
        <f t="shared" si="1"/>
        <v>giftcodesbanner/球球英雄-bar.jpg</v>
      </c>
      <c r="D31" s="49" t="str">
        <f t="shared" si="0"/>
        <v>https://www.ssbuy.tw/gift-codes.html?game=球球英雄</v>
      </c>
      <c r="E31" s="58" t="s">
        <v>2802</v>
      </c>
      <c r="F31" s="51" t="s">
        <v>2700</v>
      </c>
      <c r="G31" s="52" t="s">
        <v>1731</v>
      </c>
      <c r="H31" s="52" t="s">
        <v>2701</v>
      </c>
      <c r="K31" s="53" t="s">
        <v>2803</v>
      </c>
      <c r="L31" s="49" t="s">
        <v>1733</v>
      </c>
      <c r="M31" s="54" t="s">
        <v>2804</v>
      </c>
      <c r="N31" s="49" t="s">
        <v>1733</v>
      </c>
      <c r="O31" s="54" t="s">
        <v>2805</v>
      </c>
      <c r="P31" s="49" t="s">
        <v>1733</v>
      </c>
    </row>
    <row r="32" spans="1:32" ht="22.5" customHeight="1" x14ac:dyDescent="0.3">
      <c r="A32" s="55" t="s">
        <v>626</v>
      </c>
      <c r="B32" s="49" t="str">
        <f t="shared" si="1"/>
        <v>giftcodesbanner/第七史詩-bar.jpg</v>
      </c>
      <c r="D32" s="49" t="str">
        <f t="shared" si="0"/>
        <v>https://www.ssbuy.tw/gift-codes.html?game=第七史詩</v>
      </c>
      <c r="E32" s="50" t="s">
        <v>2806</v>
      </c>
      <c r="F32" s="51" t="s">
        <v>2711</v>
      </c>
      <c r="G32" s="52" t="s">
        <v>1731</v>
      </c>
      <c r="H32" s="52" t="s">
        <v>2696</v>
      </c>
      <c r="K32" s="53" t="s">
        <v>2807</v>
      </c>
      <c r="L32" s="49" t="s">
        <v>2808</v>
      </c>
    </row>
    <row r="33" spans="1:42" ht="22.5" customHeight="1" x14ac:dyDescent="0.3">
      <c r="A33" s="55" t="s">
        <v>2809</v>
      </c>
      <c r="B33" s="49" t="str">
        <f t="shared" si="1"/>
        <v>giftcodesbanner/創世紀戰M：阿修羅計畫-bar.jpg</v>
      </c>
      <c r="D33" s="49" t="str">
        <f t="shared" si="0"/>
        <v>https://www.ssbuy.tw/gift-codes.html?game=創世紀戰M：阿修羅計畫</v>
      </c>
      <c r="E33" s="58" t="s">
        <v>2810</v>
      </c>
      <c r="F33" s="51" t="s">
        <v>2700</v>
      </c>
      <c r="G33" s="52" t="s">
        <v>1731</v>
      </c>
      <c r="H33" s="52" t="s">
        <v>2696</v>
      </c>
      <c r="K33" s="53" t="s">
        <v>2811</v>
      </c>
      <c r="L33" s="49" t="s">
        <v>1733</v>
      </c>
      <c r="M33" s="54" t="s">
        <v>2812</v>
      </c>
      <c r="N33" s="49" t="s">
        <v>1733</v>
      </c>
      <c r="O33" s="54" t="s">
        <v>2813</v>
      </c>
      <c r="P33" s="49" t="s">
        <v>1733</v>
      </c>
      <c r="Q33" s="54" t="s">
        <v>2814</v>
      </c>
      <c r="R33" s="49" t="s">
        <v>1733</v>
      </c>
      <c r="S33" s="54" t="s">
        <v>2815</v>
      </c>
      <c r="T33" s="49" t="s">
        <v>1733</v>
      </c>
      <c r="U33" s="54" t="s">
        <v>2816</v>
      </c>
      <c r="V33" s="49" t="s">
        <v>1733</v>
      </c>
      <c r="W33" s="54" t="s">
        <v>2817</v>
      </c>
      <c r="X33" s="49" t="s">
        <v>1733</v>
      </c>
      <c r="Y33" s="54" t="s">
        <v>2818</v>
      </c>
      <c r="Z33" s="49" t="s">
        <v>1733</v>
      </c>
      <c r="AA33" s="54" t="s">
        <v>2819</v>
      </c>
      <c r="AB33" s="49" t="s">
        <v>1733</v>
      </c>
      <c r="AC33" s="54" t="s">
        <v>2820</v>
      </c>
      <c r="AD33" s="49" t="s">
        <v>1733</v>
      </c>
      <c r="AE33" s="54" t="s">
        <v>2821</v>
      </c>
      <c r="AF33" s="49" t="s">
        <v>1733</v>
      </c>
    </row>
    <row r="34" spans="1:42" ht="22.5" customHeight="1" x14ac:dyDescent="0.3">
      <c r="A34" s="55" t="s">
        <v>2822</v>
      </c>
      <c r="B34" s="49" t="str">
        <f t="shared" si="1"/>
        <v>giftcodesbanner/最強宗師-bar.jpg</v>
      </c>
      <c r="D34" s="49" t="str">
        <f t="shared" si="0"/>
        <v>https://www.ssbuy.tw/gift-codes.html?game=最強宗師</v>
      </c>
      <c r="E34" s="50" t="s">
        <v>2823</v>
      </c>
      <c r="F34" s="51" t="s">
        <v>2700</v>
      </c>
      <c r="G34" s="52" t="s">
        <v>1731</v>
      </c>
      <c r="H34" s="52" t="s">
        <v>2701</v>
      </c>
      <c r="K34" s="53" t="s">
        <v>2824</v>
      </c>
      <c r="L34" s="49" t="s">
        <v>1733</v>
      </c>
      <c r="M34" s="54" t="s">
        <v>2825</v>
      </c>
      <c r="N34" s="49" t="s">
        <v>1733</v>
      </c>
      <c r="O34" s="54" t="s">
        <v>2826</v>
      </c>
      <c r="P34" s="49" t="s">
        <v>1733</v>
      </c>
      <c r="Q34" s="54" t="s">
        <v>2827</v>
      </c>
      <c r="R34" s="49" t="s">
        <v>1733</v>
      </c>
      <c r="S34" s="54" t="s">
        <v>2828</v>
      </c>
      <c r="T34" s="49" t="s">
        <v>1733</v>
      </c>
      <c r="U34" s="54" t="s">
        <v>2829</v>
      </c>
      <c r="V34" s="49" t="s">
        <v>1733</v>
      </c>
      <c r="W34" s="54" t="s">
        <v>2830</v>
      </c>
      <c r="X34" s="49" t="s">
        <v>1733</v>
      </c>
      <c r="Y34" s="54" t="s">
        <v>2831</v>
      </c>
      <c r="Z34" s="49" t="s">
        <v>1733</v>
      </c>
      <c r="AA34" s="54" t="s">
        <v>2832</v>
      </c>
      <c r="AB34" s="49" t="s">
        <v>1733</v>
      </c>
      <c r="AC34" s="54" t="s">
        <v>2833</v>
      </c>
      <c r="AD34" s="49" t="s">
        <v>1733</v>
      </c>
      <c r="AE34" s="54" t="s">
        <v>2834</v>
      </c>
      <c r="AF34" s="49" t="s">
        <v>1733</v>
      </c>
      <c r="AG34" s="54" t="s">
        <v>2835</v>
      </c>
      <c r="AH34" s="49" t="s">
        <v>1733</v>
      </c>
    </row>
    <row r="35" spans="1:42" ht="22.5" customHeight="1" x14ac:dyDescent="0.3">
      <c r="A35" s="55" t="s">
        <v>655</v>
      </c>
      <c r="B35" s="49" t="str">
        <f t="shared" si="1"/>
        <v>giftcodesbanner/無期迷途-bar.jpg</v>
      </c>
      <c r="D35" s="49" t="str">
        <f t="shared" si="0"/>
        <v>https://www.ssbuy.tw/gift-codes.html?game=無期迷途</v>
      </c>
      <c r="E35" s="58" t="s">
        <v>2836</v>
      </c>
      <c r="F35" s="51" t="s">
        <v>2700</v>
      </c>
      <c r="G35" s="52" t="s">
        <v>1731</v>
      </c>
      <c r="H35" s="52" t="s">
        <v>2701</v>
      </c>
      <c r="K35" s="53" t="s">
        <v>2837</v>
      </c>
      <c r="L35" s="49" t="s">
        <v>1733</v>
      </c>
      <c r="M35" s="54" t="s">
        <v>2838</v>
      </c>
      <c r="N35" s="49" t="s">
        <v>1733</v>
      </c>
      <c r="O35" s="54" t="s">
        <v>2839</v>
      </c>
      <c r="P35" s="49" t="s">
        <v>1733</v>
      </c>
      <c r="Q35" s="54" t="s">
        <v>2840</v>
      </c>
      <c r="R35" s="49" t="s">
        <v>1733</v>
      </c>
    </row>
    <row r="36" spans="1:42" ht="22.5" customHeight="1" x14ac:dyDescent="0.3">
      <c r="A36" s="55" t="s">
        <v>663</v>
      </c>
      <c r="B36" s="49" t="str">
        <f t="shared" si="1"/>
        <v>giftcodesbanner/絕區零-bar.jpg</v>
      </c>
      <c r="D36" s="49" t="str">
        <f t="shared" si="0"/>
        <v>https://www.ssbuy.tw/gift-codes.html?game=絕區零</v>
      </c>
      <c r="E36" s="50" t="s">
        <v>2841</v>
      </c>
      <c r="F36" s="51" t="s">
        <v>2700</v>
      </c>
      <c r="G36" s="52" t="s">
        <v>1731</v>
      </c>
      <c r="H36" s="52" t="s">
        <v>2701</v>
      </c>
      <c r="K36" s="53" t="s">
        <v>2842</v>
      </c>
      <c r="L36" s="49" t="s">
        <v>2843</v>
      </c>
      <c r="M36" s="54" t="s">
        <v>2844</v>
      </c>
      <c r="N36" s="49" t="s">
        <v>2845</v>
      </c>
      <c r="O36" s="54" t="s">
        <v>2846</v>
      </c>
      <c r="P36" s="49" t="s">
        <v>2847</v>
      </c>
      <c r="Q36" s="54" t="s">
        <v>2848</v>
      </c>
      <c r="R36" s="49" t="s">
        <v>2849</v>
      </c>
      <c r="S36" s="54" t="s">
        <v>2850</v>
      </c>
      <c r="T36" s="49" t="s">
        <v>2851</v>
      </c>
      <c r="U36" s="54" t="s">
        <v>2852</v>
      </c>
      <c r="V36" s="49" t="s">
        <v>2851</v>
      </c>
      <c r="W36" s="54" t="s">
        <v>2853</v>
      </c>
      <c r="X36" s="49" t="s">
        <v>2854</v>
      </c>
    </row>
    <row r="37" spans="1:42" ht="22.5" customHeight="1" x14ac:dyDescent="0.3">
      <c r="A37" s="55" t="s">
        <v>674</v>
      </c>
      <c r="B37" s="49" t="str">
        <f t="shared" si="1"/>
        <v>giftcodesbanner/傳說對決-bar.jpg</v>
      </c>
      <c r="D37" s="49" t="str">
        <f t="shared" si="0"/>
        <v>https://www.ssbuy.tw/gift-codes.html?game=傳說對決</v>
      </c>
      <c r="E37" s="50" t="s">
        <v>2855</v>
      </c>
      <c r="F37" s="51" t="s">
        <v>2700</v>
      </c>
      <c r="G37" s="52" t="s">
        <v>1731</v>
      </c>
      <c r="H37" s="52" t="s">
        <v>1860</v>
      </c>
      <c r="K37" s="53" t="s">
        <v>2180</v>
      </c>
      <c r="L37" s="49" t="s">
        <v>1867</v>
      </c>
      <c r="M37" s="54" t="s">
        <v>2856</v>
      </c>
      <c r="N37" s="49" t="s">
        <v>2857</v>
      </c>
    </row>
    <row r="38" spans="1:42" ht="22.5" customHeight="1" x14ac:dyDescent="0.3">
      <c r="A38" s="55" t="s">
        <v>2858</v>
      </c>
      <c r="B38" s="49" t="str">
        <f t="shared" si="1"/>
        <v>giftcodesbanner/楓之谷M-bar.jpg</v>
      </c>
      <c r="D38" s="49" t="str">
        <f t="shared" si="0"/>
        <v>https://www.ssbuy.tw/gift-codes.html?game=楓之谷M</v>
      </c>
      <c r="E38" s="50" t="s">
        <v>2859</v>
      </c>
      <c r="F38" s="51" t="s">
        <v>2700</v>
      </c>
      <c r="G38" s="52" t="s">
        <v>1731</v>
      </c>
      <c r="H38" s="52" t="s">
        <v>2701</v>
      </c>
      <c r="K38" s="53" t="s">
        <v>2860</v>
      </c>
      <c r="L38" s="49" t="s">
        <v>2861</v>
      </c>
      <c r="M38" s="54" t="s">
        <v>1868</v>
      </c>
      <c r="N38" s="49" t="s">
        <v>2862</v>
      </c>
      <c r="O38" s="54" t="s">
        <v>2863</v>
      </c>
      <c r="P38" s="49" t="s">
        <v>1733</v>
      </c>
      <c r="Q38" s="54" t="s">
        <v>2864</v>
      </c>
      <c r="R38" s="49" t="s">
        <v>1733</v>
      </c>
    </row>
    <row r="39" spans="1:42" ht="22.5" customHeight="1" x14ac:dyDescent="0.3">
      <c r="A39" s="55" t="s">
        <v>692</v>
      </c>
      <c r="B39" s="49" t="str">
        <f t="shared" si="1"/>
        <v>giftcodesbanner/鳴潮-bar.jpg</v>
      </c>
      <c r="D39" s="49" t="str">
        <f t="shared" si="0"/>
        <v>https://www.ssbuy.tw/gift-codes.html?game=鳴潮</v>
      </c>
      <c r="E39" s="50" t="s">
        <v>2865</v>
      </c>
      <c r="F39" s="51" t="s">
        <v>2700</v>
      </c>
      <c r="G39" s="52" t="s">
        <v>1731</v>
      </c>
      <c r="H39" s="52" t="s">
        <v>1860</v>
      </c>
      <c r="K39" s="53" t="s">
        <v>2866</v>
      </c>
      <c r="L39" s="49" t="s">
        <v>2867</v>
      </c>
      <c r="M39" s="54" t="s">
        <v>1869</v>
      </c>
      <c r="N39" s="49" t="s">
        <v>2868</v>
      </c>
      <c r="O39" s="54" t="s">
        <v>2869</v>
      </c>
      <c r="P39" s="49" t="s">
        <v>2870</v>
      </c>
      <c r="Q39" s="54" t="s">
        <v>2871</v>
      </c>
      <c r="R39" s="49" t="s">
        <v>2872</v>
      </c>
    </row>
    <row r="40" spans="1:42" ht="22.5" customHeight="1" x14ac:dyDescent="0.3">
      <c r="A40" s="55" t="s">
        <v>2873</v>
      </c>
      <c r="B40" s="49" t="str">
        <f t="shared" si="1"/>
        <v>giftcodesbanner/劍與遠征：啟程-bar.jpg</v>
      </c>
      <c r="D40" s="49" t="str">
        <f t="shared" si="0"/>
        <v>https://www.ssbuy.tw/gift-codes.html?game=劍與遠征：啟程</v>
      </c>
      <c r="E40" s="50" t="s">
        <v>1870</v>
      </c>
      <c r="F40" s="51" t="s">
        <v>1760</v>
      </c>
      <c r="G40" s="52" t="s">
        <v>1731</v>
      </c>
      <c r="H40" s="52" t="s">
        <v>2701</v>
      </c>
      <c r="K40" s="53" t="s">
        <v>2874</v>
      </c>
      <c r="L40" s="49" t="s">
        <v>2875</v>
      </c>
      <c r="M40" s="54" t="s">
        <v>2876</v>
      </c>
      <c r="N40" s="61" t="s">
        <v>2877</v>
      </c>
      <c r="O40" s="54" t="s">
        <v>2878</v>
      </c>
      <c r="P40" s="49" t="s">
        <v>2879</v>
      </c>
      <c r="Q40" s="54" t="s">
        <v>2880</v>
      </c>
      <c r="R40" s="49" t="s">
        <v>2881</v>
      </c>
      <c r="S40" s="54" t="s">
        <v>2882</v>
      </c>
      <c r="T40" s="49" t="s">
        <v>2883</v>
      </c>
    </row>
    <row r="41" spans="1:42" ht="22.5" customHeight="1" x14ac:dyDescent="0.3">
      <c r="A41" s="55" t="s">
        <v>710</v>
      </c>
      <c r="B41" s="49" t="str">
        <f t="shared" si="1"/>
        <v>giftcodesbanner/熱血大作戰-bar.jpg</v>
      </c>
      <c r="D41" s="49" t="str">
        <f t="shared" si="0"/>
        <v>https://www.ssbuy.tw/gift-codes.html?game=熱血大作戰</v>
      </c>
      <c r="E41" s="50" t="s">
        <v>1871</v>
      </c>
      <c r="F41" s="51" t="s">
        <v>2700</v>
      </c>
      <c r="G41" s="52" t="s">
        <v>1731</v>
      </c>
      <c r="H41" s="52" t="s">
        <v>1860</v>
      </c>
      <c r="K41" s="53" t="s">
        <v>2884</v>
      </c>
      <c r="L41" s="49" t="s">
        <v>2885</v>
      </c>
      <c r="M41" s="54" t="s">
        <v>1872</v>
      </c>
      <c r="N41" s="48" t="s">
        <v>1873</v>
      </c>
      <c r="O41" s="54" t="s">
        <v>1874</v>
      </c>
      <c r="P41" s="49" t="s">
        <v>1875</v>
      </c>
      <c r="Q41" s="54" t="s">
        <v>1876</v>
      </c>
      <c r="R41" s="49" t="s">
        <v>1877</v>
      </c>
      <c r="S41" s="54" t="s">
        <v>1878</v>
      </c>
      <c r="T41" s="49" t="s">
        <v>1879</v>
      </c>
      <c r="U41" s="54" t="s">
        <v>1880</v>
      </c>
      <c r="V41" s="49" t="s">
        <v>1733</v>
      </c>
      <c r="W41" s="54" t="s">
        <v>1881</v>
      </c>
      <c r="X41" s="49" t="s">
        <v>1882</v>
      </c>
    </row>
    <row r="42" spans="1:42" ht="22.5" customHeight="1" x14ac:dyDescent="0.3">
      <c r="A42" s="55" t="s">
        <v>2886</v>
      </c>
      <c r="B42" s="49" t="str">
        <f t="shared" si="1"/>
        <v>giftcodesbanner/骷髏傳說：戰神崛起-bar.jpg</v>
      </c>
      <c r="D42" s="49" t="str">
        <f t="shared" si="0"/>
        <v>https://www.ssbuy.tw/gift-codes.html?game=骷髏傳說：戰神崛起</v>
      </c>
      <c r="E42" s="50" t="s">
        <v>2887</v>
      </c>
      <c r="F42" s="51" t="s">
        <v>1730</v>
      </c>
      <c r="G42" s="52" t="s">
        <v>1731</v>
      </c>
      <c r="H42" s="52" t="s">
        <v>1860</v>
      </c>
      <c r="K42" s="53" t="s">
        <v>1802</v>
      </c>
      <c r="L42" s="49" t="s">
        <v>1733</v>
      </c>
      <c r="M42" s="54" t="s">
        <v>1734</v>
      </c>
      <c r="N42" s="49" t="s">
        <v>1733</v>
      </c>
      <c r="O42" s="54" t="s">
        <v>1735</v>
      </c>
      <c r="P42" s="49" t="s">
        <v>1733</v>
      </c>
      <c r="Q42" s="54" t="s">
        <v>1883</v>
      </c>
      <c r="R42" s="49" t="s">
        <v>1733</v>
      </c>
      <c r="S42" s="54" t="s">
        <v>1884</v>
      </c>
      <c r="T42" s="49" t="s">
        <v>1733</v>
      </c>
      <c r="U42" s="54" t="s">
        <v>1885</v>
      </c>
      <c r="V42" s="49" t="s">
        <v>1733</v>
      </c>
      <c r="W42" s="54" t="s">
        <v>1886</v>
      </c>
      <c r="X42" s="49" t="s">
        <v>1733</v>
      </c>
      <c r="Y42" s="54" t="s">
        <v>1887</v>
      </c>
      <c r="Z42" s="49" t="s">
        <v>1733</v>
      </c>
      <c r="AA42" s="54" t="s">
        <v>1888</v>
      </c>
      <c r="AB42" s="49" t="s">
        <v>1733</v>
      </c>
      <c r="AC42" s="54" t="s">
        <v>1889</v>
      </c>
      <c r="AD42" s="49" t="s">
        <v>1733</v>
      </c>
      <c r="AE42" s="54" t="s">
        <v>1890</v>
      </c>
      <c r="AF42" s="49" t="s">
        <v>1733</v>
      </c>
      <c r="AG42" s="54" t="s">
        <v>1891</v>
      </c>
      <c r="AH42" s="49" t="s">
        <v>1733</v>
      </c>
      <c r="AI42" s="54" t="s">
        <v>1892</v>
      </c>
      <c r="AJ42" s="49" t="s">
        <v>1733</v>
      </c>
    </row>
    <row r="43" spans="1:42" ht="22.5" customHeight="1" x14ac:dyDescent="0.3">
      <c r="A43" s="55" t="s">
        <v>2888</v>
      </c>
      <c r="B43" s="49" t="str">
        <f t="shared" si="1"/>
        <v>giftcodesbanner/黎明：血色魔女-bar.jpg</v>
      </c>
      <c r="D43" s="49" t="str">
        <f t="shared" si="0"/>
        <v>https://www.ssbuy.tw/gift-codes.html?game=黎明：血色魔女</v>
      </c>
      <c r="E43" s="50" t="s">
        <v>2889</v>
      </c>
      <c r="F43" s="51" t="s">
        <v>1730</v>
      </c>
      <c r="G43" s="52" t="s">
        <v>1731</v>
      </c>
      <c r="H43" s="52" t="s">
        <v>1860</v>
      </c>
      <c r="K43" s="53" t="s">
        <v>1893</v>
      </c>
      <c r="L43" s="49" t="s">
        <v>1733</v>
      </c>
      <c r="M43" s="54" t="s">
        <v>1894</v>
      </c>
      <c r="N43" s="49" t="s">
        <v>1733</v>
      </c>
      <c r="O43" s="54" t="s">
        <v>1895</v>
      </c>
      <c r="P43" s="49" t="s">
        <v>1733</v>
      </c>
      <c r="Q43" s="54" t="s">
        <v>1896</v>
      </c>
      <c r="R43" s="49" t="s">
        <v>1733</v>
      </c>
      <c r="S43" s="54" t="s">
        <v>1897</v>
      </c>
      <c r="T43" s="49" t="s">
        <v>1733</v>
      </c>
      <c r="U43" s="54" t="s">
        <v>1898</v>
      </c>
      <c r="V43" s="49" t="s">
        <v>1733</v>
      </c>
      <c r="W43" s="54" t="s">
        <v>1899</v>
      </c>
      <c r="X43" s="49" t="s">
        <v>1733</v>
      </c>
      <c r="Y43" s="54" t="s">
        <v>1900</v>
      </c>
      <c r="Z43" s="49" t="s">
        <v>1733</v>
      </c>
      <c r="AA43" s="54" t="s">
        <v>1901</v>
      </c>
      <c r="AB43" s="49" t="s">
        <v>1733</v>
      </c>
      <c r="AC43" s="54" t="s">
        <v>1902</v>
      </c>
      <c r="AD43" s="49" t="s">
        <v>1733</v>
      </c>
      <c r="AE43" s="54" t="s">
        <v>1903</v>
      </c>
      <c r="AF43" s="49" t="s">
        <v>1733</v>
      </c>
      <c r="AG43" s="54" t="s">
        <v>1904</v>
      </c>
      <c r="AH43" s="49" t="s">
        <v>1733</v>
      </c>
      <c r="AI43" s="54" t="s">
        <v>1905</v>
      </c>
      <c r="AJ43" s="49" t="s">
        <v>1733</v>
      </c>
    </row>
    <row r="44" spans="1:42" ht="22.5" customHeight="1" x14ac:dyDescent="0.3">
      <c r="A44" s="55" t="s">
        <v>735</v>
      </c>
      <c r="B44" s="49" t="str">
        <f t="shared" si="1"/>
        <v>giftcodesbanner/黎明啟示錄-bar.jpg</v>
      </c>
      <c r="D44" s="49" t="str">
        <f t="shared" si="0"/>
        <v>https://www.ssbuy.tw/gift-codes.html?game=黎明啟示錄</v>
      </c>
      <c r="E44" s="50" t="s">
        <v>2890</v>
      </c>
      <c r="F44" s="51" t="s">
        <v>1730</v>
      </c>
      <c r="G44" s="52" t="s">
        <v>1731</v>
      </c>
      <c r="H44" s="52" t="s">
        <v>1860</v>
      </c>
      <c r="K44" s="53">
        <v>888888</v>
      </c>
      <c r="L44" s="49" t="s">
        <v>1733</v>
      </c>
      <c r="M44" s="54" t="s">
        <v>1906</v>
      </c>
      <c r="N44" s="49" t="s">
        <v>1733</v>
      </c>
      <c r="O44" s="54" t="s">
        <v>1907</v>
      </c>
      <c r="P44" s="49" t="s">
        <v>1733</v>
      </c>
      <c r="Q44" s="54" t="s">
        <v>1908</v>
      </c>
      <c r="R44" s="49" t="s">
        <v>1733</v>
      </c>
      <c r="S44" s="54" t="s">
        <v>1909</v>
      </c>
      <c r="T44" s="49" t="s">
        <v>1733</v>
      </c>
      <c r="U44" s="54" t="s">
        <v>1910</v>
      </c>
      <c r="V44" s="49" t="s">
        <v>1733</v>
      </c>
      <c r="W44" s="54" t="s">
        <v>1911</v>
      </c>
      <c r="X44" s="49" t="s">
        <v>1733</v>
      </c>
      <c r="Y44" s="54" t="s">
        <v>1912</v>
      </c>
      <c r="Z44" s="49" t="s">
        <v>1733</v>
      </c>
      <c r="AA44" s="54" t="s">
        <v>1913</v>
      </c>
      <c r="AB44" s="49" t="s">
        <v>1733</v>
      </c>
    </row>
    <row r="45" spans="1:42" ht="22.5" customHeight="1" x14ac:dyDescent="0.3">
      <c r="A45" s="55" t="s">
        <v>741</v>
      </c>
      <c r="B45" s="49" t="str">
        <f t="shared" si="1"/>
        <v>giftcodesbanner/龍魂旅人-bar.jpg</v>
      </c>
      <c r="D45" s="49" t="str">
        <f t="shared" si="0"/>
        <v>https://www.ssbuy.tw/gift-codes.html?game=龍魂旅人</v>
      </c>
      <c r="E45" s="50" t="s">
        <v>2891</v>
      </c>
      <c r="F45" s="51" t="s">
        <v>1730</v>
      </c>
      <c r="G45" s="52" t="s">
        <v>1731</v>
      </c>
      <c r="H45" s="52" t="s">
        <v>1860</v>
      </c>
      <c r="K45" s="53" t="s">
        <v>1914</v>
      </c>
      <c r="L45" s="49" t="s">
        <v>1733</v>
      </c>
      <c r="M45" s="54" t="s">
        <v>1915</v>
      </c>
      <c r="N45" s="49" t="s">
        <v>1733</v>
      </c>
      <c r="O45" s="54" t="s">
        <v>1916</v>
      </c>
      <c r="P45" s="49" t="s">
        <v>1733</v>
      </c>
      <c r="Q45" s="54" t="s">
        <v>1917</v>
      </c>
      <c r="R45" s="49" t="s">
        <v>1733</v>
      </c>
      <c r="S45" s="54" t="s">
        <v>1918</v>
      </c>
      <c r="T45" s="49" t="s">
        <v>1733</v>
      </c>
      <c r="U45" s="54" t="s">
        <v>1919</v>
      </c>
      <c r="V45" s="49" t="s">
        <v>1733</v>
      </c>
      <c r="W45" s="54" t="s">
        <v>1920</v>
      </c>
      <c r="X45" s="49" t="s">
        <v>1733</v>
      </c>
      <c r="Y45" s="54" t="s">
        <v>1921</v>
      </c>
      <c r="Z45" s="49" t="s">
        <v>1733</v>
      </c>
      <c r="AA45" s="54" t="s">
        <v>1922</v>
      </c>
      <c r="AB45" s="49" t="s">
        <v>1733</v>
      </c>
      <c r="AC45" s="54" t="s">
        <v>1923</v>
      </c>
      <c r="AD45" s="49" t="s">
        <v>1733</v>
      </c>
      <c r="AE45" s="54" t="s">
        <v>1924</v>
      </c>
      <c r="AF45" s="49" t="s">
        <v>1733</v>
      </c>
      <c r="AG45" s="54" t="s">
        <v>1925</v>
      </c>
      <c r="AH45" s="49" t="s">
        <v>1733</v>
      </c>
      <c r="AI45" s="54" t="s">
        <v>1926</v>
      </c>
      <c r="AJ45" s="49" t="s">
        <v>1733</v>
      </c>
    </row>
    <row r="46" spans="1:42" ht="22.5" customHeight="1" x14ac:dyDescent="0.3">
      <c r="A46" s="55" t="s">
        <v>749</v>
      </c>
      <c r="B46" s="49" t="str">
        <f t="shared" si="1"/>
        <v>giftcodesbanner/戀與深空-bar.jpg</v>
      </c>
      <c r="D46" s="49" t="str">
        <f t="shared" si="0"/>
        <v>https://www.ssbuy.tw/gift-codes.html?game=戀與深空</v>
      </c>
      <c r="E46" s="50" t="s">
        <v>1927</v>
      </c>
      <c r="F46" s="51" t="s">
        <v>1730</v>
      </c>
      <c r="G46" s="52" t="s">
        <v>1731</v>
      </c>
      <c r="H46" s="52" t="s">
        <v>1860</v>
      </c>
      <c r="K46" s="53" t="s">
        <v>1928</v>
      </c>
      <c r="L46" s="49" t="s">
        <v>1932</v>
      </c>
      <c r="M46" s="54" t="s">
        <v>1929</v>
      </c>
      <c r="N46" s="49" t="s">
        <v>1733</v>
      </c>
      <c r="O46" s="54" t="s">
        <v>1937</v>
      </c>
      <c r="P46" s="49" t="s">
        <v>1733</v>
      </c>
      <c r="Q46" s="54" t="s">
        <v>1934</v>
      </c>
      <c r="R46" s="49" t="s">
        <v>1733</v>
      </c>
      <c r="S46" s="54" t="s">
        <v>1930</v>
      </c>
      <c r="T46" s="49" t="s">
        <v>1733</v>
      </c>
      <c r="U46" s="54" t="s">
        <v>2892</v>
      </c>
      <c r="V46" s="49" t="s">
        <v>1733</v>
      </c>
      <c r="W46" s="54" t="s">
        <v>2893</v>
      </c>
      <c r="X46" s="49" t="s">
        <v>2894</v>
      </c>
      <c r="Y46" s="54" t="s">
        <v>1931</v>
      </c>
      <c r="Z46" s="49" t="s">
        <v>2895</v>
      </c>
      <c r="AA46" s="54" t="s">
        <v>1928</v>
      </c>
      <c r="AB46" s="49" t="s">
        <v>1932</v>
      </c>
      <c r="AC46" s="54" t="s">
        <v>1929</v>
      </c>
      <c r="AD46" s="49" t="s">
        <v>1933</v>
      </c>
      <c r="AE46" s="54" t="s">
        <v>1934</v>
      </c>
      <c r="AF46" s="49" t="s">
        <v>1935</v>
      </c>
      <c r="AG46" s="54" t="s">
        <v>1936</v>
      </c>
      <c r="AH46" s="49" t="s">
        <v>1935</v>
      </c>
      <c r="AI46" s="54" t="s">
        <v>1937</v>
      </c>
      <c r="AJ46" s="49" t="s">
        <v>1935</v>
      </c>
      <c r="AK46" s="54" t="s">
        <v>1938</v>
      </c>
      <c r="AL46" s="49" t="s">
        <v>1935</v>
      </c>
      <c r="AM46" s="54" t="s">
        <v>1939</v>
      </c>
      <c r="AN46" s="49" t="s">
        <v>1940</v>
      </c>
      <c r="AO46" s="54" t="s">
        <v>2896</v>
      </c>
      <c r="AP46" s="49" t="s">
        <v>1940</v>
      </c>
    </row>
    <row r="47" spans="1:42" ht="22.5" customHeight="1" x14ac:dyDescent="0.3">
      <c r="A47" s="55" t="s">
        <v>757</v>
      </c>
      <c r="B47" s="49" t="str">
        <f t="shared" si="1"/>
        <v>giftcodesbanner/靈魂衝擊：無限放置-bar.jpg</v>
      </c>
      <c r="D47" s="49" t="str">
        <f t="shared" si="0"/>
        <v>https://www.ssbuy.tw/gift-codes.html?game=靈魂衝擊：無限放置</v>
      </c>
      <c r="E47" s="50" t="s">
        <v>1941</v>
      </c>
      <c r="F47" s="51" t="s">
        <v>1730</v>
      </c>
      <c r="G47" s="52" t="s">
        <v>1731</v>
      </c>
      <c r="H47" s="52" t="s">
        <v>1860</v>
      </c>
      <c r="K47" s="53" t="s">
        <v>2897</v>
      </c>
      <c r="L47" s="49" t="s">
        <v>1733</v>
      </c>
      <c r="M47" s="54" t="s">
        <v>1942</v>
      </c>
      <c r="N47" s="49" t="s">
        <v>1733</v>
      </c>
      <c r="O47" s="54" t="s">
        <v>1943</v>
      </c>
      <c r="P47" s="49" t="s">
        <v>1733</v>
      </c>
      <c r="Q47" s="54" t="s">
        <v>2898</v>
      </c>
      <c r="R47" s="49" t="s">
        <v>1733</v>
      </c>
      <c r="S47" s="54" t="s">
        <v>1944</v>
      </c>
      <c r="T47" s="49" t="s">
        <v>1733</v>
      </c>
    </row>
    <row r="48" spans="1:42" ht="22.5" customHeight="1" x14ac:dyDescent="0.3">
      <c r="A48" s="55" t="s">
        <v>2899</v>
      </c>
      <c r="B48" s="49" t="str">
        <f t="shared" si="1"/>
        <v>giftcodesbanner/楓葉島-bar.jpg</v>
      </c>
      <c r="D48" s="49" t="str">
        <f t="shared" si="0"/>
        <v>https://www.ssbuy.tw/gift-codes.html?game=楓葉島</v>
      </c>
      <c r="E48" s="50" t="s">
        <v>2900</v>
      </c>
      <c r="F48" s="51" t="s">
        <v>1730</v>
      </c>
      <c r="G48" s="52" t="s">
        <v>1731</v>
      </c>
      <c r="H48" s="52" t="s">
        <v>1860</v>
      </c>
      <c r="K48" s="53" t="s">
        <v>1945</v>
      </c>
      <c r="L48" s="49" t="s">
        <v>1733</v>
      </c>
      <c r="M48" s="54" t="s">
        <v>2901</v>
      </c>
      <c r="N48" s="49" t="s">
        <v>1733</v>
      </c>
      <c r="O48" s="54" t="s">
        <v>1946</v>
      </c>
      <c r="P48" s="49" t="s">
        <v>1733</v>
      </c>
      <c r="Q48" s="54" t="s">
        <v>2902</v>
      </c>
      <c r="R48" s="49" t="s">
        <v>1733</v>
      </c>
      <c r="S48" s="54" t="s">
        <v>2903</v>
      </c>
      <c r="T48" s="49" t="s">
        <v>1733</v>
      </c>
      <c r="U48" s="54" t="s">
        <v>2904</v>
      </c>
      <c r="V48" s="49" t="s">
        <v>1733</v>
      </c>
      <c r="W48" s="54" t="s">
        <v>2905</v>
      </c>
      <c r="X48" s="49" t="s">
        <v>1733</v>
      </c>
      <c r="Y48" s="54" t="s">
        <v>1947</v>
      </c>
      <c r="Z48" s="49" t="s">
        <v>1733</v>
      </c>
      <c r="AA48" s="54" t="s">
        <v>2906</v>
      </c>
      <c r="AB48" s="49" t="s">
        <v>1733</v>
      </c>
      <c r="AC48" s="54" t="s">
        <v>1948</v>
      </c>
      <c r="AD48" s="49" t="s">
        <v>1733</v>
      </c>
    </row>
    <row r="49" spans="1:50" ht="22.5" customHeight="1" x14ac:dyDescent="0.3">
      <c r="A49" s="55" t="s">
        <v>774</v>
      </c>
      <c r="B49" s="49" t="str">
        <f t="shared" si="1"/>
        <v>giftcodesbanner/無名江湖-bar.jpg</v>
      </c>
      <c r="D49" s="49" t="str">
        <f t="shared" si="0"/>
        <v>https://www.ssbuy.tw/gift-codes.html?game=無名江湖</v>
      </c>
      <c r="E49" s="50" t="s">
        <v>1949</v>
      </c>
      <c r="F49" s="51" t="s">
        <v>1730</v>
      </c>
      <c r="G49" s="52" t="s">
        <v>1731</v>
      </c>
      <c r="H49" s="52" t="s">
        <v>1860</v>
      </c>
      <c r="K49" s="53" t="s">
        <v>1950</v>
      </c>
      <c r="L49" s="49" t="s">
        <v>2907</v>
      </c>
      <c r="M49" s="54" t="s">
        <v>1951</v>
      </c>
      <c r="N49" s="49" t="s">
        <v>2908</v>
      </c>
      <c r="O49" s="54" t="s">
        <v>2909</v>
      </c>
      <c r="P49" s="49" t="s">
        <v>2910</v>
      </c>
      <c r="Q49" s="54" t="s">
        <v>2911</v>
      </c>
      <c r="R49" s="49" t="s">
        <v>2908</v>
      </c>
    </row>
    <row r="50" spans="1:50" ht="22.5" customHeight="1" x14ac:dyDescent="0.3">
      <c r="A50" s="55" t="s">
        <v>782</v>
      </c>
      <c r="B50" s="49" t="str">
        <f t="shared" si="1"/>
        <v>giftcodesbanner/萬妖領域-bar.jpg</v>
      </c>
      <c r="D50" s="49" t="str">
        <f t="shared" si="0"/>
        <v>https://www.ssbuy.tw/gift-codes.html?game=萬妖領域</v>
      </c>
      <c r="E50" s="50" t="s">
        <v>2912</v>
      </c>
      <c r="F50" s="51" t="s">
        <v>1730</v>
      </c>
      <c r="G50" s="52" t="s">
        <v>1731</v>
      </c>
      <c r="H50" s="52" t="s">
        <v>1860</v>
      </c>
      <c r="K50" s="53" t="s">
        <v>1952</v>
      </c>
      <c r="L50" s="49" t="s">
        <v>1733</v>
      </c>
      <c r="M50" s="54" t="s">
        <v>2076</v>
      </c>
      <c r="N50" s="49" t="s">
        <v>1733</v>
      </c>
      <c r="O50" s="54" t="s">
        <v>1861</v>
      </c>
      <c r="P50" s="49" t="s">
        <v>1733</v>
      </c>
      <c r="Q50" s="54" t="s">
        <v>1953</v>
      </c>
      <c r="R50" s="49" t="s">
        <v>1733</v>
      </c>
      <c r="S50" s="54" t="s">
        <v>2913</v>
      </c>
      <c r="T50" s="49" t="s">
        <v>1733</v>
      </c>
      <c r="U50" s="54" t="s">
        <v>1954</v>
      </c>
      <c r="V50" s="49" t="s">
        <v>1733</v>
      </c>
      <c r="W50" s="54" t="s">
        <v>2914</v>
      </c>
      <c r="X50" s="49" t="s">
        <v>1733</v>
      </c>
      <c r="Y50" s="54" t="s">
        <v>2915</v>
      </c>
      <c r="Z50" s="49" t="s">
        <v>1733</v>
      </c>
    </row>
    <row r="51" spans="1:50" ht="22.5" customHeight="1" x14ac:dyDescent="0.3">
      <c r="A51" s="55" t="s">
        <v>790</v>
      </c>
      <c r="B51" s="49" t="str">
        <f t="shared" si="1"/>
        <v>giftcodesbanner/一姬當千TD-bar.jpg</v>
      </c>
      <c r="D51" s="49" t="str">
        <f t="shared" si="0"/>
        <v>https://www.ssbuy.tw/gift-codes.html?game=一姬當千TD</v>
      </c>
      <c r="E51" s="50" t="s">
        <v>1955</v>
      </c>
      <c r="F51" s="51" t="s">
        <v>1730</v>
      </c>
      <c r="G51" s="52" t="s">
        <v>1731</v>
      </c>
      <c r="H51" s="52" t="s">
        <v>1860</v>
      </c>
      <c r="K51" s="53" t="s">
        <v>1952</v>
      </c>
      <c r="L51" s="49" t="s">
        <v>1733</v>
      </c>
      <c r="M51" s="54" t="s">
        <v>1861</v>
      </c>
      <c r="N51" s="49" t="s">
        <v>1733</v>
      </c>
      <c r="O51" s="54" t="s">
        <v>1956</v>
      </c>
      <c r="P51" s="49" t="s">
        <v>1733</v>
      </c>
      <c r="Q51" s="54" t="s">
        <v>1957</v>
      </c>
      <c r="R51" s="49" t="s">
        <v>1733</v>
      </c>
    </row>
    <row r="52" spans="1:50" ht="22.5" customHeight="1" x14ac:dyDescent="0.3">
      <c r="A52" s="55" t="s">
        <v>797</v>
      </c>
      <c r="B52" s="49" t="str">
        <f t="shared" si="1"/>
        <v>giftcodesbanner/劍客行-bar.jpg</v>
      </c>
      <c r="D52" s="49" t="str">
        <f t="shared" si="0"/>
        <v>https://www.ssbuy.tw/gift-codes.html?game=劍客行</v>
      </c>
      <c r="E52" s="50" t="s">
        <v>1958</v>
      </c>
      <c r="F52" s="51" t="s">
        <v>1730</v>
      </c>
      <c r="G52" s="52" t="s">
        <v>1731</v>
      </c>
      <c r="H52" s="52" t="s">
        <v>1860</v>
      </c>
      <c r="K52" s="53" t="s">
        <v>1959</v>
      </c>
      <c r="L52" s="49" t="s">
        <v>1960</v>
      </c>
      <c r="M52" s="54" t="s">
        <v>2916</v>
      </c>
      <c r="N52" s="49" t="s">
        <v>1960</v>
      </c>
    </row>
    <row r="53" spans="1:50" ht="22.5" customHeight="1" x14ac:dyDescent="0.3">
      <c r="A53" s="55" t="s">
        <v>806</v>
      </c>
      <c r="B53" s="49" t="str">
        <f t="shared" si="1"/>
        <v>giftcodesbanner/時之樹少女-bar.jpg</v>
      </c>
      <c r="D53" s="49" t="str">
        <f t="shared" si="0"/>
        <v>https://www.ssbuy.tw/gift-codes.html?game=時之樹少女</v>
      </c>
      <c r="E53" s="50" t="s">
        <v>2917</v>
      </c>
      <c r="F53" s="51" t="s">
        <v>1730</v>
      </c>
      <c r="G53" s="52" t="s">
        <v>1731</v>
      </c>
      <c r="H53" s="52" t="s">
        <v>1860</v>
      </c>
      <c r="K53" s="53" t="s">
        <v>2918</v>
      </c>
      <c r="L53" s="49" t="s">
        <v>2919</v>
      </c>
      <c r="M53" s="54" t="s">
        <v>1961</v>
      </c>
      <c r="N53" s="49" t="s">
        <v>1962</v>
      </c>
      <c r="O53" s="54" t="s">
        <v>2920</v>
      </c>
      <c r="P53" s="49" t="s">
        <v>1963</v>
      </c>
      <c r="Q53" s="54" t="s">
        <v>1964</v>
      </c>
      <c r="R53" s="49" t="s">
        <v>1965</v>
      </c>
    </row>
    <row r="54" spans="1:50" ht="22.5" customHeight="1" x14ac:dyDescent="0.3">
      <c r="A54" s="55" t="s">
        <v>2921</v>
      </c>
      <c r="B54" s="49" t="str">
        <f t="shared" si="1"/>
        <v>giftcodesbanner/錨點降臨Re：Code-bar.jpg</v>
      </c>
      <c r="D54" s="49" t="str">
        <f t="shared" si="0"/>
        <v>https://www.ssbuy.tw/gift-codes.html?game=錨點降臨Re：Code</v>
      </c>
      <c r="E54" s="50" t="s">
        <v>1966</v>
      </c>
      <c r="F54" s="51" t="s">
        <v>1730</v>
      </c>
      <c r="G54" s="52" t="s">
        <v>1731</v>
      </c>
      <c r="H54" s="52" t="s">
        <v>1860</v>
      </c>
      <c r="K54" s="59" t="s">
        <v>1967</v>
      </c>
      <c r="L54" s="52" t="s">
        <v>1968</v>
      </c>
      <c r="M54" s="60" t="s">
        <v>1969</v>
      </c>
      <c r="N54" s="52" t="s">
        <v>1970</v>
      </c>
      <c r="O54" s="60" t="s">
        <v>1971</v>
      </c>
      <c r="P54" s="52" t="s">
        <v>1968</v>
      </c>
      <c r="Q54" s="60" t="s">
        <v>1972</v>
      </c>
      <c r="R54" s="52" t="s">
        <v>1968</v>
      </c>
      <c r="S54" s="60" t="s">
        <v>1973</v>
      </c>
      <c r="T54" s="52" t="s">
        <v>1974</v>
      </c>
      <c r="U54" s="60" t="s">
        <v>1975</v>
      </c>
      <c r="V54" s="52" t="s">
        <v>1976</v>
      </c>
      <c r="W54" s="60" t="s">
        <v>1977</v>
      </c>
      <c r="X54" s="52" t="s">
        <v>1968</v>
      </c>
      <c r="Y54" s="60" t="s">
        <v>1978</v>
      </c>
      <c r="Z54" s="52" t="s">
        <v>1968</v>
      </c>
      <c r="AA54" s="60" t="s">
        <v>1979</v>
      </c>
      <c r="AB54" s="52" t="s">
        <v>1974</v>
      </c>
      <c r="AC54" s="60" t="s">
        <v>1980</v>
      </c>
      <c r="AD54" s="52" t="s">
        <v>1981</v>
      </c>
      <c r="AE54" s="60" t="s">
        <v>1982</v>
      </c>
      <c r="AF54" s="52" t="s">
        <v>1981</v>
      </c>
      <c r="AG54" s="60" t="s">
        <v>1983</v>
      </c>
      <c r="AH54" s="52" t="s">
        <v>1981</v>
      </c>
      <c r="AI54" s="60" t="s">
        <v>1984</v>
      </c>
      <c r="AJ54" s="52" t="s">
        <v>1981</v>
      </c>
      <c r="AK54" s="60" t="s">
        <v>1985</v>
      </c>
      <c r="AL54" s="52" t="s">
        <v>1981</v>
      </c>
      <c r="AM54" s="60" t="s">
        <v>1986</v>
      </c>
      <c r="AN54" s="52" t="s">
        <v>1981</v>
      </c>
      <c r="AO54" s="60" t="s">
        <v>1987</v>
      </c>
      <c r="AP54" s="52" t="s">
        <v>1981</v>
      </c>
      <c r="AQ54" s="60" t="s">
        <v>1988</v>
      </c>
      <c r="AR54" s="52" t="s">
        <v>1981</v>
      </c>
      <c r="AS54" s="60" t="s">
        <v>1989</v>
      </c>
      <c r="AT54" s="52" t="s">
        <v>1981</v>
      </c>
    </row>
    <row r="55" spans="1:50" ht="22.5" customHeight="1" x14ac:dyDescent="0.3">
      <c r="A55" s="55" t="s">
        <v>2922</v>
      </c>
      <c r="B55" s="49" t="str">
        <f t="shared" si="1"/>
        <v>giftcodesbanner/神契氣靈師-bar.jpg</v>
      </c>
      <c r="D55" s="49" t="str">
        <f t="shared" si="0"/>
        <v>https://www.ssbuy.tw/gift-codes.html?game=神契氣靈師</v>
      </c>
      <c r="E55" s="50" t="s">
        <v>1990</v>
      </c>
      <c r="F55" s="51" t="s">
        <v>1730</v>
      </c>
      <c r="G55" s="52" t="s">
        <v>1731</v>
      </c>
      <c r="H55" s="52" t="s">
        <v>1860</v>
      </c>
      <c r="K55" s="59" t="s">
        <v>1802</v>
      </c>
      <c r="L55" s="52" t="s">
        <v>1991</v>
      </c>
      <c r="M55" s="60" t="s">
        <v>1734</v>
      </c>
      <c r="N55" s="52" t="s">
        <v>1992</v>
      </c>
      <c r="O55" s="60" t="s">
        <v>1735</v>
      </c>
      <c r="P55" s="52" t="s">
        <v>1993</v>
      </c>
      <c r="Q55" s="60" t="s">
        <v>1803</v>
      </c>
      <c r="R55" s="52" t="s">
        <v>1994</v>
      </c>
      <c r="S55" s="60" t="s">
        <v>1804</v>
      </c>
      <c r="T55" s="52" t="s">
        <v>1995</v>
      </c>
      <c r="U55" s="60" t="s">
        <v>1805</v>
      </c>
      <c r="V55" s="52" t="s">
        <v>1996</v>
      </c>
      <c r="W55" s="60" t="s">
        <v>1997</v>
      </c>
      <c r="X55" s="52" t="s">
        <v>1996</v>
      </c>
      <c r="Y55" s="60" t="s">
        <v>1998</v>
      </c>
      <c r="Z55" s="52" t="s">
        <v>1999</v>
      </c>
      <c r="AA55" s="60" t="s">
        <v>2000</v>
      </c>
      <c r="AB55" s="52" t="s">
        <v>2001</v>
      </c>
      <c r="AC55" s="60" t="s">
        <v>2002</v>
      </c>
      <c r="AD55" s="52" t="s">
        <v>2003</v>
      </c>
      <c r="AE55" s="60" t="s">
        <v>2004</v>
      </c>
      <c r="AF55" s="52" t="s">
        <v>2005</v>
      </c>
      <c r="AG55" s="60" t="s">
        <v>2006</v>
      </c>
      <c r="AH55" s="52" t="s">
        <v>2007</v>
      </c>
      <c r="AI55" s="60" t="s">
        <v>2008</v>
      </c>
      <c r="AJ55" s="52" t="s">
        <v>2009</v>
      </c>
      <c r="AK55" s="60" t="s">
        <v>2010</v>
      </c>
      <c r="AL55" s="52" t="s">
        <v>2011</v>
      </c>
      <c r="AM55" s="60" t="s">
        <v>2012</v>
      </c>
      <c r="AN55" s="52" t="s">
        <v>2013</v>
      </c>
      <c r="AO55" s="60" t="s">
        <v>2014</v>
      </c>
      <c r="AP55" s="52" t="s">
        <v>2015</v>
      </c>
    </row>
    <row r="56" spans="1:50" ht="22.5" customHeight="1" x14ac:dyDescent="0.3">
      <c r="A56" s="55" t="s">
        <v>2923</v>
      </c>
      <c r="B56" s="49" t="str">
        <f t="shared" si="1"/>
        <v>giftcodesbanner/不休旅途：繪卷世界-bar.jpg</v>
      </c>
      <c r="D56" s="49" t="str">
        <f t="shared" si="0"/>
        <v>https://www.ssbuy.tw/gift-codes.html?game=不休旅途：繪卷世界</v>
      </c>
      <c r="E56" s="50" t="s">
        <v>2016</v>
      </c>
      <c r="F56" s="51" t="s">
        <v>1730</v>
      </c>
      <c r="G56" s="52" t="s">
        <v>1731</v>
      </c>
      <c r="H56" s="52" t="s">
        <v>1860</v>
      </c>
      <c r="K56" s="59" t="s">
        <v>2017</v>
      </c>
      <c r="L56" s="52" t="s">
        <v>2018</v>
      </c>
      <c r="M56" s="62" t="s">
        <v>2019</v>
      </c>
      <c r="N56" s="48"/>
      <c r="O56" s="54" t="s">
        <v>2924</v>
      </c>
      <c r="P56" s="48"/>
      <c r="Q56" s="54" t="s">
        <v>2020</v>
      </c>
      <c r="R56" s="49" t="s">
        <v>1733</v>
      </c>
      <c r="S56" s="60" t="s">
        <v>2021</v>
      </c>
      <c r="T56" s="52" t="s">
        <v>2022</v>
      </c>
      <c r="U56" s="60" t="s">
        <v>2023</v>
      </c>
      <c r="V56" s="52" t="s">
        <v>2024</v>
      </c>
      <c r="W56" s="60" t="s">
        <v>2025</v>
      </c>
      <c r="X56" s="52" t="s">
        <v>2024</v>
      </c>
      <c r="Y56" s="60" t="s">
        <v>2026</v>
      </c>
      <c r="Z56" s="52" t="s">
        <v>2024</v>
      </c>
      <c r="AA56" s="60" t="s">
        <v>2027</v>
      </c>
      <c r="AB56" s="52" t="s">
        <v>2028</v>
      </c>
      <c r="AC56" s="60" t="s">
        <v>2029</v>
      </c>
      <c r="AD56" s="52" t="s">
        <v>2024</v>
      </c>
    </row>
    <row r="57" spans="1:50" ht="22.5" customHeight="1" x14ac:dyDescent="0.3">
      <c r="A57" s="55" t="s">
        <v>2030</v>
      </c>
      <c r="B57" s="49" t="str">
        <f t="shared" si="1"/>
        <v>giftcodesbanner/別破防鴨-bar.jpg</v>
      </c>
      <c r="D57" s="49" t="str">
        <f t="shared" si="0"/>
        <v>https://www.ssbuy.tw/gift-codes.html?game=別破防鴨</v>
      </c>
      <c r="E57" s="58" t="s">
        <v>2031</v>
      </c>
      <c r="F57" s="51" t="s">
        <v>1730</v>
      </c>
      <c r="G57" s="52" t="s">
        <v>1731</v>
      </c>
      <c r="H57" s="52" t="s">
        <v>1860</v>
      </c>
      <c r="K57" s="59" t="s">
        <v>2032</v>
      </c>
      <c r="L57" s="52" t="s">
        <v>2033</v>
      </c>
      <c r="M57" s="62" t="s">
        <v>2034</v>
      </c>
      <c r="N57" s="63" t="s">
        <v>2035</v>
      </c>
      <c r="O57" s="64" t="s">
        <v>2036</v>
      </c>
      <c r="P57" s="63" t="s">
        <v>2033</v>
      </c>
      <c r="Q57" s="64" t="s">
        <v>2037</v>
      </c>
      <c r="R57" s="63" t="s">
        <v>2033</v>
      </c>
      <c r="S57" s="64" t="s">
        <v>2038</v>
      </c>
      <c r="T57" s="63" t="s">
        <v>2039</v>
      </c>
      <c r="U57" s="64" t="s">
        <v>2040</v>
      </c>
      <c r="V57" s="63" t="s">
        <v>2041</v>
      </c>
      <c r="W57" s="64" t="s">
        <v>2042</v>
      </c>
      <c r="X57" s="63" t="s">
        <v>2043</v>
      </c>
      <c r="Y57" s="64" t="s">
        <v>2044</v>
      </c>
      <c r="Z57" s="63" t="s">
        <v>2045</v>
      </c>
      <c r="AA57" s="64" t="s">
        <v>2046</v>
      </c>
      <c r="AB57" s="63" t="s">
        <v>2045</v>
      </c>
      <c r="AC57" s="64" t="s">
        <v>2047</v>
      </c>
      <c r="AD57" s="63" t="s">
        <v>2045</v>
      </c>
      <c r="AE57" s="64" t="s">
        <v>2048</v>
      </c>
      <c r="AF57" s="63" t="s">
        <v>2041</v>
      </c>
      <c r="AG57" s="64" t="s">
        <v>2049</v>
      </c>
      <c r="AH57" s="63" t="s">
        <v>2043</v>
      </c>
    </row>
    <row r="58" spans="1:50" ht="22.5" customHeight="1" x14ac:dyDescent="0.3">
      <c r="A58" s="55" t="s">
        <v>846</v>
      </c>
      <c r="B58" s="49" t="str">
        <f t="shared" si="1"/>
        <v>giftcodesbanner/超派救星幫幫忙-bar.jpg</v>
      </c>
      <c r="D58" s="49" t="str">
        <f t="shared" si="0"/>
        <v>https://www.ssbuy.tw/gift-codes.html?game=超派救星幫幫忙</v>
      </c>
      <c r="E58" s="50" t="s">
        <v>2050</v>
      </c>
      <c r="F58" s="51" t="s">
        <v>1730</v>
      </c>
      <c r="G58" s="52" t="s">
        <v>1731</v>
      </c>
      <c r="H58" s="52" t="s">
        <v>1860</v>
      </c>
      <c r="K58" s="65" t="s">
        <v>1802</v>
      </c>
      <c r="L58" s="63" t="s">
        <v>2051</v>
      </c>
      <c r="M58" s="64" t="s">
        <v>1734</v>
      </c>
      <c r="N58" s="63" t="s">
        <v>2051</v>
      </c>
      <c r="O58" s="64" t="s">
        <v>1735</v>
      </c>
      <c r="P58" s="63" t="s">
        <v>2051</v>
      </c>
    </row>
    <row r="59" spans="1:50" ht="22.5" customHeight="1" x14ac:dyDescent="0.3">
      <c r="A59" s="55" t="s">
        <v>857</v>
      </c>
      <c r="B59" s="49" t="str">
        <f t="shared" si="1"/>
        <v>giftcodesbanner/時光大爆炸-bar.jpg</v>
      </c>
      <c r="D59" s="49" t="str">
        <f t="shared" si="0"/>
        <v>https://www.ssbuy.tw/gift-codes.html?game=時光大爆炸</v>
      </c>
      <c r="E59" s="50" t="s">
        <v>2925</v>
      </c>
      <c r="F59" s="51" t="s">
        <v>1730</v>
      </c>
      <c r="G59" s="52" t="s">
        <v>1731</v>
      </c>
      <c r="H59" s="52" t="s">
        <v>1860</v>
      </c>
      <c r="K59" s="53" t="s">
        <v>2052</v>
      </c>
      <c r="L59" s="49" t="s">
        <v>1733</v>
      </c>
      <c r="M59" s="54" t="s">
        <v>2053</v>
      </c>
      <c r="N59" s="49" t="s">
        <v>1733</v>
      </c>
      <c r="O59" s="54" t="s">
        <v>2054</v>
      </c>
      <c r="P59" s="49" t="s">
        <v>1733</v>
      </c>
      <c r="Q59" s="54" t="s">
        <v>2055</v>
      </c>
      <c r="R59" s="49" t="s">
        <v>1733</v>
      </c>
      <c r="S59" s="54" t="s">
        <v>2056</v>
      </c>
      <c r="T59" s="49" t="s">
        <v>1733</v>
      </c>
      <c r="U59" s="54" t="s">
        <v>2057</v>
      </c>
      <c r="V59" s="49" t="s">
        <v>1733</v>
      </c>
      <c r="W59" s="54" t="s">
        <v>2058</v>
      </c>
      <c r="X59" s="49" t="s">
        <v>1733</v>
      </c>
      <c r="Y59" s="54" t="s">
        <v>2059</v>
      </c>
      <c r="Z59" s="49" t="s">
        <v>1733</v>
      </c>
      <c r="AA59" s="54" t="s">
        <v>2060</v>
      </c>
      <c r="AB59" s="49" t="s">
        <v>1733</v>
      </c>
    </row>
    <row r="60" spans="1:50" ht="22.5" customHeight="1" x14ac:dyDescent="0.3">
      <c r="A60" s="55" t="s">
        <v>866</v>
      </c>
      <c r="B60" s="49" t="str">
        <f t="shared" si="1"/>
        <v>giftcodesbanner/深淵：不滅者-bar.jpg</v>
      </c>
      <c r="D60" s="49" t="str">
        <f t="shared" si="0"/>
        <v>https://www.ssbuy.tw/gift-codes.html?game=深淵：不滅者</v>
      </c>
      <c r="E60" s="50" t="s">
        <v>2926</v>
      </c>
      <c r="F60" s="51" t="s">
        <v>1730</v>
      </c>
      <c r="G60" s="52" t="s">
        <v>1731</v>
      </c>
      <c r="H60" s="52" t="s">
        <v>1860</v>
      </c>
      <c r="K60" s="59" t="s">
        <v>2061</v>
      </c>
      <c r="L60" s="52" t="s">
        <v>2062</v>
      </c>
      <c r="M60" s="60" t="s">
        <v>2063</v>
      </c>
      <c r="N60" s="52" t="s">
        <v>2064</v>
      </c>
      <c r="O60" s="60" t="s">
        <v>2065</v>
      </c>
      <c r="P60" s="52" t="s">
        <v>2066</v>
      </c>
      <c r="Q60" s="60" t="s">
        <v>2067</v>
      </c>
      <c r="R60" s="52" t="s">
        <v>2068</v>
      </c>
      <c r="S60" s="60" t="s">
        <v>1839</v>
      </c>
      <c r="T60" s="52" t="s">
        <v>2069</v>
      </c>
      <c r="U60" s="60" t="s">
        <v>1802</v>
      </c>
      <c r="V60" s="52" t="s">
        <v>2069</v>
      </c>
      <c r="W60" s="60" t="s">
        <v>1734</v>
      </c>
      <c r="X60" s="52" t="s">
        <v>2070</v>
      </c>
      <c r="Y60" s="60" t="s">
        <v>1735</v>
      </c>
      <c r="Z60" s="52" t="s">
        <v>2070</v>
      </c>
      <c r="AA60" s="60" t="s">
        <v>1840</v>
      </c>
      <c r="AB60" s="52" t="s">
        <v>2070</v>
      </c>
      <c r="AC60" s="60" t="s">
        <v>1803</v>
      </c>
      <c r="AD60" s="52" t="s">
        <v>2070</v>
      </c>
      <c r="AE60" s="60" t="s">
        <v>1804</v>
      </c>
      <c r="AF60" s="52" t="s">
        <v>2070</v>
      </c>
      <c r="AG60" s="60" t="s">
        <v>1805</v>
      </c>
      <c r="AH60" s="52" t="s">
        <v>2070</v>
      </c>
      <c r="AI60" s="60" t="s">
        <v>2071</v>
      </c>
      <c r="AJ60" s="52" t="s">
        <v>2070</v>
      </c>
    </row>
    <row r="61" spans="1:50" ht="22.5" customHeight="1" x14ac:dyDescent="0.3">
      <c r="A61" s="55" t="s">
        <v>2</v>
      </c>
      <c r="B61" s="49" t="str">
        <f t="shared" si="1"/>
        <v>giftcodesbanner/Last War-bar.jpg</v>
      </c>
      <c r="D61" s="49" t="str">
        <f t="shared" si="0"/>
        <v>https://www.ssbuy.tw/gift-codes.html?game=Last War</v>
      </c>
      <c r="E61" s="50" t="s">
        <v>2927</v>
      </c>
      <c r="F61" s="51" t="s">
        <v>1730</v>
      </c>
      <c r="G61" s="52" t="s">
        <v>1731</v>
      </c>
      <c r="H61" s="52" t="s">
        <v>1860</v>
      </c>
      <c r="K61" s="53" t="s">
        <v>2072</v>
      </c>
      <c r="L61" s="49" t="s">
        <v>1940</v>
      </c>
    </row>
    <row r="62" spans="1:50" ht="22.5" customHeight="1" x14ac:dyDescent="0.3">
      <c r="A62" s="55" t="s">
        <v>883</v>
      </c>
      <c r="B62" s="49" t="str">
        <f t="shared" si="1"/>
        <v>giftcodesbanner/勇士不要停-bar.jpg</v>
      </c>
      <c r="D62" s="49" t="str">
        <f t="shared" si="0"/>
        <v>https://www.ssbuy.tw/gift-codes.html?game=勇士不要停</v>
      </c>
      <c r="E62" s="50" t="s">
        <v>2073</v>
      </c>
      <c r="F62" s="51" t="s">
        <v>1730</v>
      </c>
      <c r="G62" s="52" t="s">
        <v>1731</v>
      </c>
      <c r="H62" s="52" t="s">
        <v>1860</v>
      </c>
      <c r="K62" s="53" t="s">
        <v>2074</v>
      </c>
      <c r="L62" s="49" t="s">
        <v>1940</v>
      </c>
      <c r="M62" s="54" t="s">
        <v>2928</v>
      </c>
      <c r="N62" s="49" t="s">
        <v>1940</v>
      </c>
      <c r="O62" s="54" t="s">
        <v>2929</v>
      </c>
      <c r="P62" s="49" t="s">
        <v>1940</v>
      </c>
      <c r="Q62" s="54" t="s">
        <v>2075</v>
      </c>
      <c r="R62" s="49" t="s">
        <v>1940</v>
      </c>
      <c r="S62" s="54" t="s">
        <v>2930</v>
      </c>
      <c r="T62" s="49" t="s">
        <v>1940</v>
      </c>
      <c r="U62" s="54" t="s">
        <v>2931</v>
      </c>
      <c r="V62" s="49" t="s">
        <v>1940</v>
      </c>
      <c r="W62" s="54" t="s">
        <v>2932</v>
      </c>
      <c r="X62" s="49" t="s">
        <v>1940</v>
      </c>
      <c r="Y62" s="54" t="s">
        <v>1952</v>
      </c>
      <c r="Z62" s="49" t="s">
        <v>1940</v>
      </c>
      <c r="AA62" s="54" t="s">
        <v>2076</v>
      </c>
      <c r="AB62" s="49" t="s">
        <v>1940</v>
      </c>
      <c r="AC62" s="54" t="s">
        <v>1861</v>
      </c>
      <c r="AD62" s="49" t="s">
        <v>1940</v>
      </c>
      <c r="AE62" s="54" t="s">
        <v>2445</v>
      </c>
      <c r="AF62" s="49" t="s">
        <v>1940</v>
      </c>
      <c r="AG62" s="54" t="s">
        <v>2933</v>
      </c>
      <c r="AH62" s="49" t="s">
        <v>1940</v>
      </c>
      <c r="AI62" s="54" t="s">
        <v>2077</v>
      </c>
      <c r="AJ62" s="49" t="s">
        <v>1940</v>
      </c>
      <c r="AK62" s="54" t="s">
        <v>2934</v>
      </c>
      <c r="AL62" s="49" t="s">
        <v>1940</v>
      </c>
      <c r="AM62" s="54" t="s">
        <v>2935</v>
      </c>
      <c r="AN62" s="49" t="s">
        <v>1940</v>
      </c>
    </row>
    <row r="63" spans="1:50" ht="22.5" customHeight="1" x14ac:dyDescent="0.3">
      <c r="A63" s="55" t="s">
        <v>890</v>
      </c>
      <c r="B63" s="49" t="str">
        <f t="shared" si="1"/>
        <v>giftcodesbanner/元氣火柴人-bar.jpg</v>
      </c>
      <c r="D63" s="49" t="str">
        <f t="shared" si="0"/>
        <v>https://www.ssbuy.tw/gift-codes.html?game=元氣火柴人</v>
      </c>
      <c r="E63" s="58" t="s">
        <v>2936</v>
      </c>
      <c r="F63" s="51" t="s">
        <v>1730</v>
      </c>
      <c r="G63" s="52" t="s">
        <v>1731</v>
      </c>
      <c r="H63" s="52" t="s">
        <v>1860</v>
      </c>
      <c r="K63" s="53" t="s">
        <v>1952</v>
      </c>
      <c r="L63" s="49" t="s">
        <v>1940</v>
      </c>
      <c r="M63" s="54" t="s">
        <v>2076</v>
      </c>
      <c r="N63" s="49" t="s">
        <v>1940</v>
      </c>
      <c r="O63" s="54" t="s">
        <v>1861</v>
      </c>
      <c r="P63" s="49" t="s">
        <v>1940</v>
      </c>
      <c r="Q63" s="54" t="s">
        <v>1953</v>
      </c>
      <c r="R63" s="49" t="s">
        <v>1940</v>
      </c>
      <c r="S63" s="54" t="s">
        <v>2937</v>
      </c>
      <c r="T63" s="49" t="s">
        <v>1940</v>
      </c>
      <c r="U63" s="54" t="s">
        <v>2938</v>
      </c>
      <c r="V63" s="49" t="s">
        <v>1940</v>
      </c>
      <c r="W63" s="54" t="s">
        <v>2939</v>
      </c>
      <c r="X63" s="49" t="s">
        <v>1940</v>
      </c>
      <c r="Y63" s="54" t="s">
        <v>2078</v>
      </c>
      <c r="Z63" s="49" t="s">
        <v>1940</v>
      </c>
      <c r="AA63" s="54" t="s">
        <v>2940</v>
      </c>
      <c r="AB63" s="49" t="s">
        <v>1940</v>
      </c>
      <c r="AC63" s="54" t="s">
        <v>2941</v>
      </c>
      <c r="AD63" s="49" t="s">
        <v>1940</v>
      </c>
      <c r="AE63" s="54" t="s">
        <v>2079</v>
      </c>
      <c r="AF63" s="49" t="s">
        <v>1940</v>
      </c>
      <c r="AG63" s="54" t="s">
        <v>2933</v>
      </c>
      <c r="AH63" s="49" t="s">
        <v>1940</v>
      </c>
      <c r="AI63" s="54" t="s">
        <v>2934</v>
      </c>
      <c r="AJ63" s="49" t="s">
        <v>1940</v>
      </c>
      <c r="AK63" s="54" t="s">
        <v>2080</v>
      </c>
      <c r="AL63" s="49" t="s">
        <v>1940</v>
      </c>
      <c r="AM63" s="54" t="s">
        <v>2081</v>
      </c>
      <c r="AN63" s="49" t="s">
        <v>1940</v>
      </c>
      <c r="AO63" s="54" t="s">
        <v>2082</v>
      </c>
      <c r="AP63" s="49" t="s">
        <v>1940</v>
      </c>
      <c r="AQ63" s="54" t="s">
        <v>2083</v>
      </c>
      <c r="AR63" s="49" t="s">
        <v>1940</v>
      </c>
      <c r="AS63" s="54" t="s">
        <v>2084</v>
      </c>
      <c r="AT63" s="49" t="s">
        <v>1940</v>
      </c>
      <c r="AU63" s="54" t="s">
        <v>2085</v>
      </c>
      <c r="AV63" s="49" t="s">
        <v>1940</v>
      </c>
      <c r="AW63" s="54" t="s">
        <v>2086</v>
      </c>
      <c r="AX63" s="49" t="s">
        <v>1940</v>
      </c>
    </row>
    <row r="64" spans="1:50" ht="22.5" customHeight="1" x14ac:dyDescent="0.3">
      <c r="A64" s="55" t="s">
        <v>899</v>
      </c>
      <c r="B64" s="49" t="str">
        <f t="shared" si="1"/>
        <v>giftcodesbanner/深淵之影-bar.jpg</v>
      </c>
      <c r="D64" s="49" t="str">
        <f t="shared" si="0"/>
        <v>https://www.ssbuy.tw/gift-codes.html?game=深淵之影</v>
      </c>
      <c r="E64" s="50" t="s">
        <v>2942</v>
      </c>
      <c r="F64" s="51" t="s">
        <v>1730</v>
      </c>
      <c r="G64" s="52" t="s">
        <v>1731</v>
      </c>
      <c r="H64" s="52" t="s">
        <v>1860</v>
      </c>
      <c r="K64" s="53" t="s">
        <v>2943</v>
      </c>
      <c r="L64" s="49" t="s">
        <v>2944</v>
      </c>
      <c r="M64" s="54" t="s">
        <v>2945</v>
      </c>
      <c r="N64" s="49" t="s">
        <v>1940</v>
      </c>
    </row>
    <row r="65" spans="1:46" ht="22.5" customHeight="1" x14ac:dyDescent="0.3">
      <c r="A65" s="55" t="s">
        <v>904</v>
      </c>
      <c r="B65" s="49" t="str">
        <f t="shared" si="1"/>
        <v>giftcodesbanner/玩星派對-bar.jpg</v>
      </c>
      <c r="D65" s="49" t="str">
        <f t="shared" si="0"/>
        <v>https://www.ssbuy.tw/gift-codes.html?game=玩星派對</v>
      </c>
      <c r="E65" s="50" t="s">
        <v>2087</v>
      </c>
      <c r="F65" s="51" t="s">
        <v>1730</v>
      </c>
      <c r="G65" s="52" t="s">
        <v>1731</v>
      </c>
      <c r="H65" s="52" t="s">
        <v>1860</v>
      </c>
      <c r="K65" s="53" t="s">
        <v>2088</v>
      </c>
      <c r="L65" s="49" t="s">
        <v>1940</v>
      </c>
      <c r="M65" s="54" t="s">
        <v>2089</v>
      </c>
      <c r="N65" s="49" t="s">
        <v>1940</v>
      </c>
      <c r="O65" s="54" t="s">
        <v>2946</v>
      </c>
      <c r="P65" s="49" t="s">
        <v>1940</v>
      </c>
      <c r="Q65" s="54" t="s">
        <v>2090</v>
      </c>
      <c r="R65" s="49" t="s">
        <v>1940</v>
      </c>
      <c r="S65" s="54" t="s">
        <v>2947</v>
      </c>
      <c r="T65" s="49" t="s">
        <v>1940</v>
      </c>
      <c r="U65" s="54" t="s">
        <v>2091</v>
      </c>
      <c r="V65" s="49" t="s">
        <v>1940</v>
      </c>
    </row>
    <row r="66" spans="1:46" ht="22.5" customHeight="1" x14ac:dyDescent="0.3">
      <c r="A66" s="55" t="s">
        <v>2092</v>
      </c>
      <c r="B66" s="49" t="str">
        <f t="shared" si="1"/>
        <v>giftcodesbanner/進化吧!我的人生-bar.jpg</v>
      </c>
      <c r="D66" s="49" t="str">
        <f t="shared" ref="D66:D129" si="2">"https://www.ssbuy.tw/gift-codes.html?game="&amp;A66</f>
        <v>https://www.ssbuy.tw/gift-codes.html?game=進化吧!我的人生</v>
      </c>
      <c r="E66" s="50" t="s">
        <v>2093</v>
      </c>
      <c r="F66" s="51" t="s">
        <v>1730</v>
      </c>
      <c r="G66" s="52" t="s">
        <v>1731</v>
      </c>
      <c r="H66" s="52" t="s">
        <v>1860</v>
      </c>
      <c r="K66" s="53" t="s">
        <v>2094</v>
      </c>
      <c r="L66" s="49" t="s">
        <v>2095</v>
      </c>
      <c r="M66" s="54" t="s">
        <v>2948</v>
      </c>
      <c r="N66" s="49" t="s">
        <v>2096</v>
      </c>
      <c r="O66" s="54" t="s">
        <v>2097</v>
      </c>
      <c r="P66" s="49" t="s">
        <v>2098</v>
      </c>
      <c r="Q66" s="54" t="s">
        <v>2949</v>
      </c>
      <c r="R66" s="49" t="s">
        <v>2950</v>
      </c>
      <c r="S66" s="54" t="s">
        <v>2099</v>
      </c>
      <c r="T66" s="49" t="s">
        <v>2951</v>
      </c>
      <c r="U66" s="54" t="s">
        <v>1952</v>
      </c>
      <c r="V66" s="49" t="s">
        <v>1940</v>
      </c>
    </row>
    <row r="67" spans="1:46" ht="22.5" customHeight="1" x14ac:dyDescent="0.3">
      <c r="A67" s="55" t="s">
        <v>920</v>
      </c>
      <c r="B67" s="49" t="str">
        <f t="shared" ref="B67:B125" si="3">"giftcodesbanner/" &amp; A67 &amp; "-bar.jpg"</f>
        <v>giftcodesbanner/星之夢幻島-bar.jpg</v>
      </c>
      <c r="D67" s="49" t="str">
        <f t="shared" si="2"/>
        <v>https://www.ssbuy.tw/gift-codes.html?game=星之夢幻島</v>
      </c>
      <c r="E67" s="50" t="s">
        <v>2100</v>
      </c>
      <c r="F67" s="51" t="s">
        <v>1730</v>
      </c>
      <c r="G67" s="52" t="s">
        <v>1731</v>
      </c>
      <c r="H67" s="52" t="s">
        <v>1860</v>
      </c>
      <c r="K67" s="53" t="s">
        <v>2101</v>
      </c>
      <c r="L67" s="49" t="s">
        <v>1940</v>
      </c>
      <c r="M67" s="54" t="s">
        <v>2102</v>
      </c>
      <c r="N67" s="49" t="s">
        <v>1940</v>
      </c>
      <c r="O67" s="54" t="s">
        <v>2103</v>
      </c>
      <c r="P67" s="49" t="s">
        <v>1940</v>
      </c>
      <c r="Q67" s="54" t="s">
        <v>2104</v>
      </c>
      <c r="R67" s="49" t="s">
        <v>1940</v>
      </c>
      <c r="S67" s="54" t="s">
        <v>2105</v>
      </c>
      <c r="T67" s="49" t="s">
        <v>1940</v>
      </c>
      <c r="U67" s="54" t="s">
        <v>2106</v>
      </c>
      <c r="V67" s="49" t="s">
        <v>1940</v>
      </c>
      <c r="W67" s="54" t="s">
        <v>2107</v>
      </c>
      <c r="X67" s="49" t="s">
        <v>1940</v>
      </c>
    </row>
    <row r="68" spans="1:46" ht="22.5" customHeight="1" x14ac:dyDescent="0.3">
      <c r="A68" s="55" t="s">
        <v>2108</v>
      </c>
      <c r="B68" s="49" t="str">
        <f t="shared" si="3"/>
        <v>giftcodesbanner/小冰冰傳奇：回到最初-bar.jpg</v>
      </c>
      <c r="D68" s="49" t="str">
        <f t="shared" si="2"/>
        <v>https://www.ssbuy.tw/gift-codes.html?game=小冰冰傳奇：回到最初</v>
      </c>
      <c r="E68" s="50" t="s">
        <v>2109</v>
      </c>
      <c r="F68" s="51" t="s">
        <v>1730</v>
      </c>
      <c r="G68" s="52" t="s">
        <v>1731</v>
      </c>
      <c r="H68" s="52" t="s">
        <v>1860</v>
      </c>
      <c r="K68" s="53" t="s">
        <v>2110</v>
      </c>
      <c r="L68" s="49" t="s">
        <v>1940</v>
      </c>
      <c r="M68" s="54" t="s">
        <v>2111</v>
      </c>
      <c r="N68" s="49" t="s">
        <v>1940</v>
      </c>
      <c r="O68" s="54" t="s">
        <v>2112</v>
      </c>
      <c r="P68" s="49" t="s">
        <v>1940</v>
      </c>
      <c r="Q68" s="54" t="s">
        <v>2952</v>
      </c>
      <c r="R68" s="49" t="s">
        <v>1940</v>
      </c>
      <c r="S68" s="54" t="s">
        <v>2953</v>
      </c>
      <c r="T68" s="49" t="s">
        <v>1940</v>
      </c>
      <c r="U68" s="54" t="s">
        <v>1952</v>
      </c>
      <c r="V68" s="49" t="s">
        <v>1940</v>
      </c>
      <c r="W68" s="54" t="s">
        <v>2076</v>
      </c>
      <c r="X68" s="49" t="s">
        <v>1940</v>
      </c>
      <c r="Y68" s="54" t="s">
        <v>1861</v>
      </c>
      <c r="Z68" s="49" t="s">
        <v>1940</v>
      </c>
      <c r="AA68" s="54" t="s">
        <v>2954</v>
      </c>
      <c r="AB68" s="49" t="s">
        <v>1940</v>
      </c>
    </row>
    <row r="69" spans="1:46" ht="22.5" customHeight="1" x14ac:dyDescent="0.3">
      <c r="A69" s="55" t="s">
        <v>936</v>
      </c>
      <c r="B69" s="49" t="str">
        <f t="shared" si="3"/>
        <v>giftcodesbanner/江湖風雲傳-bar.jpg</v>
      </c>
      <c r="D69" s="49" t="str">
        <f t="shared" si="2"/>
        <v>https://www.ssbuy.tw/gift-codes.html?game=江湖風雲傳</v>
      </c>
      <c r="E69" s="50" t="s">
        <v>2955</v>
      </c>
      <c r="F69" s="51" t="s">
        <v>1730</v>
      </c>
      <c r="G69" s="52" t="s">
        <v>1731</v>
      </c>
      <c r="H69" s="52" t="s">
        <v>1860</v>
      </c>
      <c r="K69" s="53" t="s">
        <v>2113</v>
      </c>
      <c r="L69" s="49" t="s">
        <v>2114</v>
      </c>
      <c r="M69" s="54" t="s">
        <v>2115</v>
      </c>
      <c r="N69" s="49" t="s">
        <v>2116</v>
      </c>
      <c r="O69" s="54" t="s">
        <v>2117</v>
      </c>
      <c r="P69" s="49" t="s">
        <v>2118</v>
      </c>
    </row>
    <row r="70" spans="1:46" ht="22.5" customHeight="1" x14ac:dyDescent="0.3">
      <c r="A70" s="55" t="s">
        <v>2119</v>
      </c>
      <c r="B70" s="49" t="str">
        <f t="shared" si="3"/>
        <v>giftcodesbanner/星願之冠：狼少女物語-bar.jpg</v>
      </c>
      <c r="D70" s="49" t="str">
        <f t="shared" si="2"/>
        <v>https://www.ssbuy.tw/gift-codes.html?game=星願之冠：狼少女物語</v>
      </c>
      <c r="E70" s="50" t="s">
        <v>2120</v>
      </c>
      <c r="F70" s="51" t="s">
        <v>1730</v>
      </c>
      <c r="G70" s="52" t="s">
        <v>1731</v>
      </c>
      <c r="H70" s="52" t="s">
        <v>1860</v>
      </c>
      <c r="K70" s="53" t="s">
        <v>2956</v>
      </c>
      <c r="L70" s="49" t="s">
        <v>2121</v>
      </c>
      <c r="M70" s="54" t="s">
        <v>2957</v>
      </c>
      <c r="N70" s="49" t="s">
        <v>2958</v>
      </c>
      <c r="O70" s="54" t="s">
        <v>2122</v>
      </c>
      <c r="P70" s="49" t="s">
        <v>2123</v>
      </c>
    </row>
    <row r="71" spans="1:46" ht="22.5" customHeight="1" x14ac:dyDescent="0.3">
      <c r="A71" s="55" t="s">
        <v>955</v>
      </c>
      <c r="B71" s="49" t="str">
        <f t="shared" si="3"/>
        <v>giftcodesbanner/香蕉缺個芭樂-bar.jpg</v>
      </c>
      <c r="D71" s="49" t="str">
        <f t="shared" si="2"/>
        <v>https://www.ssbuy.tw/gift-codes.html?game=香蕉缺個芭樂</v>
      </c>
      <c r="E71" s="50" t="s">
        <v>2959</v>
      </c>
      <c r="F71" s="51" t="s">
        <v>1730</v>
      </c>
      <c r="G71" s="52" t="s">
        <v>1731</v>
      </c>
      <c r="H71" s="52" t="s">
        <v>1860</v>
      </c>
      <c r="K71" s="53" t="s">
        <v>2960</v>
      </c>
      <c r="L71" s="49" t="s">
        <v>2961</v>
      </c>
      <c r="M71" s="54" t="s">
        <v>2124</v>
      </c>
      <c r="N71" s="49" t="s">
        <v>1940</v>
      </c>
      <c r="O71" s="54" t="s">
        <v>2962</v>
      </c>
      <c r="P71" s="49" t="s">
        <v>1940</v>
      </c>
      <c r="Q71" s="54" t="s">
        <v>2963</v>
      </c>
      <c r="R71" s="49" t="s">
        <v>1940</v>
      </c>
      <c r="S71" s="54" t="s">
        <v>2964</v>
      </c>
      <c r="T71" s="49" t="s">
        <v>2965</v>
      </c>
      <c r="U71" s="54" t="s">
        <v>2966</v>
      </c>
      <c r="V71" s="49" t="s">
        <v>1940</v>
      </c>
      <c r="W71" s="54" t="s">
        <v>2125</v>
      </c>
      <c r="X71" s="49" t="s">
        <v>1940</v>
      </c>
      <c r="Y71" s="54" t="s">
        <v>2967</v>
      </c>
      <c r="Z71" s="49" t="s">
        <v>1940</v>
      </c>
      <c r="AA71" s="54" t="s">
        <v>2968</v>
      </c>
      <c r="AB71" s="49" t="s">
        <v>1940</v>
      </c>
      <c r="AC71" s="54" t="s">
        <v>2969</v>
      </c>
      <c r="AD71" s="49" t="s">
        <v>1940</v>
      </c>
      <c r="AE71" s="54" t="s">
        <v>2126</v>
      </c>
      <c r="AF71" s="49" t="s">
        <v>1940</v>
      </c>
      <c r="AG71" s="54" t="s">
        <v>2970</v>
      </c>
      <c r="AH71" s="49" t="s">
        <v>1940</v>
      </c>
      <c r="AI71" s="54" t="s">
        <v>2127</v>
      </c>
      <c r="AJ71" s="49" t="s">
        <v>1940</v>
      </c>
      <c r="AK71" s="54" t="s">
        <v>2128</v>
      </c>
      <c r="AL71" s="49" t="s">
        <v>1940</v>
      </c>
      <c r="AM71" s="54" t="s">
        <v>2971</v>
      </c>
      <c r="AN71" s="49" t="s">
        <v>1940</v>
      </c>
      <c r="AO71" s="54" t="s">
        <v>2972</v>
      </c>
      <c r="AP71" s="49" t="s">
        <v>2973</v>
      </c>
      <c r="AQ71" s="54" t="s">
        <v>2974</v>
      </c>
      <c r="AR71" s="49" t="s">
        <v>1940</v>
      </c>
      <c r="AS71" s="54" t="s">
        <v>2129</v>
      </c>
      <c r="AT71" s="49" t="s">
        <v>1940</v>
      </c>
    </row>
    <row r="72" spans="1:46" ht="22.5" customHeight="1" x14ac:dyDescent="0.3">
      <c r="A72" s="55" t="s">
        <v>962</v>
      </c>
      <c r="B72" s="49" t="str">
        <f t="shared" si="3"/>
        <v>giftcodesbanner/精靈塔塔開-bar.jpg</v>
      </c>
      <c r="D72" s="49" t="str">
        <f t="shared" si="2"/>
        <v>https://www.ssbuy.tw/gift-codes.html?game=精靈塔塔開</v>
      </c>
      <c r="E72" s="50" t="s">
        <v>2130</v>
      </c>
      <c r="F72" s="51" t="s">
        <v>1730</v>
      </c>
      <c r="G72" s="52" t="s">
        <v>1731</v>
      </c>
      <c r="H72" s="52" t="s">
        <v>1860</v>
      </c>
      <c r="K72" s="53" t="s">
        <v>2131</v>
      </c>
      <c r="L72" s="49" t="s">
        <v>1940</v>
      </c>
    </row>
    <row r="73" spans="1:46" ht="22.5" customHeight="1" x14ac:dyDescent="0.3">
      <c r="A73" s="55" t="s">
        <v>970</v>
      </c>
      <c r="B73" s="49" t="str">
        <f t="shared" si="3"/>
        <v>giftcodesbanner/終末之歌-bar.jpg</v>
      </c>
      <c r="D73" s="49" t="str">
        <f t="shared" si="2"/>
        <v>https://www.ssbuy.tw/gift-codes.html?game=終末之歌</v>
      </c>
      <c r="E73" s="50" t="s">
        <v>2975</v>
      </c>
      <c r="F73" s="51" t="s">
        <v>1730</v>
      </c>
      <c r="G73" s="52" t="s">
        <v>1731</v>
      </c>
      <c r="H73" s="52" t="s">
        <v>1860</v>
      </c>
      <c r="K73" s="53" t="s">
        <v>2976</v>
      </c>
      <c r="L73" s="49" t="s">
        <v>2977</v>
      </c>
      <c r="M73" s="54" t="s">
        <v>2978</v>
      </c>
      <c r="N73" s="49" t="s">
        <v>2132</v>
      </c>
      <c r="O73" s="54" t="s">
        <v>2979</v>
      </c>
      <c r="P73" s="49" t="s">
        <v>1940</v>
      </c>
    </row>
    <row r="74" spans="1:46" ht="22.5" customHeight="1" x14ac:dyDescent="0.3">
      <c r="A74" s="55" t="s">
        <v>978</v>
      </c>
      <c r="B74" s="49" t="str">
        <f t="shared" si="3"/>
        <v>giftcodesbanner/森靈奇境-bar.jpg</v>
      </c>
      <c r="D74" s="49" t="str">
        <f t="shared" si="2"/>
        <v>https://www.ssbuy.tw/gift-codes.html?game=森靈奇境</v>
      </c>
      <c r="E74" s="50" t="s">
        <v>2133</v>
      </c>
      <c r="F74" s="51" t="s">
        <v>1730</v>
      </c>
      <c r="G74" s="52" t="s">
        <v>1731</v>
      </c>
      <c r="H74" s="52" t="s">
        <v>1860</v>
      </c>
      <c r="K74" s="53" t="s">
        <v>1952</v>
      </c>
      <c r="L74" s="49" t="s">
        <v>2134</v>
      </c>
      <c r="M74" s="54" t="s">
        <v>2076</v>
      </c>
      <c r="N74" s="49" t="s">
        <v>2980</v>
      </c>
      <c r="O74" s="54" t="s">
        <v>1861</v>
      </c>
      <c r="P74" s="49" t="s">
        <v>2135</v>
      </c>
      <c r="Q74" s="54" t="s">
        <v>2136</v>
      </c>
      <c r="R74" s="49" t="s">
        <v>2137</v>
      </c>
      <c r="S74" s="54" t="s">
        <v>2981</v>
      </c>
      <c r="T74" s="49" t="s">
        <v>2982</v>
      </c>
      <c r="U74" s="54" t="s">
        <v>2138</v>
      </c>
      <c r="V74" s="49" t="s">
        <v>2983</v>
      </c>
      <c r="W74" s="54" t="s">
        <v>2139</v>
      </c>
      <c r="X74" s="49" t="s">
        <v>2984</v>
      </c>
      <c r="Y74" s="54" t="s">
        <v>2140</v>
      </c>
      <c r="Z74" s="49" t="s">
        <v>1940</v>
      </c>
      <c r="AA74" s="54" t="s">
        <v>2985</v>
      </c>
      <c r="AB74" s="49" t="s">
        <v>1940</v>
      </c>
      <c r="AC74" s="54" t="s">
        <v>2986</v>
      </c>
      <c r="AD74" s="49" t="s">
        <v>1940</v>
      </c>
      <c r="AE74" s="54" t="s">
        <v>2141</v>
      </c>
      <c r="AF74" s="49" t="s">
        <v>1940</v>
      </c>
    </row>
    <row r="75" spans="1:46" ht="22.5" customHeight="1" x14ac:dyDescent="0.3">
      <c r="A75" s="55" t="s">
        <v>2987</v>
      </c>
      <c r="B75" s="49" t="str">
        <f t="shared" si="3"/>
        <v>giftcodesbanner/鬥破蒼穹：蕭門篇-bar.jpg</v>
      </c>
      <c r="D75" s="49" t="str">
        <f t="shared" si="2"/>
        <v>https://www.ssbuy.tw/gift-codes.html?game=鬥破蒼穹：蕭門篇</v>
      </c>
      <c r="E75" s="50" t="s">
        <v>2142</v>
      </c>
      <c r="F75" s="51" t="s">
        <v>1730</v>
      </c>
      <c r="G75" s="52" t="s">
        <v>1731</v>
      </c>
      <c r="H75" s="52" t="s">
        <v>1860</v>
      </c>
      <c r="K75" s="53" t="s">
        <v>2143</v>
      </c>
      <c r="L75" s="49" t="s">
        <v>1940</v>
      </c>
      <c r="M75" s="54" t="s">
        <v>2988</v>
      </c>
      <c r="N75" s="49" t="s">
        <v>1940</v>
      </c>
      <c r="O75" s="54" t="s">
        <v>2144</v>
      </c>
      <c r="P75" s="49" t="s">
        <v>1940</v>
      </c>
      <c r="Q75" s="54" t="s">
        <v>2145</v>
      </c>
      <c r="R75" s="49" t="s">
        <v>2146</v>
      </c>
      <c r="S75" s="54" t="s">
        <v>2147</v>
      </c>
      <c r="T75" s="49" t="s">
        <v>2989</v>
      </c>
      <c r="U75" s="54" t="s">
        <v>2990</v>
      </c>
      <c r="V75" s="49" t="s">
        <v>1940</v>
      </c>
      <c r="W75" s="54" t="s">
        <v>2991</v>
      </c>
      <c r="X75" s="49" t="s">
        <v>1940</v>
      </c>
      <c r="Y75" s="54" t="s">
        <v>2992</v>
      </c>
      <c r="Z75" s="49" t="s">
        <v>1940</v>
      </c>
      <c r="AA75" s="54" t="s">
        <v>2993</v>
      </c>
      <c r="AB75" s="49" t="s">
        <v>2994</v>
      </c>
      <c r="AC75" s="54" t="s">
        <v>2148</v>
      </c>
      <c r="AD75" s="49" t="s">
        <v>1940</v>
      </c>
      <c r="AE75" s="54" t="s">
        <v>2149</v>
      </c>
      <c r="AF75" s="49" t="s">
        <v>1940</v>
      </c>
    </row>
    <row r="76" spans="1:46" ht="22.5" customHeight="1" x14ac:dyDescent="0.3">
      <c r="A76" s="55" t="s">
        <v>995</v>
      </c>
      <c r="B76" s="49" t="str">
        <f t="shared" si="3"/>
        <v>giftcodesbanner/無畏的狼煙-bar.jpg</v>
      </c>
      <c r="D76" s="49" t="str">
        <f t="shared" si="2"/>
        <v>https://www.ssbuy.tw/gift-codes.html?game=無畏的狼煙</v>
      </c>
      <c r="E76" s="50" t="s">
        <v>2150</v>
      </c>
      <c r="F76" s="51" t="s">
        <v>1730</v>
      </c>
      <c r="G76" s="52" t="s">
        <v>1731</v>
      </c>
      <c r="H76" s="52" t="s">
        <v>1860</v>
      </c>
      <c r="K76" s="53" t="s">
        <v>2151</v>
      </c>
      <c r="L76" s="49" t="s">
        <v>2152</v>
      </c>
      <c r="M76" s="54" t="s">
        <v>2995</v>
      </c>
      <c r="N76" s="49" t="s">
        <v>2153</v>
      </c>
      <c r="O76" s="54" t="s">
        <v>2154</v>
      </c>
      <c r="P76" s="49" t="s">
        <v>2155</v>
      </c>
    </row>
    <row r="77" spans="1:46" ht="22.5" customHeight="1" x14ac:dyDescent="0.3">
      <c r="A77" s="49" t="s">
        <v>2996</v>
      </c>
      <c r="B77" s="49" t="str">
        <f t="shared" si="3"/>
        <v>giftcodesbanner/代號：無頭-bar.jpg</v>
      </c>
      <c r="D77" s="49" t="str">
        <f t="shared" si="2"/>
        <v>https://www.ssbuy.tw/gift-codes.html?game=代號：無頭</v>
      </c>
      <c r="E77" s="50" t="s">
        <v>2156</v>
      </c>
      <c r="F77" s="51" t="s">
        <v>1730</v>
      </c>
      <c r="G77" s="52" t="s">
        <v>1731</v>
      </c>
      <c r="H77" s="52" t="s">
        <v>1860</v>
      </c>
      <c r="K77" s="53" t="s">
        <v>2997</v>
      </c>
      <c r="L77" s="49" t="s">
        <v>2998</v>
      </c>
      <c r="M77" s="54" t="s">
        <v>2157</v>
      </c>
      <c r="N77" s="49" t="s">
        <v>2998</v>
      </c>
      <c r="O77" s="54" t="s">
        <v>2999</v>
      </c>
      <c r="P77" s="49" t="s">
        <v>3000</v>
      </c>
      <c r="Q77" s="54" t="s">
        <v>3001</v>
      </c>
      <c r="R77" s="49" t="s">
        <v>2158</v>
      </c>
      <c r="S77" s="54" t="s">
        <v>2159</v>
      </c>
      <c r="T77" s="49" t="s">
        <v>2160</v>
      </c>
      <c r="U77" s="54" t="s">
        <v>3002</v>
      </c>
      <c r="V77" s="49" t="s">
        <v>1940</v>
      </c>
      <c r="W77" s="54" t="s">
        <v>2076</v>
      </c>
      <c r="X77" s="49" t="s">
        <v>1940</v>
      </c>
      <c r="Y77" s="54" t="s">
        <v>1953</v>
      </c>
      <c r="Z77" s="49" t="s">
        <v>1940</v>
      </c>
    </row>
    <row r="78" spans="1:46" ht="22.5" customHeight="1" x14ac:dyDescent="0.3">
      <c r="A78" s="55" t="s">
        <v>1012</v>
      </c>
      <c r="B78" s="49" t="str">
        <f t="shared" si="3"/>
        <v>giftcodesbanner/牛頭人GO-bar.jpg</v>
      </c>
      <c r="D78" s="49" t="str">
        <f t="shared" si="2"/>
        <v>https://www.ssbuy.tw/gift-codes.html?game=牛頭人GO</v>
      </c>
      <c r="E78" s="50" t="s">
        <v>3003</v>
      </c>
      <c r="F78" s="51" t="s">
        <v>1730</v>
      </c>
      <c r="G78" s="52" t="s">
        <v>1731</v>
      </c>
      <c r="H78" s="52" t="s">
        <v>1860</v>
      </c>
      <c r="K78" s="53" t="s">
        <v>2161</v>
      </c>
      <c r="L78" s="49" t="s">
        <v>1940</v>
      </c>
      <c r="M78" s="54" t="s">
        <v>2162</v>
      </c>
      <c r="N78" s="49" t="s">
        <v>1940</v>
      </c>
      <c r="O78" s="54" t="s">
        <v>3004</v>
      </c>
      <c r="P78" s="49" t="s">
        <v>1940</v>
      </c>
      <c r="Q78" s="54" t="s">
        <v>2163</v>
      </c>
      <c r="R78" s="49" t="s">
        <v>1940</v>
      </c>
      <c r="S78" s="54" t="s">
        <v>3005</v>
      </c>
      <c r="T78" s="49" t="s">
        <v>1940</v>
      </c>
      <c r="U78" s="54" t="s">
        <v>3006</v>
      </c>
      <c r="V78" s="49" t="s">
        <v>1940</v>
      </c>
      <c r="W78" s="54" t="s">
        <v>3007</v>
      </c>
      <c r="X78" s="49" t="s">
        <v>1940</v>
      </c>
      <c r="Y78" s="54" t="s">
        <v>2164</v>
      </c>
      <c r="Z78" s="49" t="s">
        <v>1940</v>
      </c>
    </row>
    <row r="79" spans="1:46" ht="22.5" customHeight="1" x14ac:dyDescent="0.3">
      <c r="A79" s="55" t="s">
        <v>1021</v>
      </c>
      <c r="B79" s="49" t="str">
        <f t="shared" si="3"/>
        <v>giftcodesbanner/派對吧三國-bar.jpg</v>
      </c>
      <c r="D79" s="49" t="str">
        <f t="shared" si="2"/>
        <v>https://www.ssbuy.tw/gift-codes.html?game=派對吧三國</v>
      </c>
      <c r="E79" s="50" t="s">
        <v>3008</v>
      </c>
      <c r="F79" s="51" t="s">
        <v>1730</v>
      </c>
      <c r="G79" s="52" t="s">
        <v>1731</v>
      </c>
      <c r="H79" s="52" t="s">
        <v>1860</v>
      </c>
      <c r="K79" s="53" t="s">
        <v>3009</v>
      </c>
      <c r="L79" s="49" t="s">
        <v>1940</v>
      </c>
      <c r="M79" s="54" t="s">
        <v>3010</v>
      </c>
      <c r="N79" s="49" t="s">
        <v>1940</v>
      </c>
      <c r="O79" s="54" t="s">
        <v>2165</v>
      </c>
      <c r="P79" s="49" t="s">
        <v>1940</v>
      </c>
      <c r="Q79" s="54" t="s">
        <v>2166</v>
      </c>
      <c r="R79" s="49" t="s">
        <v>1940</v>
      </c>
      <c r="S79" s="54" t="s">
        <v>3011</v>
      </c>
      <c r="T79" s="49" t="s">
        <v>1940</v>
      </c>
      <c r="U79" s="54" t="s">
        <v>2167</v>
      </c>
      <c r="V79" s="49" t="s">
        <v>1940</v>
      </c>
      <c r="W79" s="54" t="s">
        <v>2168</v>
      </c>
      <c r="X79" s="49" t="s">
        <v>1940</v>
      </c>
      <c r="Y79" s="54" t="s">
        <v>2169</v>
      </c>
      <c r="Z79" s="49" t="s">
        <v>1940</v>
      </c>
      <c r="AA79" s="54" t="s">
        <v>2170</v>
      </c>
      <c r="AB79" s="49" t="s">
        <v>1940</v>
      </c>
      <c r="AC79" s="54" t="s">
        <v>3012</v>
      </c>
      <c r="AD79" s="49" t="s">
        <v>1940</v>
      </c>
    </row>
    <row r="80" spans="1:46" ht="22.5" customHeight="1" x14ac:dyDescent="0.3">
      <c r="A80" s="55" t="s">
        <v>1035</v>
      </c>
      <c r="B80" s="49" t="str">
        <f t="shared" si="3"/>
        <v>giftcodesbanner/酒酒大俠-bar.jpg</v>
      </c>
      <c r="D80" s="49" t="str">
        <f t="shared" si="2"/>
        <v>https://www.ssbuy.tw/gift-codes.html?game=酒酒大俠</v>
      </c>
      <c r="E80" s="50" t="s">
        <v>3013</v>
      </c>
      <c r="F80" s="51" t="s">
        <v>1730</v>
      </c>
      <c r="G80" s="52" t="s">
        <v>1731</v>
      </c>
      <c r="H80" s="52" t="s">
        <v>1860</v>
      </c>
      <c r="K80" s="53" t="s">
        <v>3014</v>
      </c>
      <c r="L80" s="49" t="s">
        <v>1940</v>
      </c>
      <c r="M80" s="54" t="s">
        <v>3015</v>
      </c>
      <c r="N80" s="49" t="s">
        <v>1940</v>
      </c>
      <c r="O80" s="54" t="s">
        <v>2171</v>
      </c>
      <c r="P80" s="49" t="s">
        <v>1940</v>
      </c>
      <c r="Q80" s="54" t="s">
        <v>2172</v>
      </c>
      <c r="R80" s="49" t="s">
        <v>1940</v>
      </c>
      <c r="S80" s="54" t="s">
        <v>2173</v>
      </c>
      <c r="T80" s="49" t="s">
        <v>1940</v>
      </c>
      <c r="U80" s="54" t="s">
        <v>3016</v>
      </c>
      <c r="V80" s="49" t="s">
        <v>1940</v>
      </c>
      <c r="W80" s="54" t="s">
        <v>3017</v>
      </c>
      <c r="X80" s="49" t="s">
        <v>1940</v>
      </c>
    </row>
    <row r="81" spans="1:42" ht="22.5" customHeight="1" x14ac:dyDescent="0.3">
      <c r="A81" s="55" t="s">
        <v>1044</v>
      </c>
      <c r="B81" s="49" t="str">
        <f t="shared" si="3"/>
        <v>giftcodesbanner/鼠衛家園-bar.jpg</v>
      </c>
      <c r="D81" s="49" t="str">
        <f t="shared" si="2"/>
        <v>https://www.ssbuy.tw/gift-codes.html?game=鼠衛家園</v>
      </c>
      <c r="E81" s="50" t="s">
        <v>3018</v>
      </c>
      <c r="F81" s="51" t="s">
        <v>1730</v>
      </c>
      <c r="G81" s="52" t="s">
        <v>1731</v>
      </c>
      <c r="H81" s="52" t="s">
        <v>1860</v>
      </c>
      <c r="K81" s="53" t="s">
        <v>2174</v>
      </c>
      <c r="L81" s="49" t="s">
        <v>1940</v>
      </c>
      <c r="M81" s="54" t="s">
        <v>3019</v>
      </c>
      <c r="N81" s="49" t="s">
        <v>1940</v>
      </c>
      <c r="O81" s="54" t="s">
        <v>3020</v>
      </c>
      <c r="P81" s="49" t="s">
        <v>1940</v>
      </c>
      <c r="Q81" s="54" t="s">
        <v>3021</v>
      </c>
      <c r="R81" s="49" t="s">
        <v>1940</v>
      </c>
      <c r="S81" s="54" t="s">
        <v>3022</v>
      </c>
      <c r="T81" s="49" t="s">
        <v>1940</v>
      </c>
    </row>
    <row r="82" spans="1:42" ht="22.5" customHeight="1" x14ac:dyDescent="0.3">
      <c r="A82" s="55" t="s">
        <v>3023</v>
      </c>
      <c r="B82" s="49" t="str">
        <f t="shared" si="3"/>
        <v>giftcodesbanner/未頌者之歌：異世界冒險奇譚-bar.jpg</v>
      </c>
      <c r="D82" s="49" t="str">
        <f t="shared" si="2"/>
        <v>https://www.ssbuy.tw/gift-codes.html?game=未頌者之歌：異世界冒險奇譚</v>
      </c>
      <c r="E82" s="50" t="s">
        <v>3024</v>
      </c>
      <c r="F82" s="51" t="s">
        <v>1730</v>
      </c>
      <c r="G82" s="52" t="s">
        <v>1731</v>
      </c>
      <c r="H82" s="52" t="s">
        <v>1860</v>
      </c>
      <c r="K82" s="53" t="s">
        <v>3025</v>
      </c>
      <c r="L82" s="49" t="s">
        <v>1940</v>
      </c>
      <c r="M82" s="54" t="s">
        <v>2175</v>
      </c>
      <c r="N82" s="49" t="s">
        <v>1940</v>
      </c>
      <c r="O82" s="54" t="s">
        <v>3026</v>
      </c>
      <c r="P82" s="49" t="s">
        <v>1940</v>
      </c>
      <c r="Q82" s="54" t="s">
        <v>2176</v>
      </c>
      <c r="R82" s="49" t="s">
        <v>1940</v>
      </c>
      <c r="S82" s="54" t="s">
        <v>3027</v>
      </c>
      <c r="T82" s="49" t="s">
        <v>1940</v>
      </c>
      <c r="U82" s="54" t="s">
        <v>3028</v>
      </c>
      <c r="V82" s="49" t="s">
        <v>1940</v>
      </c>
      <c r="X82" s="49" t="s">
        <v>1940</v>
      </c>
    </row>
    <row r="83" spans="1:42" ht="22.5" customHeight="1" x14ac:dyDescent="0.3">
      <c r="A83" s="55" t="s">
        <v>1059</v>
      </c>
      <c r="B83" s="49" t="str">
        <f t="shared" si="3"/>
        <v>giftcodesbanner/熱練戰士-bar.jpg</v>
      </c>
      <c r="D83" s="49" t="str">
        <f t="shared" si="2"/>
        <v>https://www.ssbuy.tw/gift-codes.html?game=熱練戰士</v>
      </c>
      <c r="E83" s="50" t="s">
        <v>3029</v>
      </c>
      <c r="F83" s="51" t="s">
        <v>1730</v>
      </c>
      <c r="G83" s="52" t="s">
        <v>1731</v>
      </c>
      <c r="H83" s="52" t="s">
        <v>1860</v>
      </c>
      <c r="K83" s="53" t="s">
        <v>3030</v>
      </c>
      <c r="L83" s="49" t="s">
        <v>3031</v>
      </c>
      <c r="M83" s="54" t="s">
        <v>3032</v>
      </c>
      <c r="N83" s="49" t="s">
        <v>3033</v>
      </c>
      <c r="O83" s="54" t="s">
        <v>3034</v>
      </c>
      <c r="P83" s="49" t="s">
        <v>2177</v>
      </c>
      <c r="Q83" s="54" t="s">
        <v>2178</v>
      </c>
      <c r="R83" s="49" t="s">
        <v>3035</v>
      </c>
      <c r="S83" s="54" t="s">
        <v>2179</v>
      </c>
      <c r="T83" s="61" t="s">
        <v>3036</v>
      </c>
      <c r="U83" s="54" t="s">
        <v>2180</v>
      </c>
      <c r="V83" s="49" t="s">
        <v>3037</v>
      </c>
    </row>
    <row r="84" spans="1:42" ht="22.5" customHeight="1" x14ac:dyDescent="0.3">
      <c r="A84" s="55" t="s">
        <v>1064</v>
      </c>
      <c r="B84" s="49" t="str">
        <f t="shared" si="3"/>
        <v>giftcodesbanner/聯盟戰棋-bar.jpg</v>
      </c>
      <c r="D84" s="49" t="str">
        <f t="shared" si="2"/>
        <v>https://www.ssbuy.tw/gift-codes.html?game=聯盟戰棋</v>
      </c>
      <c r="E84" s="50" t="s">
        <v>2181</v>
      </c>
      <c r="F84" s="51" t="s">
        <v>1730</v>
      </c>
      <c r="G84" s="52" t="s">
        <v>1731</v>
      </c>
      <c r="H84" s="52" t="s">
        <v>1860</v>
      </c>
      <c r="L84" s="49" t="s">
        <v>1940</v>
      </c>
      <c r="N84" s="49" t="s">
        <v>1940</v>
      </c>
      <c r="P84" s="49" t="s">
        <v>1940</v>
      </c>
      <c r="R84" s="49" t="s">
        <v>1940</v>
      </c>
      <c r="T84" s="49" t="s">
        <v>1940</v>
      </c>
      <c r="V84" s="49" t="s">
        <v>1940</v>
      </c>
      <c r="X84" s="49" t="s">
        <v>1940</v>
      </c>
    </row>
    <row r="85" spans="1:42" ht="22.5" customHeight="1" x14ac:dyDescent="0.3">
      <c r="A85" s="55" t="s">
        <v>2182</v>
      </c>
      <c r="B85" s="49" t="str">
        <f t="shared" si="3"/>
        <v>giftcodesbanner/劍客物語-bar.jpg</v>
      </c>
      <c r="D85" s="49" t="str">
        <f t="shared" si="2"/>
        <v>https://www.ssbuy.tw/gift-codes.html?game=劍客物語</v>
      </c>
      <c r="E85" s="50" t="s">
        <v>3038</v>
      </c>
      <c r="F85" s="51" t="s">
        <v>1730</v>
      </c>
      <c r="G85" s="52" t="s">
        <v>1731</v>
      </c>
      <c r="H85" s="52" t="s">
        <v>1860</v>
      </c>
      <c r="K85" s="53" t="s">
        <v>3039</v>
      </c>
      <c r="L85" s="49" t="s">
        <v>2183</v>
      </c>
      <c r="M85" s="54" t="s">
        <v>2184</v>
      </c>
      <c r="N85" s="49" t="s">
        <v>2185</v>
      </c>
      <c r="O85" s="54" t="s">
        <v>2186</v>
      </c>
      <c r="P85" s="49" t="s">
        <v>3040</v>
      </c>
      <c r="Q85" s="54" t="s">
        <v>3041</v>
      </c>
      <c r="R85" s="49" t="s">
        <v>3042</v>
      </c>
      <c r="S85" s="54" t="s">
        <v>3043</v>
      </c>
      <c r="T85" s="49" t="s">
        <v>3044</v>
      </c>
      <c r="U85" s="54" t="s">
        <v>2187</v>
      </c>
      <c r="V85" s="49" t="s">
        <v>2185</v>
      </c>
      <c r="W85" s="54" t="s">
        <v>3045</v>
      </c>
      <c r="X85" s="49" t="s">
        <v>3046</v>
      </c>
      <c r="Y85" s="54" t="s">
        <v>3047</v>
      </c>
      <c r="Z85" s="49" t="s">
        <v>3042</v>
      </c>
      <c r="AA85" s="54" t="s">
        <v>3048</v>
      </c>
      <c r="AB85" s="49" t="s">
        <v>3049</v>
      </c>
    </row>
    <row r="86" spans="1:42" ht="22.5" customHeight="1" x14ac:dyDescent="0.3">
      <c r="A86" s="55" t="s">
        <v>2188</v>
      </c>
      <c r="B86" s="49" t="str">
        <f t="shared" si="3"/>
        <v>giftcodesbanner/人在塔在-bar.jpg</v>
      </c>
      <c r="D86" s="49" t="str">
        <f t="shared" si="2"/>
        <v>https://www.ssbuy.tw/gift-codes.html?game=人在塔在</v>
      </c>
      <c r="E86" s="50" t="s">
        <v>3050</v>
      </c>
      <c r="F86" s="51" t="s">
        <v>1730</v>
      </c>
      <c r="G86" s="52" t="s">
        <v>1731</v>
      </c>
      <c r="H86" s="52" t="s">
        <v>1860</v>
      </c>
      <c r="K86" s="53" t="s">
        <v>3051</v>
      </c>
      <c r="L86" s="49" t="s">
        <v>1940</v>
      </c>
      <c r="M86" s="54" t="s">
        <v>2189</v>
      </c>
      <c r="N86" s="49" t="s">
        <v>1940</v>
      </c>
    </row>
    <row r="87" spans="1:42" ht="22.5" customHeight="1" x14ac:dyDescent="0.3">
      <c r="A87" s="55" t="s">
        <v>2190</v>
      </c>
      <c r="B87" s="49" t="str">
        <f t="shared" si="3"/>
        <v>giftcodesbanner/龍語霜城-bar.jpg</v>
      </c>
      <c r="D87" s="49" t="str">
        <f t="shared" si="2"/>
        <v>https://www.ssbuy.tw/gift-codes.html?game=龍語霜城</v>
      </c>
      <c r="E87" s="50" t="s">
        <v>3052</v>
      </c>
      <c r="F87" s="51" t="s">
        <v>1730</v>
      </c>
      <c r="G87" s="52" t="s">
        <v>1731</v>
      </c>
      <c r="H87" s="52" t="s">
        <v>1860</v>
      </c>
      <c r="K87" s="53" t="s">
        <v>2191</v>
      </c>
      <c r="L87" s="49" t="s">
        <v>1940</v>
      </c>
      <c r="M87" s="54" t="s">
        <v>2192</v>
      </c>
      <c r="N87" s="49" t="s">
        <v>1940</v>
      </c>
      <c r="O87" s="54" t="s">
        <v>3053</v>
      </c>
      <c r="P87" s="49" t="s">
        <v>1940</v>
      </c>
      <c r="Q87" s="54" t="s">
        <v>3054</v>
      </c>
      <c r="R87" s="49" t="s">
        <v>1940</v>
      </c>
      <c r="S87" s="54" t="s">
        <v>2193</v>
      </c>
      <c r="T87" s="49" t="s">
        <v>1940</v>
      </c>
      <c r="U87" s="54" t="s">
        <v>3055</v>
      </c>
      <c r="V87" s="49" t="s">
        <v>1940</v>
      </c>
      <c r="W87" s="54" t="s">
        <v>3056</v>
      </c>
      <c r="X87" s="49" t="s">
        <v>1940</v>
      </c>
      <c r="Y87" s="54" t="s">
        <v>2194</v>
      </c>
      <c r="Z87" s="49" t="s">
        <v>1940</v>
      </c>
      <c r="AA87" s="54" t="s">
        <v>3057</v>
      </c>
      <c r="AB87" s="49" t="s">
        <v>1940</v>
      </c>
      <c r="AC87" s="54" t="s">
        <v>2195</v>
      </c>
      <c r="AD87" s="49" t="s">
        <v>1940</v>
      </c>
      <c r="AE87" s="54" t="s">
        <v>3058</v>
      </c>
      <c r="AF87" s="49" t="s">
        <v>1940</v>
      </c>
      <c r="AG87" s="54" t="s">
        <v>3059</v>
      </c>
      <c r="AH87" s="49" t="s">
        <v>1940</v>
      </c>
      <c r="AI87" s="54" t="s">
        <v>3060</v>
      </c>
      <c r="AJ87" s="49" t="s">
        <v>1940</v>
      </c>
    </row>
    <row r="88" spans="1:42" ht="22.5" customHeight="1" x14ac:dyDescent="0.3">
      <c r="A88" s="55" t="s">
        <v>2196</v>
      </c>
      <c r="B88" s="49" t="str">
        <f t="shared" si="3"/>
        <v>giftcodesbanner/洛伊的移動要塞-bar.jpg</v>
      </c>
      <c r="D88" s="49" t="str">
        <f t="shared" si="2"/>
        <v>https://www.ssbuy.tw/gift-codes.html?game=洛伊的移動要塞</v>
      </c>
      <c r="E88" s="50" t="s">
        <v>2197</v>
      </c>
      <c r="F88" s="51" t="s">
        <v>1730</v>
      </c>
      <c r="G88" s="52" t="s">
        <v>1731</v>
      </c>
      <c r="H88" s="52" t="s">
        <v>1860</v>
      </c>
      <c r="K88" s="53" t="s">
        <v>3061</v>
      </c>
      <c r="L88" s="49" t="s">
        <v>3062</v>
      </c>
      <c r="M88" s="54" t="s">
        <v>2198</v>
      </c>
      <c r="N88" s="49" t="s">
        <v>3063</v>
      </c>
      <c r="O88" s="54" t="s">
        <v>3064</v>
      </c>
      <c r="P88" s="49" t="s">
        <v>2199</v>
      </c>
      <c r="Q88" s="54" t="s">
        <v>2200</v>
      </c>
      <c r="R88" s="49" t="s">
        <v>3065</v>
      </c>
      <c r="S88" s="54" t="s">
        <v>2201</v>
      </c>
      <c r="T88" s="49" t="s">
        <v>2199</v>
      </c>
      <c r="U88" s="54" t="s">
        <v>2202</v>
      </c>
      <c r="V88" s="49" t="s">
        <v>3066</v>
      </c>
      <c r="W88" s="54" t="s">
        <v>2203</v>
      </c>
      <c r="X88" s="49" t="s">
        <v>2204</v>
      </c>
      <c r="Y88" s="54" t="s">
        <v>3067</v>
      </c>
      <c r="Z88" s="49" t="s">
        <v>3068</v>
      </c>
    </row>
    <row r="89" spans="1:42" ht="22.5" customHeight="1" x14ac:dyDescent="0.3">
      <c r="A89" s="55" t="s">
        <v>3069</v>
      </c>
      <c r="B89" s="49" t="str">
        <f t="shared" si="3"/>
        <v>giftcodesbanner/喵喵王國-bar.jpg</v>
      </c>
      <c r="D89" s="49" t="str">
        <f t="shared" si="2"/>
        <v>https://www.ssbuy.tw/gift-codes.html?game=喵喵王國</v>
      </c>
      <c r="E89" s="50" t="s">
        <v>3070</v>
      </c>
      <c r="F89" s="51" t="s">
        <v>1730</v>
      </c>
      <c r="G89" s="52" t="s">
        <v>1731</v>
      </c>
      <c r="H89" s="52" t="s">
        <v>1860</v>
      </c>
      <c r="K89" s="53" t="s">
        <v>3071</v>
      </c>
      <c r="L89" s="49" t="s">
        <v>1940</v>
      </c>
    </row>
    <row r="90" spans="1:42" ht="22.5" customHeight="1" x14ac:dyDescent="0.3">
      <c r="A90" s="55" t="s">
        <v>1121</v>
      </c>
      <c r="B90" s="49" t="str">
        <f t="shared" si="3"/>
        <v>giftcodesbanner/東京謎影者-bar.jpg</v>
      </c>
      <c r="D90" s="49" t="str">
        <f t="shared" si="2"/>
        <v>https://www.ssbuy.tw/gift-codes.html?game=東京謎影者</v>
      </c>
      <c r="E90" s="50" t="s">
        <v>2205</v>
      </c>
      <c r="F90" s="51" t="s">
        <v>1730</v>
      </c>
      <c r="G90" s="52" t="s">
        <v>1731</v>
      </c>
      <c r="H90" s="52" t="s">
        <v>1860</v>
      </c>
      <c r="L90" s="49" t="s">
        <v>1940</v>
      </c>
      <c r="N90" s="49" t="s">
        <v>1940</v>
      </c>
      <c r="P90" s="49" t="s">
        <v>1940</v>
      </c>
      <c r="R90" s="49" t="s">
        <v>1940</v>
      </c>
      <c r="T90" s="49" t="s">
        <v>1940</v>
      </c>
      <c r="V90" s="49" t="s">
        <v>1940</v>
      </c>
      <c r="X90" s="49" t="s">
        <v>1940</v>
      </c>
    </row>
    <row r="91" spans="1:42" ht="22.5" customHeight="1" x14ac:dyDescent="0.3">
      <c r="A91" s="55" t="s">
        <v>1129</v>
      </c>
      <c r="B91" s="49" t="str">
        <f t="shared" si="3"/>
        <v>giftcodesbanner/戰極死遊-bar.jpg</v>
      </c>
      <c r="D91" s="49" t="str">
        <f t="shared" si="2"/>
        <v>https://www.ssbuy.tw/gift-codes.html?game=戰極死遊</v>
      </c>
      <c r="E91" s="50" t="s">
        <v>2206</v>
      </c>
      <c r="F91" s="51" t="s">
        <v>1730</v>
      </c>
      <c r="G91" s="52" t="s">
        <v>1731</v>
      </c>
      <c r="H91" s="52" t="s">
        <v>1860</v>
      </c>
      <c r="K91" s="53" t="s">
        <v>2207</v>
      </c>
      <c r="L91" s="49" t="s">
        <v>3072</v>
      </c>
      <c r="M91" s="54" t="s">
        <v>2208</v>
      </c>
      <c r="N91" s="49" t="s">
        <v>3072</v>
      </c>
      <c r="O91" s="54" t="s">
        <v>3073</v>
      </c>
      <c r="P91" s="49" t="s">
        <v>3072</v>
      </c>
    </row>
    <row r="92" spans="1:42" ht="22.5" customHeight="1" x14ac:dyDescent="0.3">
      <c r="A92" s="55" t="s">
        <v>1137</v>
      </c>
      <c r="B92" s="49" t="str">
        <f t="shared" si="3"/>
        <v>giftcodesbanner/進擊的蝸牛-bar.jpg</v>
      </c>
      <c r="D92" s="49" t="str">
        <f t="shared" si="2"/>
        <v>https://www.ssbuy.tw/gift-codes.html?game=進擊的蝸牛</v>
      </c>
      <c r="E92" s="50" t="s">
        <v>2209</v>
      </c>
      <c r="F92" s="51" t="s">
        <v>1730</v>
      </c>
      <c r="G92" s="52" t="s">
        <v>1731</v>
      </c>
      <c r="H92" s="52" t="s">
        <v>1860</v>
      </c>
      <c r="K92" s="53" t="s">
        <v>2210</v>
      </c>
      <c r="L92" s="49" t="s">
        <v>3074</v>
      </c>
      <c r="M92" s="54" t="s">
        <v>2211</v>
      </c>
      <c r="N92" s="49" t="s">
        <v>1940</v>
      </c>
      <c r="O92" s="54" t="s">
        <v>3075</v>
      </c>
      <c r="P92" s="49" t="s">
        <v>1940</v>
      </c>
      <c r="Q92" s="54" t="s">
        <v>2212</v>
      </c>
      <c r="R92" s="49" t="s">
        <v>1940</v>
      </c>
      <c r="S92" s="66" t="s">
        <v>2213</v>
      </c>
      <c r="T92" s="49" t="s">
        <v>1940</v>
      </c>
      <c r="U92" s="54" t="s">
        <v>2214</v>
      </c>
      <c r="V92" s="49" t="s">
        <v>1940</v>
      </c>
      <c r="W92" s="54" t="s">
        <v>2215</v>
      </c>
      <c r="X92" s="49" t="s">
        <v>1940</v>
      </c>
      <c r="Y92" s="54" t="s">
        <v>1952</v>
      </c>
      <c r="Z92" s="49" t="s">
        <v>1940</v>
      </c>
      <c r="AA92" s="54" t="s">
        <v>2076</v>
      </c>
      <c r="AB92" s="49" t="s">
        <v>1940</v>
      </c>
      <c r="AC92" s="54" t="s">
        <v>1861</v>
      </c>
      <c r="AD92" s="49" t="s">
        <v>1940</v>
      </c>
      <c r="AE92" s="54" t="s">
        <v>2216</v>
      </c>
      <c r="AF92" s="49" t="s">
        <v>1940</v>
      </c>
      <c r="AG92" s="54" t="s">
        <v>2217</v>
      </c>
      <c r="AH92" s="49" t="s">
        <v>1940</v>
      </c>
      <c r="AI92" s="54" t="s">
        <v>2218</v>
      </c>
      <c r="AJ92" s="49" t="s">
        <v>1940</v>
      </c>
      <c r="AK92" s="54" t="s">
        <v>2423</v>
      </c>
      <c r="AL92" s="49" t="s">
        <v>1940</v>
      </c>
      <c r="AM92" s="54" t="s">
        <v>2219</v>
      </c>
      <c r="AN92" s="49" t="s">
        <v>1940</v>
      </c>
      <c r="AO92" s="54" t="s">
        <v>2220</v>
      </c>
      <c r="AP92" s="49" t="s">
        <v>1940</v>
      </c>
    </row>
    <row r="93" spans="1:42" ht="22.5" customHeight="1" x14ac:dyDescent="0.3">
      <c r="A93" s="55" t="s">
        <v>1145</v>
      </c>
      <c r="B93" s="49" t="str">
        <f t="shared" si="3"/>
        <v>giftcodesbanner/純白大作戰-bar.jpg</v>
      </c>
      <c r="D93" s="49" t="str">
        <f t="shared" si="2"/>
        <v>https://www.ssbuy.tw/gift-codes.html?game=純白大作戰</v>
      </c>
      <c r="E93" s="50" t="s">
        <v>2221</v>
      </c>
      <c r="F93" s="51" t="s">
        <v>1730</v>
      </c>
      <c r="G93" s="52" t="s">
        <v>1731</v>
      </c>
      <c r="H93" s="52" t="s">
        <v>1860</v>
      </c>
      <c r="K93" s="53" t="s">
        <v>1952</v>
      </c>
      <c r="L93" s="49" t="s">
        <v>2222</v>
      </c>
      <c r="M93" s="54" t="s">
        <v>2076</v>
      </c>
      <c r="N93" s="49" t="s">
        <v>3076</v>
      </c>
      <c r="O93" s="54" t="s">
        <v>1861</v>
      </c>
      <c r="P93" s="49" t="s">
        <v>2223</v>
      </c>
      <c r="Q93" s="54" t="s">
        <v>3077</v>
      </c>
      <c r="R93" s="49" t="s">
        <v>3078</v>
      </c>
      <c r="S93" s="54" t="s">
        <v>3079</v>
      </c>
      <c r="T93" s="49" t="s">
        <v>2224</v>
      </c>
      <c r="U93" s="54" t="s">
        <v>3080</v>
      </c>
      <c r="V93" s="49" t="s">
        <v>2225</v>
      </c>
      <c r="X93" s="49" t="s">
        <v>1940</v>
      </c>
    </row>
    <row r="94" spans="1:42" ht="22.5" customHeight="1" x14ac:dyDescent="0.3">
      <c r="A94" s="55" t="s">
        <v>1153</v>
      </c>
      <c r="B94" s="49" t="str">
        <f t="shared" si="3"/>
        <v>giftcodesbanner/黑星勇者-bar.jpg</v>
      </c>
      <c r="D94" s="49" t="str">
        <f t="shared" si="2"/>
        <v>https://www.ssbuy.tw/gift-codes.html?game=黑星勇者</v>
      </c>
      <c r="E94" s="50" t="s">
        <v>2226</v>
      </c>
      <c r="F94" s="51" t="s">
        <v>1730</v>
      </c>
      <c r="G94" s="52" t="s">
        <v>1731</v>
      </c>
      <c r="H94" s="52" t="s">
        <v>1860</v>
      </c>
      <c r="K94" s="53" t="s">
        <v>3081</v>
      </c>
      <c r="L94" s="49" t="s">
        <v>2228</v>
      </c>
      <c r="M94" s="54" t="s">
        <v>2227</v>
      </c>
      <c r="N94" s="49" t="s">
        <v>2228</v>
      </c>
    </row>
    <row r="95" spans="1:42" ht="22.5" customHeight="1" x14ac:dyDescent="0.3">
      <c r="A95" s="55" t="s">
        <v>2229</v>
      </c>
      <c r="B95" s="49" t="str">
        <f t="shared" si="3"/>
        <v>giftcodesbanner/龍之谷：經典再現-bar.jpg</v>
      </c>
      <c r="D95" s="49" t="str">
        <f t="shared" si="2"/>
        <v>https://www.ssbuy.tw/gift-codes.html?game=龍之谷：經典再現</v>
      </c>
      <c r="E95" s="50" t="s">
        <v>2230</v>
      </c>
      <c r="F95" s="51" t="s">
        <v>1730</v>
      </c>
      <c r="G95" s="52" t="s">
        <v>1731</v>
      </c>
      <c r="H95" s="52" t="s">
        <v>1860</v>
      </c>
      <c r="K95" s="53" t="s">
        <v>2231</v>
      </c>
      <c r="L95" s="49" t="s">
        <v>1940</v>
      </c>
      <c r="M95" s="54" t="s">
        <v>3082</v>
      </c>
      <c r="N95" s="49" t="s">
        <v>1940</v>
      </c>
      <c r="O95" s="54" t="s">
        <v>3083</v>
      </c>
      <c r="P95" s="49" t="s">
        <v>1940</v>
      </c>
      <c r="Q95" s="54" t="s">
        <v>3084</v>
      </c>
      <c r="R95" s="49" t="s">
        <v>1940</v>
      </c>
      <c r="S95" s="54" t="s">
        <v>3085</v>
      </c>
      <c r="T95" s="49" t="s">
        <v>1940</v>
      </c>
      <c r="V95" s="49" t="s">
        <v>1940</v>
      </c>
      <c r="X95" s="49" t="s">
        <v>1940</v>
      </c>
    </row>
    <row r="96" spans="1:42" ht="22.5" customHeight="1" x14ac:dyDescent="0.3">
      <c r="A96" s="55" t="s">
        <v>1170</v>
      </c>
      <c r="B96" s="49" t="str">
        <f t="shared" si="3"/>
        <v>giftcodesbanner/楓之谷Artale-bar.jpg</v>
      </c>
      <c r="D96" s="49" t="str">
        <f t="shared" si="2"/>
        <v>https://www.ssbuy.tw/gift-codes.html?game=楓之谷Artale</v>
      </c>
      <c r="E96" s="50" t="s">
        <v>3086</v>
      </c>
      <c r="F96" s="51" t="s">
        <v>1730</v>
      </c>
      <c r="G96" s="52" t="s">
        <v>1731</v>
      </c>
      <c r="H96" s="52" t="s">
        <v>1860</v>
      </c>
      <c r="L96" s="49" t="s">
        <v>1940</v>
      </c>
      <c r="N96" s="49" t="s">
        <v>1940</v>
      </c>
      <c r="P96" s="49" t="s">
        <v>1940</v>
      </c>
      <c r="R96" s="49" t="s">
        <v>1940</v>
      </c>
      <c r="T96" s="49" t="s">
        <v>1940</v>
      </c>
      <c r="V96" s="49" t="s">
        <v>1940</v>
      </c>
      <c r="X96" s="49" t="s">
        <v>1940</v>
      </c>
    </row>
    <row r="97" spans="1:49" ht="22.5" customHeight="1" x14ac:dyDescent="0.3">
      <c r="A97" s="55" t="s">
        <v>2232</v>
      </c>
      <c r="B97" s="49" t="str">
        <f t="shared" si="3"/>
        <v>giftcodesbanner/出發吧麥芬-bar.jpg</v>
      </c>
      <c r="D97" s="49" t="str">
        <f t="shared" si="2"/>
        <v>https://www.ssbuy.tw/gift-codes.html?game=出發吧麥芬</v>
      </c>
      <c r="E97" s="50" t="s">
        <v>3087</v>
      </c>
      <c r="F97" s="51" t="s">
        <v>1730</v>
      </c>
      <c r="G97" s="52" t="s">
        <v>1731</v>
      </c>
      <c r="H97" s="52" t="s">
        <v>1860</v>
      </c>
      <c r="K97" s="53" t="s">
        <v>2233</v>
      </c>
      <c r="L97" s="49" t="s">
        <v>2234</v>
      </c>
    </row>
    <row r="98" spans="1:49" ht="22.5" customHeight="1" x14ac:dyDescent="0.3">
      <c r="A98" s="55" t="s">
        <v>1181</v>
      </c>
      <c r="B98" s="49" t="str">
        <f t="shared" si="3"/>
        <v>giftcodesbanner/RO仙境傳說：守護永恆的愛 Classic-bar.jpg</v>
      </c>
      <c r="D98" s="49" t="str">
        <f t="shared" si="2"/>
        <v>https://www.ssbuy.tw/gift-codes.html?game=RO仙境傳說：守護永恆的愛 Classic</v>
      </c>
      <c r="E98" s="50" t="s">
        <v>2235</v>
      </c>
      <c r="F98" s="51" t="s">
        <v>1730</v>
      </c>
      <c r="G98" s="52" t="s">
        <v>1731</v>
      </c>
      <c r="H98" s="52" t="s">
        <v>1860</v>
      </c>
      <c r="K98" s="53" t="s">
        <v>2236</v>
      </c>
      <c r="L98" s="49" t="s">
        <v>1940</v>
      </c>
      <c r="M98" s="54" t="s">
        <v>3088</v>
      </c>
      <c r="N98" s="49" t="s">
        <v>1940</v>
      </c>
      <c r="O98" s="54" t="s">
        <v>3089</v>
      </c>
      <c r="P98" s="49" t="s">
        <v>1940</v>
      </c>
      <c r="Q98" s="54" t="s">
        <v>3090</v>
      </c>
      <c r="R98" s="49" t="s">
        <v>1940</v>
      </c>
      <c r="S98" s="54" t="s">
        <v>2237</v>
      </c>
      <c r="T98" s="49" t="s">
        <v>1940</v>
      </c>
      <c r="U98" s="54" t="s">
        <v>3091</v>
      </c>
      <c r="V98" s="49" t="s">
        <v>1940</v>
      </c>
      <c r="W98" s="54" t="s">
        <v>3092</v>
      </c>
      <c r="X98" s="49" t="s">
        <v>1940</v>
      </c>
      <c r="Y98" s="54" t="s">
        <v>3093</v>
      </c>
      <c r="Z98" s="49" t="s">
        <v>1940</v>
      </c>
      <c r="AA98" s="54" t="s">
        <v>3094</v>
      </c>
      <c r="AB98" s="49" t="s">
        <v>1940</v>
      </c>
      <c r="AC98" s="54" t="s">
        <v>3095</v>
      </c>
      <c r="AD98" s="49" t="s">
        <v>1940</v>
      </c>
      <c r="AE98" s="54" t="s">
        <v>3096</v>
      </c>
      <c r="AF98" s="49" t="s">
        <v>1940</v>
      </c>
      <c r="AG98" s="54" t="s">
        <v>3097</v>
      </c>
      <c r="AH98" s="49" t="s">
        <v>1940</v>
      </c>
      <c r="AI98" s="54" t="s">
        <v>3098</v>
      </c>
      <c r="AJ98" s="49" t="s">
        <v>1940</v>
      </c>
      <c r="AK98" s="54" t="s">
        <v>2238</v>
      </c>
      <c r="AL98" s="49" t="s">
        <v>1940</v>
      </c>
      <c r="AM98" s="54" t="s">
        <v>3099</v>
      </c>
      <c r="AN98" s="49" t="s">
        <v>1940</v>
      </c>
      <c r="AO98" s="54" t="s">
        <v>3100</v>
      </c>
      <c r="AP98" s="49" t="s">
        <v>1940</v>
      </c>
      <c r="AQ98" s="54" t="s">
        <v>3101</v>
      </c>
      <c r="AR98" s="49" t="s">
        <v>1940</v>
      </c>
      <c r="AS98" s="54" t="s">
        <v>3102</v>
      </c>
      <c r="AT98" s="49" t="s">
        <v>1940</v>
      </c>
      <c r="AU98" s="54" t="s">
        <v>3103</v>
      </c>
      <c r="AV98" s="49" t="s">
        <v>1940</v>
      </c>
    </row>
    <row r="99" spans="1:49" ht="22.5" customHeight="1" x14ac:dyDescent="0.3">
      <c r="A99" s="55" t="s">
        <v>2239</v>
      </c>
      <c r="B99" s="49" t="str">
        <f t="shared" si="3"/>
        <v>giftcodesbanner/魔力寶貝：復興-bar.jpg</v>
      </c>
      <c r="D99" s="49" t="str">
        <f t="shared" si="2"/>
        <v>https://www.ssbuy.tw/gift-codes.html?game=魔力寶貝：復興</v>
      </c>
      <c r="E99" s="50" t="s">
        <v>3104</v>
      </c>
      <c r="F99" s="51" t="s">
        <v>1730</v>
      </c>
      <c r="G99" s="52" t="s">
        <v>1731</v>
      </c>
      <c r="H99" s="52" t="s">
        <v>1860</v>
      </c>
      <c r="K99" s="53" t="s">
        <v>3105</v>
      </c>
      <c r="L99" s="49" t="s">
        <v>2240</v>
      </c>
      <c r="M99" s="54" t="s">
        <v>1952</v>
      </c>
      <c r="N99" s="49" t="s">
        <v>2241</v>
      </c>
      <c r="O99" s="54" t="s">
        <v>2076</v>
      </c>
      <c r="P99" s="49" t="s">
        <v>3106</v>
      </c>
      <c r="Q99" s="54" t="s">
        <v>1861</v>
      </c>
      <c r="R99" s="49" t="s">
        <v>3107</v>
      </c>
      <c r="S99" s="54" t="s">
        <v>1953</v>
      </c>
      <c r="T99" s="49" t="s">
        <v>2242</v>
      </c>
      <c r="U99" s="54" t="s">
        <v>3108</v>
      </c>
      <c r="V99" s="49" t="s">
        <v>3109</v>
      </c>
      <c r="W99" s="54" t="s">
        <v>2243</v>
      </c>
      <c r="X99" s="49" t="s">
        <v>3110</v>
      </c>
      <c r="Y99" s="54" t="s">
        <v>2244</v>
      </c>
      <c r="Z99" s="49" t="s">
        <v>3111</v>
      </c>
    </row>
    <row r="100" spans="1:49" ht="22.5" customHeight="1" x14ac:dyDescent="0.3">
      <c r="A100" s="55" t="s">
        <v>2245</v>
      </c>
      <c r="B100" s="49" t="str">
        <f t="shared" si="3"/>
        <v>giftcodesbanner/東京喰種Awakening-bar.jpg</v>
      </c>
      <c r="D100" s="49" t="str">
        <f t="shared" si="2"/>
        <v>https://www.ssbuy.tw/gift-codes.html?game=東京喰種Awakening</v>
      </c>
      <c r="E100" s="50" t="s">
        <v>2246</v>
      </c>
      <c r="F100" s="51" t="s">
        <v>1730</v>
      </c>
      <c r="G100" s="52" t="s">
        <v>1731</v>
      </c>
      <c r="H100" s="52" t="s">
        <v>1860</v>
      </c>
      <c r="K100" s="53" t="s">
        <v>2247</v>
      </c>
      <c r="L100" s="49" t="s">
        <v>2248</v>
      </c>
      <c r="M100" s="54" t="s">
        <v>2249</v>
      </c>
      <c r="N100" s="49" t="s">
        <v>2250</v>
      </c>
      <c r="O100" s="54" t="s">
        <v>3112</v>
      </c>
      <c r="P100" s="49" t="s">
        <v>3113</v>
      </c>
      <c r="Q100" s="54" t="s">
        <v>3114</v>
      </c>
      <c r="R100" s="49" t="s">
        <v>3115</v>
      </c>
      <c r="S100" s="54" t="s">
        <v>2251</v>
      </c>
      <c r="T100" s="49" t="s">
        <v>3116</v>
      </c>
      <c r="U100" s="54" t="s">
        <v>3117</v>
      </c>
      <c r="V100" s="49" t="s">
        <v>2252</v>
      </c>
      <c r="W100" s="54" t="s">
        <v>2253</v>
      </c>
      <c r="X100" s="49" t="s">
        <v>3118</v>
      </c>
      <c r="Y100" s="54" t="s">
        <v>3119</v>
      </c>
      <c r="Z100" s="49" t="s">
        <v>3120</v>
      </c>
      <c r="AA100" s="54" t="s">
        <v>2254</v>
      </c>
      <c r="AB100" s="49" t="s">
        <v>3121</v>
      </c>
      <c r="AC100" s="54" t="s">
        <v>2255</v>
      </c>
      <c r="AD100" s="49" t="s">
        <v>3122</v>
      </c>
      <c r="AE100" s="54" t="s">
        <v>3123</v>
      </c>
      <c r="AF100" s="49" t="s">
        <v>2256</v>
      </c>
      <c r="AG100" s="54" t="s">
        <v>2257</v>
      </c>
      <c r="AH100" s="49" t="s">
        <v>2258</v>
      </c>
      <c r="AI100" s="54" t="s">
        <v>2259</v>
      </c>
      <c r="AJ100" s="49" t="s">
        <v>2260</v>
      </c>
    </row>
    <row r="101" spans="1:49" ht="22.5" customHeight="1" x14ac:dyDescent="0.3">
      <c r="A101" s="55" t="s">
        <v>1207</v>
      </c>
      <c r="B101" s="49" t="str">
        <f t="shared" si="3"/>
        <v>giftcodesbanner/晶核-bar.jpg</v>
      </c>
      <c r="D101" s="49" t="str">
        <f t="shared" si="2"/>
        <v>https://www.ssbuy.tw/gift-codes.html?game=晶核</v>
      </c>
      <c r="E101" s="50" t="s">
        <v>2261</v>
      </c>
      <c r="F101" s="51" t="s">
        <v>1730</v>
      </c>
      <c r="G101" s="52" t="s">
        <v>1731</v>
      </c>
      <c r="H101" s="52" t="s">
        <v>1860</v>
      </c>
      <c r="K101" s="53" t="s">
        <v>2262</v>
      </c>
      <c r="L101" s="49" t="s">
        <v>1940</v>
      </c>
      <c r="M101" s="54" t="s">
        <v>3124</v>
      </c>
      <c r="N101" s="49" t="s">
        <v>1940</v>
      </c>
      <c r="O101" s="54" t="s">
        <v>2263</v>
      </c>
      <c r="P101" s="49" t="s">
        <v>1940</v>
      </c>
      <c r="Q101" s="54" t="s">
        <v>3125</v>
      </c>
      <c r="R101" s="49" t="s">
        <v>1940</v>
      </c>
      <c r="S101" s="54" t="s">
        <v>3126</v>
      </c>
      <c r="T101" s="49" t="s">
        <v>1940</v>
      </c>
      <c r="U101" s="54" t="s">
        <v>2264</v>
      </c>
      <c r="V101" s="49" t="s">
        <v>1940</v>
      </c>
      <c r="W101" s="54" t="s">
        <v>2265</v>
      </c>
      <c r="X101" s="49" t="s">
        <v>1940</v>
      </c>
      <c r="Y101" s="54" t="s">
        <v>2266</v>
      </c>
      <c r="Z101" s="49" t="s">
        <v>1940</v>
      </c>
      <c r="AA101" s="54" t="s">
        <v>3127</v>
      </c>
      <c r="AB101" s="49" t="s">
        <v>1940</v>
      </c>
      <c r="AC101" s="54" t="s">
        <v>3128</v>
      </c>
      <c r="AD101" s="49" t="s">
        <v>1940</v>
      </c>
      <c r="AE101" s="54" t="s">
        <v>3129</v>
      </c>
      <c r="AF101" s="49" t="s">
        <v>1940</v>
      </c>
    </row>
    <row r="102" spans="1:49" ht="22.5" customHeight="1" x14ac:dyDescent="0.3">
      <c r="A102" s="55" t="s">
        <v>1216</v>
      </c>
      <c r="B102" s="49" t="str">
        <f t="shared" si="3"/>
        <v>giftcodesbanner/無盡夢迴-bar.jpg</v>
      </c>
      <c r="D102" s="49" t="str">
        <f t="shared" si="2"/>
        <v>https://www.ssbuy.tw/gift-codes.html?game=無盡夢迴</v>
      </c>
      <c r="E102" s="50" t="s">
        <v>3130</v>
      </c>
      <c r="F102" s="51" t="s">
        <v>1730</v>
      </c>
      <c r="G102" s="52" t="s">
        <v>1731</v>
      </c>
      <c r="H102" s="52" t="s">
        <v>1860</v>
      </c>
      <c r="K102" s="53" t="s">
        <v>2167</v>
      </c>
      <c r="L102" s="49" t="s">
        <v>3131</v>
      </c>
      <c r="M102" s="54" t="s">
        <v>2166</v>
      </c>
      <c r="N102" s="49" t="s">
        <v>2267</v>
      </c>
      <c r="O102" s="54" t="s">
        <v>3132</v>
      </c>
      <c r="P102" s="49" t="s">
        <v>3133</v>
      </c>
      <c r="Q102" s="54" t="s">
        <v>2268</v>
      </c>
      <c r="R102" s="49" t="s">
        <v>2269</v>
      </c>
      <c r="S102" s="54" t="s">
        <v>3134</v>
      </c>
      <c r="T102" s="49" t="s">
        <v>3133</v>
      </c>
      <c r="U102" s="54" t="s">
        <v>2270</v>
      </c>
      <c r="V102" s="49" t="s">
        <v>3135</v>
      </c>
    </row>
    <row r="103" spans="1:49" ht="22.5" customHeight="1" x14ac:dyDescent="0.3">
      <c r="A103" s="49" t="s">
        <v>2271</v>
      </c>
      <c r="B103" s="49" t="str">
        <f t="shared" si="3"/>
        <v>giftcodesbanner/RO仙境傳說：放推冒險團-bar.jpg</v>
      </c>
      <c r="D103" s="49" t="str">
        <f t="shared" si="2"/>
        <v>https://www.ssbuy.tw/gift-codes.html?game=RO仙境傳說：放推冒險團</v>
      </c>
      <c r="E103" s="50" t="s">
        <v>2272</v>
      </c>
      <c r="F103" s="51" t="s">
        <v>1730</v>
      </c>
      <c r="G103" s="52" t="s">
        <v>1731</v>
      </c>
      <c r="H103" s="52" t="s">
        <v>1860</v>
      </c>
      <c r="K103" s="53" t="s">
        <v>2273</v>
      </c>
      <c r="L103" s="49" t="s">
        <v>2274</v>
      </c>
      <c r="M103" s="54" t="s">
        <v>2275</v>
      </c>
      <c r="N103" s="49" t="s">
        <v>3136</v>
      </c>
      <c r="O103" s="54" t="s">
        <v>2276</v>
      </c>
      <c r="P103" s="49" t="s">
        <v>3137</v>
      </c>
      <c r="Q103" s="54" t="s">
        <v>3138</v>
      </c>
      <c r="R103" s="49" t="s">
        <v>2277</v>
      </c>
      <c r="S103" s="54" t="s">
        <v>3139</v>
      </c>
      <c r="T103" s="49" t="s">
        <v>2278</v>
      </c>
      <c r="U103" s="54" t="s">
        <v>2279</v>
      </c>
      <c r="V103" s="49" t="s">
        <v>2280</v>
      </c>
      <c r="W103" s="54" t="s">
        <v>2281</v>
      </c>
      <c r="X103" s="49" t="s">
        <v>3140</v>
      </c>
      <c r="Y103" s="54" t="s">
        <v>3141</v>
      </c>
      <c r="Z103" s="49" t="s">
        <v>2282</v>
      </c>
    </row>
    <row r="104" spans="1:49" ht="22.5" customHeight="1" x14ac:dyDescent="0.3">
      <c r="A104" s="49" t="s">
        <v>1233</v>
      </c>
      <c r="B104" s="49" t="str">
        <f t="shared" si="3"/>
        <v>giftcodesbanner/英雄刷刷刷-bar.jpg</v>
      </c>
      <c r="D104" s="49" t="str">
        <f t="shared" si="2"/>
        <v>https://www.ssbuy.tw/gift-codes.html?game=英雄刷刷刷</v>
      </c>
      <c r="E104" s="50" t="s">
        <v>2283</v>
      </c>
      <c r="F104" s="51" t="s">
        <v>1730</v>
      </c>
      <c r="G104" s="52" t="s">
        <v>1731</v>
      </c>
      <c r="H104" s="52" t="s">
        <v>1860</v>
      </c>
      <c r="K104" s="53" t="s">
        <v>3142</v>
      </c>
      <c r="L104" s="49" t="s">
        <v>1940</v>
      </c>
      <c r="M104" s="54" t="s">
        <v>2284</v>
      </c>
      <c r="N104" s="49" t="s">
        <v>1940</v>
      </c>
      <c r="O104" s="54" t="s">
        <v>2285</v>
      </c>
      <c r="P104" s="49" t="s">
        <v>1940</v>
      </c>
      <c r="Q104" s="54" t="s">
        <v>3143</v>
      </c>
      <c r="R104" s="49" t="s">
        <v>1940</v>
      </c>
      <c r="S104" s="54" t="s">
        <v>2286</v>
      </c>
      <c r="T104" s="49" t="s">
        <v>1940</v>
      </c>
      <c r="U104" s="54" t="s">
        <v>2287</v>
      </c>
      <c r="V104" s="49" t="s">
        <v>1940</v>
      </c>
      <c r="W104" s="54" t="s">
        <v>2288</v>
      </c>
      <c r="X104" s="49" t="s">
        <v>1940</v>
      </c>
      <c r="Y104" s="54" t="s">
        <v>2289</v>
      </c>
      <c r="AA104" s="54" t="s">
        <v>2290</v>
      </c>
      <c r="AC104" s="54" t="s">
        <v>2291</v>
      </c>
      <c r="AE104" s="54" t="s">
        <v>2292</v>
      </c>
      <c r="AG104" s="54" t="s">
        <v>2293</v>
      </c>
      <c r="AI104" s="54" t="s">
        <v>2294</v>
      </c>
      <c r="AK104" s="54" t="s">
        <v>2295</v>
      </c>
      <c r="AM104" s="54" t="s">
        <v>2296</v>
      </c>
      <c r="AO104" s="54" t="s">
        <v>2297</v>
      </c>
      <c r="AQ104" s="54" t="s">
        <v>2298</v>
      </c>
      <c r="AS104" s="54" t="s">
        <v>2299</v>
      </c>
      <c r="AU104" s="54" t="s">
        <v>2300</v>
      </c>
      <c r="AW104" s="54" t="s">
        <v>2301</v>
      </c>
    </row>
    <row r="105" spans="1:49" ht="22.5" customHeight="1" x14ac:dyDescent="0.3">
      <c r="A105" s="61" t="s">
        <v>1245</v>
      </c>
      <c r="B105" s="49" t="str">
        <f t="shared" si="3"/>
        <v>giftcodesbanner/萬靈物語-bar.jpg</v>
      </c>
      <c r="D105" s="49" t="str">
        <f t="shared" si="2"/>
        <v>https://www.ssbuy.tw/gift-codes.html?game=萬靈物語</v>
      </c>
      <c r="E105" s="50" t="s">
        <v>3144</v>
      </c>
      <c r="F105" s="51" t="s">
        <v>1730</v>
      </c>
      <c r="G105" s="52" t="s">
        <v>1731</v>
      </c>
      <c r="H105" s="52" t="s">
        <v>1860</v>
      </c>
      <c r="K105" s="53" t="s">
        <v>2302</v>
      </c>
      <c r="L105" s="49" t="s">
        <v>1940</v>
      </c>
      <c r="M105" s="54" t="s">
        <v>2303</v>
      </c>
      <c r="N105" s="49" t="s">
        <v>1940</v>
      </c>
      <c r="O105" s="54" t="s">
        <v>2304</v>
      </c>
      <c r="P105" s="49" t="s">
        <v>1940</v>
      </c>
      <c r="Q105" s="54" t="s">
        <v>2305</v>
      </c>
      <c r="R105" s="49" t="s">
        <v>1940</v>
      </c>
      <c r="S105" s="54" t="s">
        <v>2306</v>
      </c>
      <c r="T105" s="49" t="s">
        <v>1940</v>
      </c>
      <c r="U105" s="54" t="s">
        <v>2307</v>
      </c>
      <c r="V105" s="49" t="s">
        <v>1940</v>
      </c>
      <c r="W105" s="54" t="s">
        <v>2308</v>
      </c>
      <c r="X105" s="49" t="s">
        <v>1940</v>
      </c>
      <c r="Y105" s="54" t="s">
        <v>2309</v>
      </c>
      <c r="AA105" s="54" t="s">
        <v>2310</v>
      </c>
      <c r="AC105" s="54" t="s">
        <v>2311</v>
      </c>
      <c r="AE105" s="54" t="s">
        <v>2312</v>
      </c>
      <c r="AG105" s="54" t="s">
        <v>2313</v>
      </c>
      <c r="AI105" s="54" t="s">
        <v>2314</v>
      </c>
      <c r="AK105" s="54" t="s">
        <v>2315</v>
      </c>
      <c r="AM105" s="54" t="s">
        <v>2316</v>
      </c>
      <c r="AO105" s="54" t="s">
        <v>2317</v>
      </c>
      <c r="AQ105" s="54" t="s">
        <v>1735</v>
      </c>
      <c r="AS105" s="54" t="s">
        <v>1802</v>
      </c>
      <c r="AU105" s="54" t="s">
        <v>2318</v>
      </c>
      <c r="AW105" s="54" t="s">
        <v>2319</v>
      </c>
    </row>
    <row r="106" spans="1:49" ht="22.5" customHeight="1" x14ac:dyDescent="0.3">
      <c r="A106" s="61" t="s">
        <v>2320</v>
      </c>
      <c r="B106" s="49" t="str">
        <f t="shared" si="3"/>
        <v>giftcodesbanner/斗羅大陸：逆轉時空-bar.jpg</v>
      </c>
      <c r="D106" s="49" t="str">
        <f t="shared" si="2"/>
        <v>https://www.ssbuy.tw/gift-codes.html?game=斗羅大陸：逆轉時空</v>
      </c>
      <c r="E106" s="50" t="s">
        <v>3145</v>
      </c>
      <c r="F106" s="51" t="s">
        <v>1730</v>
      </c>
      <c r="G106" s="52" t="s">
        <v>1731</v>
      </c>
      <c r="H106" s="52" t="s">
        <v>1860</v>
      </c>
      <c r="K106" s="53" t="s">
        <v>3146</v>
      </c>
      <c r="L106" s="49" t="s">
        <v>1940</v>
      </c>
      <c r="M106" s="54" t="s">
        <v>3147</v>
      </c>
      <c r="N106" s="49" t="s">
        <v>1940</v>
      </c>
      <c r="O106" s="54" t="s">
        <v>2321</v>
      </c>
      <c r="P106" s="49" t="s">
        <v>1940</v>
      </c>
      <c r="Q106" s="54" t="s">
        <v>2322</v>
      </c>
      <c r="R106" s="49" t="s">
        <v>1940</v>
      </c>
      <c r="S106" s="54" t="s">
        <v>2323</v>
      </c>
      <c r="T106" s="49" t="s">
        <v>1940</v>
      </c>
      <c r="U106" s="54" t="s">
        <v>2324</v>
      </c>
      <c r="V106" s="49" t="s">
        <v>1940</v>
      </c>
      <c r="W106" s="54" t="s">
        <v>2325</v>
      </c>
      <c r="X106" s="49" t="s">
        <v>1940</v>
      </c>
      <c r="Y106" s="54" t="s">
        <v>3148</v>
      </c>
      <c r="AA106" s="54" t="s">
        <v>3149</v>
      </c>
      <c r="AC106" s="54" t="s">
        <v>2326</v>
      </c>
      <c r="AE106" s="54" t="s">
        <v>3150</v>
      </c>
    </row>
    <row r="107" spans="1:49" ht="22.5" customHeight="1" x14ac:dyDescent="0.3">
      <c r="A107" s="61" t="s">
        <v>2327</v>
      </c>
      <c r="B107" s="49" t="str">
        <f t="shared" si="3"/>
        <v>giftcodesbanner/魔靈召喚：保衛戰-bar.jpg</v>
      </c>
      <c r="D107" s="49" t="str">
        <f t="shared" si="2"/>
        <v>https://www.ssbuy.tw/gift-codes.html?game=魔靈召喚：保衛戰</v>
      </c>
      <c r="E107" s="50" t="s">
        <v>3151</v>
      </c>
      <c r="F107" s="51" t="s">
        <v>1730</v>
      </c>
      <c r="G107" s="52" t="s">
        <v>1731</v>
      </c>
      <c r="H107" s="52" t="s">
        <v>1860</v>
      </c>
    </row>
    <row r="108" spans="1:49" ht="22.5" customHeight="1" x14ac:dyDescent="0.3">
      <c r="A108" s="61" t="s">
        <v>1265</v>
      </c>
      <c r="B108" s="49" t="str">
        <f t="shared" si="3"/>
        <v>giftcodesbanner/潘多蘭島-bar.jpg</v>
      </c>
      <c r="D108" s="49" t="str">
        <f t="shared" si="2"/>
        <v>https://www.ssbuy.tw/gift-codes.html?game=潘多蘭島</v>
      </c>
      <c r="E108" s="50" t="s">
        <v>3152</v>
      </c>
      <c r="F108" s="51" t="s">
        <v>1730</v>
      </c>
      <c r="G108" s="52" t="s">
        <v>1731</v>
      </c>
      <c r="H108" s="52" t="s">
        <v>1860</v>
      </c>
      <c r="K108" s="53" t="s">
        <v>2328</v>
      </c>
      <c r="L108" s="49" t="s">
        <v>1940</v>
      </c>
    </row>
    <row r="109" spans="1:49" ht="22.5" customHeight="1" x14ac:dyDescent="0.3">
      <c r="A109" s="61" t="s">
        <v>1274</v>
      </c>
      <c r="B109" s="49" t="str">
        <f t="shared" si="3"/>
        <v>giftcodesbanner/電鋸果汁大亂鬥-bar.jpg</v>
      </c>
      <c r="D109" s="49" t="str">
        <f t="shared" si="2"/>
        <v>https://www.ssbuy.tw/gift-codes.html?game=電鋸果汁大亂鬥</v>
      </c>
      <c r="E109" s="50" t="s">
        <v>3153</v>
      </c>
      <c r="F109" s="51" t="s">
        <v>1730</v>
      </c>
      <c r="G109" s="52" t="s">
        <v>1731</v>
      </c>
      <c r="H109" s="52" t="s">
        <v>1860</v>
      </c>
      <c r="K109" s="53" t="s">
        <v>2329</v>
      </c>
      <c r="L109" s="49" t="s">
        <v>1940</v>
      </c>
    </row>
    <row r="110" spans="1:49" ht="22.5" customHeight="1" x14ac:dyDescent="0.3">
      <c r="A110" s="61" t="s">
        <v>1280</v>
      </c>
      <c r="B110" s="49" t="str">
        <f t="shared" si="3"/>
        <v>giftcodesbanner/風色幻想NeXus-bar.jpg</v>
      </c>
      <c r="D110" s="49" t="str">
        <f t="shared" si="2"/>
        <v>https://www.ssbuy.tw/gift-codes.html?game=風色幻想NeXus</v>
      </c>
      <c r="E110" s="50" t="s">
        <v>3154</v>
      </c>
      <c r="F110" s="51" t="s">
        <v>1730</v>
      </c>
      <c r="G110" s="52" t="s">
        <v>1731</v>
      </c>
      <c r="H110" s="52" t="s">
        <v>1860</v>
      </c>
      <c r="K110" s="53" t="s">
        <v>3155</v>
      </c>
      <c r="L110" s="49" t="s">
        <v>2330</v>
      </c>
      <c r="M110" s="54" t="s">
        <v>2331</v>
      </c>
      <c r="N110" s="49" t="s">
        <v>2332</v>
      </c>
      <c r="O110" s="54" t="s">
        <v>2333</v>
      </c>
      <c r="P110" s="49" t="s">
        <v>2332</v>
      </c>
    </row>
    <row r="111" spans="1:49" ht="22.5" customHeight="1" x14ac:dyDescent="0.3">
      <c r="A111" s="61" t="s">
        <v>1290</v>
      </c>
      <c r="B111" s="49" t="str">
        <f t="shared" si="3"/>
        <v>giftcodesbanner/星河訣愛-bar.jpg</v>
      </c>
      <c r="D111" s="49" t="str">
        <f t="shared" si="2"/>
        <v>https://www.ssbuy.tw/gift-codes.html?game=星河訣愛</v>
      </c>
      <c r="E111" s="50" t="s">
        <v>2334</v>
      </c>
      <c r="F111" s="51" t="s">
        <v>1730</v>
      </c>
      <c r="G111" s="52" t="s">
        <v>1731</v>
      </c>
      <c r="H111" s="52" t="s">
        <v>1860</v>
      </c>
      <c r="K111" s="53" t="s">
        <v>3156</v>
      </c>
      <c r="L111" s="49" t="s">
        <v>2335</v>
      </c>
      <c r="M111" s="54" t="s">
        <v>3157</v>
      </c>
      <c r="N111" s="49" t="s">
        <v>3158</v>
      </c>
      <c r="O111" s="54" t="s">
        <v>3159</v>
      </c>
      <c r="P111" s="49" t="s">
        <v>2336</v>
      </c>
      <c r="Q111" s="54" t="s">
        <v>3160</v>
      </c>
      <c r="R111" s="49" t="s">
        <v>2337</v>
      </c>
      <c r="S111" s="54" t="s">
        <v>3161</v>
      </c>
      <c r="T111" s="49" t="s">
        <v>3162</v>
      </c>
      <c r="U111" s="54" t="s">
        <v>2161</v>
      </c>
      <c r="V111" s="49" t="s">
        <v>3163</v>
      </c>
      <c r="W111" s="54" t="s">
        <v>2338</v>
      </c>
      <c r="X111" s="49" t="s">
        <v>2339</v>
      </c>
      <c r="Y111" s="54" t="s">
        <v>2328</v>
      </c>
      <c r="Z111" s="49" t="s">
        <v>3164</v>
      </c>
    </row>
    <row r="112" spans="1:49" ht="22.5" customHeight="1" x14ac:dyDescent="0.3">
      <c r="A112" s="61" t="s">
        <v>3</v>
      </c>
      <c r="B112" s="49" t="str">
        <f t="shared" si="3"/>
        <v>giftcodesbanner/kingshot-bar.jpg</v>
      </c>
      <c r="D112" s="49" t="str">
        <f t="shared" si="2"/>
        <v>https://www.ssbuy.tw/gift-codes.html?game=kingshot</v>
      </c>
      <c r="E112" s="50" t="s">
        <v>2340</v>
      </c>
      <c r="F112" s="51" t="s">
        <v>1730</v>
      </c>
      <c r="G112" s="52" t="s">
        <v>1731</v>
      </c>
      <c r="H112" s="52" t="s">
        <v>1860</v>
      </c>
      <c r="K112" s="53" t="s">
        <v>2341</v>
      </c>
      <c r="L112" s="49" t="s">
        <v>1940</v>
      </c>
      <c r="M112" s="54" t="s">
        <v>2342</v>
      </c>
      <c r="N112" s="49" t="s">
        <v>1940</v>
      </c>
      <c r="O112" s="54" t="s">
        <v>3165</v>
      </c>
      <c r="P112" s="49" t="s">
        <v>1940</v>
      </c>
      <c r="Q112" s="54" t="s">
        <v>2343</v>
      </c>
      <c r="R112" s="49" t="s">
        <v>1940</v>
      </c>
      <c r="S112" s="54" t="s">
        <v>3166</v>
      </c>
      <c r="T112" s="49" t="s">
        <v>1940</v>
      </c>
    </row>
    <row r="113" spans="1:50" ht="22.5" customHeight="1" x14ac:dyDescent="0.3">
      <c r="A113" s="61" t="s">
        <v>1297</v>
      </c>
      <c r="B113" s="49" t="str">
        <f t="shared" si="3"/>
        <v>giftcodesbanner/胡鬧地牢-bar.jpg</v>
      </c>
      <c r="D113" s="49" t="str">
        <f t="shared" si="2"/>
        <v>https://www.ssbuy.tw/gift-codes.html?game=胡鬧地牢</v>
      </c>
      <c r="E113" s="50" t="s">
        <v>3167</v>
      </c>
      <c r="F113" s="51" t="s">
        <v>1730</v>
      </c>
      <c r="G113" s="52" t="s">
        <v>1731</v>
      </c>
      <c r="H113" s="52" t="s">
        <v>1860</v>
      </c>
      <c r="K113" s="53" t="s">
        <v>2344</v>
      </c>
      <c r="L113" s="49" t="s">
        <v>1940</v>
      </c>
      <c r="M113" s="54" t="s">
        <v>2345</v>
      </c>
      <c r="N113" s="49" t="s">
        <v>2346</v>
      </c>
      <c r="O113" s="54" t="s">
        <v>2347</v>
      </c>
      <c r="P113" s="49" t="s">
        <v>2348</v>
      </c>
      <c r="Q113" s="54" t="s">
        <v>2349</v>
      </c>
      <c r="R113" s="63" t="s">
        <v>2350</v>
      </c>
      <c r="S113" s="54" t="s">
        <v>3168</v>
      </c>
      <c r="T113" s="49" t="s">
        <v>2351</v>
      </c>
      <c r="U113" s="54" t="s">
        <v>2352</v>
      </c>
      <c r="V113" s="49" t="s">
        <v>2353</v>
      </c>
      <c r="W113" s="54" t="s">
        <v>3169</v>
      </c>
      <c r="X113" s="49" t="s">
        <v>1940</v>
      </c>
      <c r="Y113" s="54" t="s">
        <v>2354</v>
      </c>
      <c r="Z113" s="49" t="s">
        <v>1940</v>
      </c>
      <c r="AA113" s="54" t="s">
        <v>2355</v>
      </c>
      <c r="AB113" s="49" t="s">
        <v>1940</v>
      </c>
      <c r="AC113" s="54" t="s">
        <v>2356</v>
      </c>
      <c r="AD113" s="49" t="s">
        <v>1940</v>
      </c>
      <c r="AE113" s="54" t="s">
        <v>2357</v>
      </c>
      <c r="AF113" s="49" t="s">
        <v>1940</v>
      </c>
      <c r="AG113" s="54" t="s">
        <v>2358</v>
      </c>
      <c r="AH113" s="49" t="s">
        <v>1940</v>
      </c>
    </row>
    <row r="114" spans="1:50" ht="22.5" customHeight="1" x14ac:dyDescent="0.3">
      <c r="A114" s="61" t="s">
        <v>1303</v>
      </c>
      <c r="B114" s="49" t="str">
        <f t="shared" si="3"/>
        <v>giftcodesbanner/小小軍團-重生-bar.jpg</v>
      </c>
      <c r="D114" s="49" t="str">
        <f t="shared" si="2"/>
        <v>https://www.ssbuy.tw/gift-codes.html?game=小小軍團-重生</v>
      </c>
      <c r="E114" s="50" t="s">
        <v>3170</v>
      </c>
      <c r="F114" s="51" t="s">
        <v>1730</v>
      </c>
      <c r="G114" s="52" t="s">
        <v>1731</v>
      </c>
      <c r="H114" s="52" t="s">
        <v>1860</v>
      </c>
      <c r="K114" s="53" t="s">
        <v>2359</v>
      </c>
      <c r="L114" s="49" t="s">
        <v>1940</v>
      </c>
      <c r="M114" s="54" t="s">
        <v>3171</v>
      </c>
      <c r="N114" s="49" t="s">
        <v>2360</v>
      </c>
      <c r="O114" s="54" t="s">
        <v>2361</v>
      </c>
      <c r="P114" s="49" t="s">
        <v>3172</v>
      </c>
      <c r="Q114" s="54" t="s">
        <v>2362</v>
      </c>
      <c r="R114" s="49" t="s">
        <v>2365</v>
      </c>
      <c r="S114" s="54" t="s">
        <v>2363</v>
      </c>
      <c r="T114" s="49" t="s">
        <v>2365</v>
      </c>
      <c r="U114" s="54" t="s">
        <v>2364</v>
      </c>
      <c r="V114" s="49" t="s">
        <v>2365</v>
      </c>
      <c r="W114" s="54" t="s">
        <v>2366</v>
      </c>
      <c r="X114" s="49" t="s">
        <v>2365</v>
      </c>
      <c r="Y114" s="54" t="s">
        <v>2367</v>
      </c>
      <c r="Z114" s="49" t="s">
        <v>2370</v>
      </c>
      <c r="AA114" s="54" t="s">
        <v>2368</v>
      </c>
      <c r="AB114" s="49" t="s">
        <v>2365</v>
      </c>
      <c r="AC114" s="54" t="s">
        <v>2369</v>
      </c>
      <c r="AD114" s="49" t="s">
        <v>2370</v>
      </c>
      <c r="AE114" s="54" t="s">
        <v>2371</v>
      </c>
      <c r="AF114" s="49" t="s">
        <v>2370</v>
      </c>
      <c r="AG114" s="54" t="s">
        <v>2372</v>
      </c>
      <c r="AH114" s="49" t="s">
        <v>2370</v>
      </c>
      <c r="AI114" s="54" t="s">
        <v>2373</v>
      </c>
      <c r="AJ114" s="49" t="s">
        <v>2370</v>
      </c>
    </row>
    <row r="115" spans="1:50" ht="22.5" customHeight="1" x14ac:dyDescent="0.3">
      <c r="A115" s="61" t="s">
        <v>1314</v>
      </c>
      <c r="B115" s="49" t="str">
        <f t="shared" si="3"/>
        <v>giftcodesbanner/爪爪遠征-bar.jpg</v>
      </c>
      <c r="D115" s="49" t="str">
        <f t="shared" si="2"/>
        <v>https://www.ssbuy.tw/gift-codes.html?game=爪爪遠征</v>
      </c>
      <c r="E115" s="50" t="s">
        <v>2374</v>
      </c>
      <c r="F115" s="51" t="s">
        <v>1730</v>
      </c>
      <c r="G115" s="52" t="s">
        <v>1731</v>
      </c>
      <c r="H115" s="52" t="s">
        <v>1860</v>
      </c>
      <c r="K115" s="53" t="s">
        <v>2375</v>
      </c>
      <c r="L115" s="49" t="s">
        <v>2375</v>
      </c>
    </row>
    <row r="116" spans="1:50" ht="22.5" customHeight="1" x14ac:dyDescent="0.3">
      <c r="A116" s="61" t="s">
        <v>1324</v>
      </c>
      <c r="B116" s="49" t="str">
        <f t="shared" si="3"/>
        <v>giftcodesbanner/勇士團團轉-bar.jpg</v>
      </c>
      <c r="D116" s="49" t="str">
        <f t="shared" si="2"/>
        <v>https://www.ssbuy.tw/gift-codes.html?game=勇士團團轉</v>
      </c>
      <c r="E116" s="50" t="s">
        <v>2376</v>
      </c>
      <c r="F116" s="51" t="s">
        <v>1730</v>
      </c>
      <c r="G116" s="52" t="s">
        <v>1731</v>
      </c>
      <c r="H116" s="52" t="s">
        <v>1860</v>
      </c>
      <c r="K116" s="53" t="s">
        <v>2375</v>
      </c>
      <c r="L116" s="49" t="s">
        <v>2375</v>
      </c>
    </row>
    <row r="117" spans="1:50" ht="22.5" customHeight="1" x14ac:dyDescent="0.3">
      <c r="A117" s="61" t="s">
        <v>1331</v>
      </c>
      <c r="B117" s="49" t="str">
        <f t="shared" si="3"/>
        <v>giftcodesbanner/魁 三國志大戰-bar.jpg</v>
      </c>
      <c r="D117" s="49" t="str">
        <f t="shared" si="2"/>
        <v>https://www.ssbuy.tw/gift-codes.html?game=魁 三國志大戰</v>
      </c>
      <c r="E117" s="50" t="s">
        <v>3173</v>
      </c>
      <c r="F117" s="51" t="s">
        <v>1730</v>
      </c>
      <c r="G117" s="52" t="s">
        <v>1731</v>
      </c>
      <c r="H117" s="52" t="s">
        <v>1860</v>
      </c>
      <c r="K117" s="53" t="s">
        <v>3174</v>
      </c>
      <c r="L117" s="49" t="s">
        <v>2377</v>
      </c>
      <c r="M117" s="54" t="s">
        <v>2378</v>
      </c>
      <c r="N117" s="49" t="s">
        <v>2379</v>
      </c>
    </row>
    <row r="118" spans="1:50" ht="22.5" customHeight="1" x14ac:dyDescent="0.3">
      <c r="A118" s="61" t="s">
        <v>8</v>
      </c>
      <c r="B118" s="49" t="str">
        <f t="shared" si="3"/>
        <v>giftcodesbanner/tokyo beast-bar.jpg</v>
      </c>
      <c r="D118" s="49" t="str">
        <f t="shared" si="2"/>
        <v>https://www.ssbuy.tw/gift-codes.html?game=tokyo beast</v>
      </c>
      <c r="E118" s="50" t="s">
        <v>2380</v>
      </c>
      <c r="F118" s="51" t="s">
        <v>1730</v>
      </c>
      <c r="G118" s="52" t="s">
        <v>1731</v>
      </c>
      <c r="H118" s="52" t="s">
        <v>1860</v>
      </c>
      <c r="K118" s="53" t="s">
        <v>2375</v>
      </c>
      <c r="L118" s="49" t="s">
        <v>2375</v>
      </c>
    </row>
    <row r="119" spans="1:50" ht="22.5" customHeight="1" x14ac:dyDescent="0.3">
      <c r="A119" s="55" t="s">
        <v>1351</v>
      </c>
      <c r="B119" s="49" t="str">
        <f t="shared" si="3"/>
        <v>giftcodesbanner/切換英雄：放置型RPG-bar.jpg</v>
      </c>
      <c r="D119" s="49" t="str">
        <f t="shared" si="2"/>
        <v>https://www.ssbuy.tw/gift-codes.html?game=切換英雄：放置型RPG</v>
      </c>
      <c r="E119" s="58" t="s">
        <v>3175</v>
      </c>
      <c r="F119" s="51" t="s">
        <v>1730</v>
      </c>
      <c r="G119" s="52" t="s">
        <v>1731</v>
      </c>
      <c r="H119" s="52" t="s">
        <v>1860</v>
      </c>
      <c r="K119" s="53" t="s">
        <v>2381</v>
      </c>
      <c r="L119" s="49" t="s">
        <v>2382</v>
      </c>
      <c r="M119" s="54" t="s">
        <v>3176</v>
      </c>
      <c r="N119" s="49" t="s">
        <v>3177</v>
      </c>
      <c r="O119" s="64" t="s">
        <v>2383</v>
      </c>
      <c r="P119" s="63" t="s">
        <v>2384</v>
      </c>
      <c r="Q119" s="64" t="s">
        <v>2385</v>
      </c>
      <c r="R119" s="63" t="s">
        <v>2386</v>
      </c>
      <c r="S119" s="64" t="s">
        <v>2387</v>
      </c>
      <c r="T119" s="63" t="s">
        <v>2386</v>
      </c>
      <c r="U119" s="64" t="s">
        <v>2388</v>
      </c>
      <c r="V119" s="63" t="s">
        <v>2389</v>
      </c>
      <c r="W119" s="64" t="s">
        <v>2390</v>
      </c>
      <c r="X119" s="63" t="s">
        <v>2386</v>
      </c>
    </row>
    <row r="120" spans="1:50" ht="22.5" customHeight="1" x14ac:dyDescent="0.3">
      <c r="A120" s="49" t="s">
        <v>1362</v>
      </c>
      <c r="B120" s="49" t="str">
        <f t="shared" si="3"/>
        <v>giftcodesbanner/小死神傳奇-bar.jpg</v>
      </c>
      <c r="D120" s="49" t="str">
        <f t="shared" si="2"/>
        <v>https://www.ssbuy.tw/gift-codes.html?game=小死神傳奇</v>
      </c>
      <c r="E120" s="50" t="s">
        <v>3178</v>
      </c>
      <c r="F120" s="51" t="s">
        <v>1730</v>
      </c>
      <c r="G120" s="52" t="s">
        <v>1731</v>
      </c>
      <c r="H120" s="52" t="s">
        <v>1860</v>
      </c>
      <c r="K120" s="53" t="s">
        <v>2375</v>
      </c>
      <c r="L120" s="49" t="s">
        <v>2375</v>
      </c>
    </row>
    <row r="121" spans="1:50" ht="22.5" customHeight="1" x14ac:dyDescent="0.3">
      <c r="A121" s="49" t="s">
        <v>3179</v>
      </c>
      <c r="B121" s="49" t="str">
        <f t="shared" si="3"/>
        <v>giftcodesbanner/闇影詩章：凌越世界-bar.jpg</v>
      </c>
      <c r="D121" s="49" t="str">
        <f t="shared" si="2"/>
        <v>https://www.ssbuy.tw/gift-codes.html?game=闇影詩章：凌越世界</v>
      </c>
      <c r="E121" s="58" t="s">
        <v>3180</v>
      </c>
      <c r="F121" s="51" t="s">
        <v>1730</v>
      </c>
      <c r="G121" s="52" t="s">
        <v>1731</v>
      </c>
      <c r="H121" s="52" t="s">
        <v>1860</v>
      </c>
      <c r="K121" s="53" t="s">
        <v>2375</v>
      </c>
      <c r="L121" s="49" t="s">
        <v>3181</v>
      </c>
    </row>
    <row r="122" spans="1:50" ht="22.5" customHeight="1" x14ac:dyDescent="0.3">
      <c r="A122" s="61" t="s">
        <v>1379</v>
      </c>
      <c r="B122" s="49" t="str">
        <f t="shared" si="3"/>
        <v>giftcodesbanner/雪月風花-bar.jpg</v>
      </c>
      <c r="D122" s="49" t="str">
        <f t="shared" si="2"/>
        <v>https://www.ssbuy.tw/gift-codes.html?game=雪月風花</v>
      </c>
      <c r="E122" s="50" t="s">
        <v>3182</v>
      </c>
      <c r="F122" s="51" t="s">
        <v>1730</v>
      </c>
      <c r="G122" s="52" t="s">
        <v>1731</v>
      </c>
      <c r="H122" s="52" t="s">
        <v>1860</v>
      </c>
      <c r="K122" s="65" t="s">
        <v>2392</v>
      </c>
      <c r="L122" s="63" t="s">
        <v>2393</v>
      </c>
      <c r="M122" s="64" t="s">
        <v>1802</v>
      </c>
      <c r="N122" s="63" t="s">
        <v>2394</v>
      </c>
      <c r="O122" s="64" t="s">
        <v>1734</v>
      </c>
      <c r="P122" s="63" t="s">
        <v>2395</v>
      </c>
      <c r="Q122" s="64" t="s">
        <v>1735</v>
      </c>
      <c r="R122" s="63" t="s">
        <v>2396</v>
      </c>
      <c r="S122" s="64" t="s">
        <v>1840</v>
      </c>
      <c r="T122" s="63" t="s">
        <v>2397</v>
      </c>
      <c r="U122" s="64" t="s">
        <v>2398</v>
      </c>
      <c r="V122" s="63" t="s">
        <v>2399</v>
      </c>
      <c r="W122" s="64" t="s">
        <v>2400</v>
      </c>
      <c r="X122" s="63" t="s">
        <v>2401</v>
      </c>
      <c r="Y122" s="64" t="s">
        <v>2402</v>
      </c>
      <c r="Z122" s="63" t="s">
        <v>2403</v>
      </c>
      <c r="AA122" s="64" t="s">
        <v>2402</v>
      </c>
      <c r="AB122" s="63" t="s">
        <v>2403</v>
      </c>
      <c r="AC122" s="64" t="s">
        <v>2404</v>
      </c>
      <c r="AD122" s="63" t="s">
        <v>2405</v>
      </c>
      <c r="AE122" s="64" t="s">
        <v>2406</v>
      </c>
      <c r="AF122" s="63" t="s">
        <v>2407</v>
      </c>
      <c r="AG122" s="64" t="s">
        <v>2408</v>
      </c>
      <c r="AH122" s="63" t="s">
        <v>2409</v>
      </c>
      <c r="AI122" s="64" t="s">
        <v>2410</v>
      </c>
      <c r="AJ122" s="63" t="s">
        <v>2411</v>
      </c>
      <c r="AK122" s="64" t="s">
        <v>2412</v>
      </c>
      <c r="AL122" s="63" t="s">
        <v>2413</v>
      </c>
      <c r="AM122" s="64" t="s">
        <v>2414</v>
      </c>
      <c r="AN122" s="63" t="s">
        <v>2415</v>
      </c>
    </row>
    <row r="123" spans="1:50" ht="22.5" customHeight="1" x14ac:dyDescent="0.3">
      <c r="A123" s="61" t="s">
        <v>1381</v>
      </c>
      <c r="B123" s="49" t="str">
        <f t="shared" si="3"/>
        <v>giftcodesbanner/文明帝國：同盟時代-bar.jpg</v>
      </c>
      <c r="D123" s="49" t="str">
        <f t="shared" si="2"/>
        <v>https://www.ssbuy.tw/gift-codes.html?game=文明帝國：同盟時代</v>
      </c>
      <c r="E123" s="50" t="s">
        <v>3183</v>
      </c>
      <c r="F123" s="51" t="s">
        <v>1730</v>
      </c>
      <c r="G123" s="52" t="s">
        <v>1731</v>
      </c>
      <c r="H123" s="52" t="s">
        <v>2542</v>
      </c>
      <c r="K123" s="67" t="s">
        <v>2416</v>
      </c>
      <c r="L123" s="48" t="s">
        <v>2417</v>
      </c>
      <c r="M123" s="62" t="s">
        <v>2418</v>
      </c>
      <c r="N123" s="48" t="s">
        <v>2419</v>
      </c>
    </row>
    <row r="124" spans="1:50" ht="22.5" customHeight="1" x14ac:dyDescent="0.3">
      <c r="A124" s="61" t="s">
        <v>1383</v>
      </c>
      <c r="B124" s="49" t="str">
        <f t="shared" si="3"/>
        <v>giftcodesbanner/魔法商店大亨-bar.jpg</v>
      </c>
      <c r="D124" s="49" t="str">
        <f t="shared" si="2"/>
        <v>https://www.ssbuy.tw/gift-codes.html?game=魔法商店大亨</v>
      </c>
      <c r="E124" s="50" t="s">
        <v>2420</v>
      </c>
      <c r="F124" s="51" t="s">
        <v>2391</v>
      </c>
      <c r="G124" s="52" t="s">
        <v>1731</v>
      </c>
      <c r="H124" s="52" t="s">
        <v>1860</v>
      </c>
      <c r="K124" s="53" t="s">
        <v>1952</v>
      </c>
      <c r="L124" s="49" t="s">
        <v>2421</v>
      </c>
      <c r="M124" s="54" t="s">
        <v>2076</v>
      </c>
      <c r="N124" s="49" t="s">
        <v>3184</v>
      </c>
      <c r="O124" s="54" t="s">
        <v>1861</v>
      </c>
      <c r="P124" s="49" t="s">
        <v>2422</v>
      </c>
      <c r="Q124" s="54" t="s">
        <v>3185</v>
      </c>
      <c r="R124" s="49" t="s">
        <v>3186</v>
      </c>
      <c r="S124" s="54" t="s">
        <v>2219</v>
      </c>
      <c r="T124" s="49" t="s">
        <v>3187</v>
      </c>
      <c r="U124" s="54" t="s">
        <v>2220</v>
      </c>
      <c r="V124" s="49" t="s">
        <v>3188</v>
      </c>
      <c r="W124" s="54" t="s">
        <v>3189</v>
      </c>
      <c r="X124" s="49" t="s">
        <v>3190</v>
      </c>
    </row>
    <row r="125" spans="1:50" ht="22.5" customHeight="1" x14ac:dyDescent="0.3">
      <c r="A125" s="61" t="s">
        <v>1385</v>
      </c>
      <c r="B125" s="49" t="str">
        <f t="shared" si="3"/>
        <v>giftcodesbanner/新仙劍奇俠傳lite-bar.jpg</v>
      </c>
      <c r="D125" s="49" t="str">
        <f t="shared" si="2"/>
        <v>https://www.ssbuy.tw/gift-codes.html?game=新仙劍奇俠傳lite</v>
      </c>
      <c r="E125" s="50" t="s">
        <v>1386</v>
      </c>
      <c r="F125" s="51" t="s">
        <v>1730</v>
      </c>
      <c r="G125" s="52" t="s">
        <v>1731</v>
      </c>
      <c r="H125" s="52" t="s">
        <v>1860</v>
      </c>
      <c r="K125" s="53" t="s">
        <v>2425</v>
      </c>
      <c r="L125" s="49" t="s">
        <v>1940</v>
      </c>
      <c r="M125" s="54" t="s">
        <v>2426</v>
      </c>
      <c r="N125" s="49" t="s">
        <v>1940</v>
      </c>
      <c r="O125" s="54" t="s">
        <v>2427</v>
      </c>
      <c r="P125" s="49" t="s">
        <v>1940</v>
      </c>
      <c r="Q125" s="54" t="s">
        <v>2428</v>
      </c>
      <c r="R125" s="49" t="s">
        <v>1940</v>
      </c>
      <c r="S125" s="54" t="s">
        <v>2429</v>
      </c>
      <c r="T125" s="49" t="s">
        <v>1940</v>
      </c>
      <c r="U125" s="54" t="s">
        <v>1735</v>
      </c>
      <c r="V125" s="49" t="s">
        <v>1940</v>
      </c>
      <c r="W125" s="54" t="s">
        <v>1734</v>
      </c>
      <c r="X125" s="49" t="s">
        <v>1940</v>
      </c>
      <c r="Y125" s="54" t="s">
        <v>1802</v>
      </c>
      <c r="Z125" s="49" t="s">
        <v>1940</v>
      </c>
      <c r="AA125" s="54" t="s">
        <v>2430</v>
      </c>
      <c r="AB125" s="49" t="s">
        <v>1940</v>
      </c>
      <c r="AC125" s="54" t="s">
        <v>2431</v>
      </c>
      <c r="AD125" s="49" t="s">
        <v>1940</v>
      </c>
      <c r="AE125" s="54" t="s">
        <v>2432</v>
      </c>
      <c r="AF125" s="49" t="s">
        <v>1940</v>
      </c>
      <c r="AG125" s="54" t="s">
        <v>2433</v>
      </c>
      <c r="AH125" s="49" t="s">
        <v>1940</v>
      </c>
      <c r="AI125" s="54" t="s">
        <v>2434</v>
      </c>
      <c r="AJ125" s="49" t="s">
        <v>1940</v>
      </c>
      <c r="AK125" s="54" t="s">
        <v>2435</v>
      </c>
      <c r="AL125" s="49" t="s">
        <v>1940</v>
      </c>
      <c r="AM125" s="54" t="s">
        <v>2430</v>
      </c>
      <c r="AN125" s="49" t="s">
        <v>1940</v>
      </c>
      <c r="AO125" s="54" t="s">
        <v>2436</v>
      </c>
      <c r="AP125" s="49" t="s">
        <v>1940</v>
      </c>
      <c r="AQ125" s="54" t="s">
        <v>2437</v>
      </c>
      <c r="AR125" s="49" t="s">
        <v>1940</v>
      </c>
      <c r="AS125" s="54" t="s">
        <v>2438</v>
      </c>
      <c r="AT125" s="49" t="s">
        <v>1940</v>
      </c>
      <c r="AU125" s="54" t="s">
        <v>2439</v>
      </c>
      <c r="AV125" s="49" t="s">
        <v>1940</v>
      </c>
      <c r="AW125" s="54" t="s">
        <v>2440</v>
      </c>
      <c r="AX125" s="49" t="s">
        <v>1940</v>
      </c>
    </row>
    <row r="126" spans="1:50" ht="22.5" customHeight="1" x14ac:dyDescent="0.3">
      <c r="A126" s="61" t="s">
        <v>1387</v>
      </c>
      <c r="B126" s="49" t="str">
        <f>"giftcodesbanner/" &amp; A126 &amp; "-bar.jpg"</f>
        <v>giftcodesbanner/神州M-bar.jpg</v>
      </c>
      <c r="D126" s="49" t="str">
        <f t="shared" si="2"/>
        <v>https://www.ssbuy.tw/gift-codes.html?game=神州M</v>
      </c>
      <c r="E126" s="50" t="s">
        <v>3191</v>
      </c>
      <c r="F126" s="51" t="s">
        <v>1730</v>
      </c>
      <c r="G126" s="52" t="s">
        <v>1731</v>
      </c>
      <c r="H126" s="52" t="s">
        <v>1860</v>
      </c>
      <c r="K126" s="53" t="s">
        <v>2441</v>
      </c>
      <c r="L126" s="49" t="s">
        <v>2441</v>
      </c>
      <c r="M126" s="54" t="s">
        <v>3192</v>
      </c>
      <c r="N126" s="49" t="s">
        <v>2441</v>
      </c>
    </row>
    <row r="127" spans="1:50" ht="22.5" customHeight="1" x14ac:dyDescent="0.3">
      <c r="A127" s="49" t="s">
        <v>2442</v>
      </c>
      <c r="B127" s="49" t="str">
        <f>"giftcodesbanner/" &amp; A127 &amp; "-bar.jpg"</f>
        <v>giftcodesbanner/英雄傳說：卡卡布三部曲-bar.jpg</v>
      </c>
      <c r="D127" s="49" t="str">
        <f t="shared" si="2"/>
        <v>https://www.ssbuy.tw/gift-codes.html?game=英雄傳說：卡卡布三部曲</v>
      </c>
      <c r="E127" s="50" t="s">
        <v>3193</v>
      </c>
      <c r="F127" s="51" t="s">
        <v>1760</v>
      </c>
      <c r="G127" s="52" t="s">
        <v>1731</v>
      </c>
      <c r="H127" s="52" t="s">
        <v>1860</v>
      </c>
      <c r="K127" s="53" t="s">
        <v>3194</v>
      </c>
      <c r="L127" s="49" t="s">
        <v>1940</v>
      </c>
      <c r="M127" s="54" t="s">
        <v>2443</v>
      </c>
      <c r="N127" s="49" t="s">
        <v>1940</v>
      </c>
      <c r="O127" s="54" t="s">
        <v>2444</v>
      </c>
      <c r="P127" s="49" t="s">
        <v>1940</v>
      </c>
      <c r="Q127" s="54" t="s">
        <v>3195</v>
      </c>
      <c r="R127" s="49" t="s">
        <v>1940</v>
      </c>
      <c r="S127" s="54" t="s">
        <v>3196</v>
      </c>
      <c r="T127" s="49" t="s">
        <v>1940</v>
      </c>
      <c r="U127" s="54" t="s">
        <v>3197</v>
      </c>
      <c r="V127" s="49" t="s">
        <v>1940</v>
      </c>
      <c r="W127" s="54" t="s">
        <v>3198</v>
      </c>
      <c r="X127" s="49" t="s">
        <v>1940</v>
      </c>
      <c r="Y127" s="54" t="s">
        <v>3199</v>
      </c>
      <c r="Z127" s="49" t="s">
        <v>1940</v>
      </c>
      <c r="AA127" s="54" t="s">
        <v>3200</v>
      </c>
      <c r="AB127" s="49" t="s">
        <v>1940</v>
      </c>
      <c r="AC127" s="54" t="s">
        <v>3201</v>
      </c>
      <c r="AD127" s="49" t="s">
        <v>1940</v>
      </c>
      <c r="AE127" s="54" t="s">
        <v>3202</v>
      </c>
      <c r="AF127" s="49" t="s">
        <v>1940</v>
      </c>
      <c r="AG127" s="54" t="s">
        <v>3203</v>
      </c>
      <c r="AH127" s="49" t="s">
        <v>1940</v>
      </c>
      <c r="AI127" s="54" t="s">
        <v>2446</v>
      </c>
      <c r="AJ127" s="49" t="s">
        <v>1940</v>
      </c>
    </row>
    <row r="128" spans="1:50" ht="22.5" customHeight="1" x14ac:dyDescent="0.3">
      <c r="A128" s="61" t="s">
        <v>57</v>
      </c>
      <c r="B128" s="49" t="str">
        <f t="shared" ref="B128:B134" si="4">"giftcodesbanner/" &amp; A128 &amp; "-bar.jpg"</f>
        <v>giftcodesbanner/胡來英雄-bar.jpg</v>
      </c>
      <c r="D128" s="49" t="str">
        <f t="shared" si="2"/>
        <v>https://www.ssbuy.tw/gift-codes.html?game=胡來英雄</v>
      </c>
      <c r="E128" s="58" t="s">
        <v>3204</v>
      </c>
      <c r="F128" s="51" t="s">
        <v>2460</v>
      </c>
      <c r="G128" s="52" t="s">
        <v>1731</v>
      </c>
      <c r="H128" s="52" t="s">
        <v>2542</v>
      </c>
      <c r="K128" s="53" t="s">
        <v>3205</v>
      </c>
      <c r="L128" s="49" t="s">
        <v>3206</v>
      </c>
      <c r="M128" s="54" t="s">
        <v>3207</v>
      </c>
      <c r="N128" s="49" t="s">
        <v>2447</v>
      </c>
      <c r="O128" s="54" t="s">
        <v>3208</v>
      </c>
      <c r="P128" s="49" t="s">
        <v>3209</v>
      </c>
      <c r="Q128" s="54" t="s">
        <v>3210</v>
      </c>
      <c r="R128" s="49" t="s">
        <v>2448</v>
      </c>
      <c r="S128" s="54" t="s">
        <v>3211</v>
      </c>
      <c r="T128" s="49" t="s">
        <v>3212</v>
      </c>
      <c r="U128" s="54" t="s">
        <v>3213</v>
      </c>
      <c r="V128" s="49" t="s">
        <v>3214</v>
      </c>
    </row>
    <row r="129" spans="1:50" ht="22.5" customHeight="1" x14ac:dyDescent="0.3">
      <c r="A129" s="61" t="s">
        <v>58</v>
      </c>
      <c r="B129" s="49" t="str">
        <f t="shared" si="4"/>
        <v>giftcodesbanner/一天又一天的RPG-bar.jpg</v>
      </c>
      <c r="D129" s="49" t="str">
        <f t="shared" si="2"/>
        <v>https://www.ssbuy.tw/gift-codes.html?game=一天又一天的RPG</v>
      </c>
      <c r="E129" s="50" t="s">
        <v>3215</v>
      </c>
      <c r="F129" s="51" t="s">
        <v>2460</v>
      </c>
      <c r="G129" s="52" t="s">
        <v>1731</v>
      </c>
      <c r="H129" s="52" t="s">
        <v>1860</v>
      </c>
      <c r="K129" s="53" t="s">
        <v>3216</v>
      </c>
      <c r="L129" s="49" t="s">
        <v>1940</v>
      </c>
      <c r="M129" s="54" t="s">
        <v>2449</v>
      </c>
      <c r="N129" s="49" t="s">
        <v>1940</v>
      </c>
      <c r="O129" s="54" t="s">
        <v>3217</v>
      </c>
      <c r="P129" s="49" t="s">
        <v>1940</v>
      </c>
      <c r="Q129" s="54" t="s">
        <v>3218</v>
      </c>
      <c r="R129" s="49" t="s">
        <v>1940</v>
      </c>
      <c r="S129" s="54" t="s">
        <v>3219</v>
      </c>
      <c r="T129" s="49" t="s">
        <v>1940</v>
      </c>
      <c r="U129" s="54" t="s">
        <v>2450</v>
      </c>
      <c r="V129" s="49" t="s">
        <v>1940</v>
      </c>
    </row>
    <row r="130" spans="1:50" ht="22.5" customHeight="1" x14ac:dyDescent="0.3">
      <c r="A130" s="61" t="s">
        <v>59</v>
      </c>
      <c r="B130" s="49" t="str">
        <f t="shared" si="4"/>
        <v>giftcodesbanner/銀與血-bar.jpg</v>
      </c>
      <c r="D130" s="49" t="str">
        <f t="shared" ref="D130:D189" si="5">"https://www.ssbuy.tw/gift-codes.html?game="&amp;A130</f>
        <v>https://www.ssbuy.tw/gift-codes.html?game=銀與血</v>
      </c>
      <c r="E130" s="50" t="s">
        <v>2451</v>
      </c>
      <c r="F130" s="51" t="s">
        <v>1730</v>
      </c>
      <c r="G130" s="52" t="s">
        <v>1731</v>
      </c>
      <c r="H130" s="52" t="s">
        <v>1860</v>
      </c>
      <c r="K130" s="53" t="s">
        <v>3220</v>
      </c>
      <c r="L130" s="49" t="s">
        <v>1940</v>
      </c>
      <c r="M130" s="54" t="s">
        <v>2452</v>
      </c>
      <c r="N130" s="49" t="s">
        <v>1940</v>
      </c>
      <c r="O130" s="54" t="s">
        <v>3221</v>
      </c>
      <c r="P130" s="49" t="s">
        <v>1940</v>
      </c>
      <c r="Q130" s="54" t="s">
        <v>3222</v>
      </c>
      <c r="R130" s="49" t="s">
        <v>1940</v>
      </c>
      <c r="S130" s="54" t="s">
        <v>3223</v>
      </c>
      <c r="T130" s="49" t="s">
        <v>1940</v>
      </c>
      <c r="U130" s="54" t="s">
        <v>3224</v>
      </c>
      <c r="V130" s="49" t="s">
        <v>1940</v>
      </c>
    </row>
    <row r="131" spans="1:50" ht="22.5" customHeight="1" x14ac:dyDescent="0.3">
      <c r="A131" s="61" t="s">
        <v>60</v>
      </c>
      <c r="B131" s="49" t="str">
        <f t="shared" si="4"/>
        <v>giftcodesbanner/緋石之心-bar.jpg</v>
      </c>
      <c r="D131" s="49" t="str">
        <f t="shared" si="5"/>
        <v>https://www.ssbuy.tw/gift-codes.html?game=緋石之心</v>
      </c>
      <c r="E131" s="50" t="s">
        <v>3225</v>
      </c>
      <c r="F131" s="51" t="s">
        <v>2531</v>
      </c>
      <c r="G131" s="52" t="s">
        <v>1731</v>
      </c>
      <c r="H131" s="52" t="s">
        <v>1860</v>
      </c>
      <c r="K131" s="53" t="s">
        <v>2453</v>
      </c>
      <c r="L131" s="49" t="s">
        <v>1940</v>
      </c>
      <c r="M131" s="54" t="s">
        <v>1952</v>
      </c>
      <c r="N131" s="49" t="s">
        <v>1940</v>
      </c>
    </row>
    <row r="132" spans="1:50" ht="22.5" customHeight="1" x14ac:dyDescent="0.3">
      <c r="A132" s="61" t="s">
        <v>2454</v>
      </c>
      <c r="B132" s="49" t="str">
        <f t="shared" si="4"/>
        <v>giftcodesbanner/滔湧少女-bar.jpg</v>
      </c>
      <c r="D132" s="49" t="str">
        <f t="shared" si="5"/>
        <v>https://www.ssbuy.tw/gift-codes.html?game=滔湧少女</v>
      </c>
      <c r="E132" s="50" t="s">
        <v>2455</v>
      </c>
      <c r="F132" s="51" t="s">
        <v>2460</v>
      </c>
      <c r="G132" s="52" t="s">
        <v>1731</v>
      </c>
      <c r="H132" s="52" t="s">
        <v>1860</v>
      </c>
      <c r="K132" s="53" t="s">
        <v>3226</v>
      </c>
      <c r="L132" s="49" t="s">
        <v>1940</v>
      </c>
      <c r="M132" s="54" t="s">
        <v>2456</v>
      </c>
      <c r="N132" s="49" t="s">
        <v>1940</v>
      </c>
      <c r="O132" s="54" t="s">
        <v>2457</v>
      </c>
      <c r="P132" s="49" t="s">
        <v>1940</v>
      </c>
      <c r="Q132" s="54" t="s">
        <v>3227</v>
      </c>
      <c r="R132" s="49" t="s">
        <v>1940</v>
      </c>
    </row>
    <row r="133" spans="1:50" ht="22.5" customHeight="1" x14ac:dyDescent="0.3">
      <c r="A133" s="61" t="s">
        <v>99</v>
      </c>
      <c r="B133" s="49" t="str">
        <f t="shared" si="4"/>
        <v>giftcodesbanner/漫威祕法狂潮-bar.jpg</v>
      </c>
      <c r="D133" s="49" t="str">
        <f t="shared" si="5"/>
        <v>https://www.ssbuy.tw/gift-codes.html?game=漫威祕法狂潮</v>
      </c>
      <c r="E133" s="50" t="s">
        <v>3228</v>
      </c>
      <c r="F133" s="51" t="s">
        <v>2460</v>
      </c>
      <c r="G133" s="52" t="s">
        <v>1731</v>
      </c>
      <c r="H133" s="52" t="s">
        <v>1860</v>
      </c>
      <c r="K133" s="53" t="s">
        <v>2458</v>
      </c>
      <c r="L133" s="49" t="s">
        <v>1940</v>
      </c>
    </row>
    <row r="134" spans="1:50" ht="22.5" customHeight="1" x14ac:dyDescent="0.3">
      <c r="A134" s="61" t="s">
        <v>100</v>
      </c>
      <c r="B134" s="49" t="str">
        <f t="shared" si="4"/>
        <v>giftcodesbanner/魔教回歸：2D MMORPG-bar.jpg</v>
      </c>
      <c r="D134" s="49" t="str">
        <f t="shared" si="5"/>
        <v>https://www.ssbuy.tw/gift-codes.html?game=魔教回歸：2D MMORPG</v>
      </c>
      <c r="E134" s="58" t="s">
        <v>2459</v>
      </c>
      <c r="F134" s="51" t="s">
        <v>1730</v>
      </c>
      <c r="G134" s="52" t="s">
        <v>1731</v>
      </c>
      <c r="H134" s="52" t="s">
        <v>1860</v>
      </c>
      <c r="K134" s="53" t="s">
        <v>1952</v>
      </c>
      <c r="L134" s="49" t="s">
        <v>1940</v>
      </c>
      <c r="M134" s="54" t="s">
        <v>2076</v>
      </c>
      <c r="N134" s="49" t="s">
        <v>1940</v>
      </c>
      <c r="O134" s="54" t="s">
        <v>1861</v>
      </c>
      <c r="P134" s="49" t="s">
        <v>1940</v>
      </c>
    </row>
    <row r="135" spans="1:50" ht="22.5" customHeight="1" x14ac:dyDescent="0.3">
      <c r="A135" s="61" t="s">
        <v>122</v>
      </c>
      <c r="C135" s="49" t="str">
        <f>"giftcodesbanner/" &amp; A135 &amp; "-禮包碼.jpg"</f>
        <v>giftcodesbanner/屍戰王朝-禮包碼.jpg</v>
      </c>
      <c r="D135" s="49" t="str">
        <f t="shared" si="5"/>
        <v>https://www.ssbuy.tw/gift-codes.html?game=屍戰王朝</v>
      </c>
      <c r="E135" s="68" t="s">
        <v>3229</v>
      </c>
      <c r="F135" s="51" t="s">
        <v>1730</v>
      </c>
      <c r="G135" s="52" t="s">
        <v>1731</v>
      </c>
      <c r="H135" s="52" t="s">
        <v>1860</v>
      </c>
      <c r="K135" s="65" t="s">
        <v>2461</v>
      </c>
      <c r="L135" s="63" t="s">
        <v>2462</v>
      </c>
      <c r="M135" s="64" t="s">
        <v>2463</v>
      </c>
      <c r="N135" s="63" t="s">
        <v>2464</v>
      </c>
      <c r="O135" s="64" t="s">
        <v>2465</v>
      </c>
      <c r="P135" s="63" t="s">
        <v>2466</v>
      </c>
      <c r="Q135" s="64" t="s">
        <v>2467</v>
      </c>
      <c r="R135" s="63" t="s">
        <v>2468</v>
      </c>
      <c r="S135" s="64" t="s">
        <v>2469</v>
      </c>
      <c r="T135" s="63" t="s">
        <v>2470</v>
      </c>
      <c r="U135" s="64" t="s">
        <v>2471</v>
      </c>
      <c r="V135" s="63" t="s">
        <v>2472</v>
      </c>
      <c r="W135" s="64" t="s">
        <v>1802</v>
      </c>
      <c r="X135" s="63" t="s">
        <v>2473</v>
      </c>
      <c r="Y135" s="64" t="s">
        <v>1734</v>
      </c>
      <c r="Z135" s="63" t="s">
        <v>2474</v>
      </c>
      <c r="AA135" s="64" t="s">
        <v>1735</v>
      </c>
      <c r="AB135" s="63" t="s">
        <v>2475</v>
      </c>
      <c r="AC135" s="64" t="s">
        <v>1803</v>
      </c>
      <c r="AD135" s="63" t="s">
        <v>2476</v>
      </c>
      <c r="AE135" s="64" t="s">
        <v>1804</v>
      </c>
      <c r="AF135" s="63" t="s">
        <v>2477</v>
      </c>
      <c r="AG135" s="64" t="s">
        <v>1805</v>
      </c>
      <c r="AH135" s="63" t="s">
        <v>2478</v>
      </c>
    </row>
    <row r="136" spans="1:50" ht="22.5" customHeight="1" x14ac:dyDescent="0.3">
      <c r="A136" s="61" t="s">
        <v>3230</v>
      </c>
      <c r="C136" s="49" t="str">
        <f t="shared" ref="C136:C189" si="6">"giftcodesbanner/" &amp; A136 &amp; "-禮包碼.jpg"</f>
        <v>giftcodesbanner/機甲變變變-禮包碼.jpg</v>
      </c>
      <c r="D136" s="49" t="str">
        <f t="shared" si="5"/>
        <v>https://www.ssbuy.tw/gift-codes.html?game=機甲變變變</v>
      </c>
      <c r="E136" s="68" t="s">
        <v>3231</v>
      </c>
      <c r="F136" s="51" t="s">
        <v>3232</v>
      </c>
      <c r="G136" s="52" t="s">
        <v>1731</v>
      </c>
      <c r="H136" s="52" t="s">
        <v>1860</v>
      </c>
      <c r="K136" s="53" t="s">
        <v>2479</v>
      </c>
      <c r="L136" s="49" t="s">
        <v>3233</v>
      </c>
      <c r="M136" s="54" t="s">
        <v>2480</v>
      </c>
      <c r="N136" s="49" t="s">
        <v>3234</v>
      </c>
      <c r="O136" s="54" t="s">
        <v>2481</v>
      </c>
      <c r="P136" s="49" t="s">
        <v>2482</v>
      </c>
      <c r="Q136" s="54" t="s">
        <v>3235</v>
      </c>
      <c r="R136" s="49" t="s">
        <v>3236</v>
      </c>
    </row>
    <row r="137" spans="1:50" ht="22.5" customHeight="1" x14ac:dyDescent="0.3">
      <c r="A137" s="61" t="s">
        <v>3237</v>
      </c>
      <c r="C137" s="49" t="str">
        <f t="shared" si="6"/>
        <v>giftcodesbanner/狼少女蘭吉-禮包碼.jpg</v>
      </c>
      <c r="D137" s="49" t="str">
        <f t="shared" si="5"/>
        <v>https://www.ssbuy.tw/gift-codes.html?game=狼少女蘭吉</v>
      </c>
      <c r="E137" s="68" t="s">
        <v>3238</v>
      </c>
      <c r="F137" s="51" t="s">
        <v>1730</v>
      </c>
      <c r="G137" s="52" t="s">
        <v>1731</v>
      </c>
      <c r="H137" s="52" t="s">
        <v>1860</v>
      </c>
      <c r="K137" s="53" t="s">
        <v>2483</v>
      </c>
      <c r="L137" s="49" t="s">
        <v>2495</v>
      </c>
      <c r="M137" s="54" t="s">
        <v>2483</v>
      </c>
      <c r="N137" s="49" t="s">
        <v>2495</v>
      </c>
    </row>
    <row r="138" spans="1:50" ht="22.5" customHeight="1" x14ac:dyDescent="0.3">
      <c r="A138" s="61" t="s">
        <v>3239</v>
      </c>
      <c r="C138" s="49" t="str">
        <f t="shared" si="6"/>
        <v>giftcodesbanner/RO仙境傳說：曙光-禮包碼.jpg</v>
      </c>
      <c r="D138" s="49" t="str">
        <f t="shared" si="5"/>
        <v>https://www.ssbuy.tw/gift-codes.html?game=RO仙境傳說：曙光</v>
      </c>
      <c r="E138" s="68" t="s">
        <v>3240</v>
      </c>
      <c r="F138" s="51" t="s">
        <v>1730</v>
      </c>
      <c r="G138" s="52" t="s">
        <v>1731</v>
      </c>
      <c r="H138" s="52" t="s">
        <v>2529</v>
      </c>
      <c r="K138" s="53" t="s">
        <v>2423</v>
      </c>
      <c r="L138" s="49" t="s">
        <v>1940</v>
      </c>
      <c r="M138" s="54" t="s">
        <v>2220</v>
      </c>
      <c r="N138" s="49" t="s">
        <v>1940</v>
      </c>
      <c r="O138" s="54" t="s">
        <v>2484</v>
      </c>
      <c r="P138" s="49" t="s">
        <v>1940</v>
      </c>
      <c r="Q138" s="54" t="s">
        <v>2485</v>
      </c>
      <c r="R138" s="49" t="s">
        <v>1940</v>
      </c>
      <c r="S138" s="54" t="s">
        <v>2486</v>
      </c>
      <c r="T138" s="49" t="s">
        <v>1940</v>
      </c>
      <c r="U138" s="54" t="s">
        <v>2487</v>
      </c>
      <c r="V138" s="49" t="s">
        <v>1940</v>
      </c>
      <c r="W138" s="54" t="s">
        <v>2488</v>
      </c>
      <c r="X138" s="49" t="s">
        <v>1940</v>
      </c>
      <c r="Y138" s="54" t="s">
        <v>2489</v>
      </c>
      <c r="Z138" s="49" t="s">
        <v>1940</v>
      </c>
      <c r="AA138" s="54" t="s">
        <v>2490</v>
      </c>
      <c r="AB138" s="49" t="s">
        <v>1940</v>
      </c>
      <c r="AC138" s="54" t="s">
        <v>2491</v>
      </c>
      <c r="AD138" s="49" t="s">
        <v>1940</v>
      </c>
      <c r="AE138" s="54" t="s">
        <v>2492</v>
      </c>
      <c r="AF138" s="49" t="s">
        <v>1940</v>
      </c>
      <c r="AG138" s="54" t="s">
        <v>2493</v>
      </c>
      <c r="AH138" s="49" t="s">
        <v>1940</v>
      </c>
      <c r="AI138" s="54" t="s">
        <v>2494</v>
      </c>
      <c r="AJ138" s="49" t="s">
        <v>1940</v>
      </c>
    </row>
    <row r="139" spans="1:50" ht="22.5" customHeight="1" x14ac:dyDescent="0.3">
      <c r="A139" s="61" t="s">
        <v>124</v>
      </c>
      <c r="C139" s="49" t="str">
        <f t="shared" si="6"/>
        <v>giftcodesbanner/星曲Ultra-禮包碼.jpg</v>
      </c>
      <c r="D139" s="49" t="str">
        <f t="shared" si="5"/>
        <v>https://www.ssbuy.tw/gift-codes.html?game=星曲Ultra</v>
      </c>
      <c r="E139" s="68" t="s">
        <v>3241</v>
      </c>
      <c r="F139" s="51" t="s">
        <v>1730</v>
      </c>
      <c r="G139" s="52" t="s">
        <v>1731</v>
      </c>
      <c r="H139" s="52" t="s">
        <v>1860</v>
      </c>
      <c r="K139" s="53" t="s">
        <v>2495</v>
      </c>
      <c r="L139" s="49" t="s">
        <v>2483</v>
      </c>
      <c r="M139" s="54" t="s">
        <v>2483</v>
      </c>
      <c r="N139" s="49" t="s">
        <v>2496</v>
      </c>
    </row>
    <row r="140" spans="1:50" ht="22.5" customHeight="1" x14ac:dyDescent="0.3">
      <c r="A140" s="61" t="s">
        <v>166</v>
      </c>
      <c r="C140" s="49" t="str">
        <f t="shared" si="6"/>
        <v>giftcodesbanner/第七天災-禮包碼.jpg</v>
      </c>
      <c r="D140" s="49" t="str">
        <f t="shared" si="5"/>
        <v>https://www.ssbuy.tw/gift-codes.html?game=第七天災</v>
      </c>
      <c r="E140" s="68" t="s">
        <v>3242</v>
      </c>
      <c r="F140" s="51" t="s">
        <v>1730</v>
      </c>
      <c r="G140" s="52" t="s">
        <v>1731</v>
      </c>
      <c r="H140" s="52" t="s">
        <v>1860</v>
      </c>
      <c r="K140" s="53" t="s">
        <v>3243</v>
      </c>
      <c r="L140" s="49" t="s">
        <v>3244</v>
      </c>
      <c r="M140" s="54" t="s">
        <v>3245</v>
      </c>
      <c r="N140" s="49" t="s">
        <v>3246</v>
      </c>
      <c r="O140" s="54" t="s">
        <v>3247</v>
      </c>
      <c r="P140" s="49" t="s">
        <v>3248</v>
      </c>
      <c r="Q140" s="54" t="s">
        <v>3249</v>
      </c>
      <c r="R140" s="49" t="s">
        <v>3250</v>
      </c>
      <c r="S140" s="54" t="s">
        <v>3251</v>
      </c>
      <c r="T140" s="49" t="s">
        <v>1940</v>
      </c>
      <c r="U140" s="54" t="s">
        <v>2497</v>
      </c>
      <c r="V140" s="49" t="s">
        <v>1940</v>
      </c>
      <c r="W140" s="54" t="s">
        <v>2498</v>
      </c>
      <c r="X140" s="49" t="s">
        <v>1940</v>
      </c>
      <c r="Y140" s="54" t="s">
        <v>2499</v>
      </c>
      <c r="Z140" s="49" t="s">
        <v>1940</v>
      </c>
      <c r="AA140" s="54" t="s">
        <v>1903</v>
      </c>
      <c r="AB140" s="49" t="s">
        <v>1940</v>
      </c>
      <c r="AC140" s="54" t="s">
        <v>2500</v>
      </c>
      <c r="AD140" s="49" t="s">
        <v>1940</v>
      </c>
      <c r="AE140" s="54" t="s">
        <v>2501</v>
      </c>
      <c r="AF140" s="49" t="s">
        <v>1940</v>
      </c>
      <c r="AG140" s="54" t="s">
        <v>2502</v>
      </c>
      <c r="AH140" s="49" t="s">
        <v>1940</v>
      </c>
      <c r="AI140" s="54" t="s">
        <v>2503</v>
      </c>
      <c r="AJ140" s="49" t="s">
        <v>1940</v>
      </c>
      <c r="AK140" s="54" t="s">
        <v>2504</v>
      </c>
      <c r="AL140" s="49" t="s">
        <v>1940</v>
      </c>
      <c r="AM140" s="54" t="s">
        <v>2505</v>
      </c>
      <c r="AN140" s="49" t="s">
        <v>1940</v>
      </c>
      <c r="AO140" s="54" t="s">
        <v>2506</v>
      </c>
      <c r="AP140" s="49" t="s">
        <v>1940</v>
      </c>
      <c r="AQ140" s="54" t="s">
        <v>2507</v>
      </c>
      <c r="AR140" s="49" t="s">
        <v>1940</v>
      </c>
      <c r="AS140" s="54" t="s">
        <v>2508</v>
      </c>
      <c r="AT140" s="49" t="s">
        <v>1940</v>
      </c>
      <c r="AU140" s="54" t="s">
        <v>2509</v>
      </c>
      <c r="AV140" s="49" t="s">
        <v>1940</v>
      </c>
      <c r="AW140" s="54" t="s">
        <v>2510</v>
      </c>
      <c r="AX140" s="49" t="s">
        <v>1940</v>
      </c>
    </row>
    <row r="141" spans="1:50" ht="22.5" customHeight="1" x14ac:dyDescent="0.3">
      <c r="A141" s="61" t="s">
        <v>2511</v>
      </c>
      <c r="C141" s="49" t="str">
        <f t="shared" si="6"/>
        <v>giftcodesbanner/百萬神界-禮包碼.jpg</v>
      </c>
      <c r="D141" s="49" t="str">
        <f t="shared" si="5"/>
        <v>https://www.ssbuy.tw/gift-codes.html?game=百萬神界</v>
      </c>
      <c r="E141" s="68" t="s">
        <v>2512</v>
      </c>
      <c r="F141" s="51" t="s">
        <v>1730</v>
      </c>
      <c r="G141" s="52" t="s">
        <v>1731</v>
      </c>
      <c r="H141" s="52" t="s">
        <v>2529</v>
      </c>
      <c r="K141" s="59" t="s">
        <v>2513</v>
      </c>
      <c r="L141" s="52" t="s">
        <v>2514</v>
      </c>
      <c r="M141" s="60" t="s">
        <v>2515</v>
      </c>
      <c r="N141" s="52" t="s">
        <v>2516</v>
      </c>
      <c r="O141" s="60" t="s">
        <v>1734</v>
      </c>
      <c r="P141" s="52" t="s">
        <v>2517</v>
      </c>
      <c r="Q141" s="60" t="s">
        <v>1840</v>
      </c>
      <c r="R141" s="52" t="s">
        <v>2518</v>
      </c>
      <c r="S141" s="60" t="s">
        <v>2519</v>
      </c>
      <c r="T141" s="52" t="s">
        <v>2520</v>
      </c>
      <c r="U141" s="60" t="s">
        <v>2521</v>
      </c>
      <c r="V141" s="52" t="s">
        <v>2522</v>
      </c>
      <c r="W141" s="60" t="s">
        <v>2523</v>
      </c>
      <c r="X141" s="52" t="s">
        <v>2524</v>
      </c>
      <c r="Y141" s="60" t="s">
        <v>2525</v>
      </c>
      <c r="Z141" s="52" t="s">
        <v>2526</v>
      </c>
      <c r="AA141" s="60" t="s">
        <v>2527</v>
      </c>
      <c r="AB141" s="52" t="s">
        <v>2528</v>
      </c>
    </row>
    <row r="142" spans="1:50" ht="22.5" customHeight="1" x14ac:dyDescent="0.3">
      <c r="A142" s="61" t="s">
        <v>167</v>
      </c>
      <c r="C142" s="49" t="str">
        <f t="shared" si="6"/>
        <v>giftcodesbanner/Dark war-禮包碼.jpg</v>
      </c>
      <c r="D142" s="49" t="str">
        <f t="shared" si="5"/>
        <v>https://www.ssbuy.tw/gift-codes.html?game=Dark war</v>
      </c>
      <c r="E142" s="68" t="s">
        <v>3252</v>
      </c>
      <c r="F142" s="51" t="s">
        <v>1730</v>
      </c>
      <c r="G142" s="52" t="s">
        <v>1731</v>
      </c>
      <c r="H142" s="52" t="s">
        <v>2529</v>
      </c>
      <c r="K142" s="53" t="s">
        <v>2483</v>
      </c>
      <c r="L142" s="49" t="s">
        <v>2483</v>
      </c>
      <c r="M142" s="54" t="s">
        <v>2496</v>
      </c>
      <c r="N142" s="49" t="s">
        <v>2483</v>
      </c>
    </row>
    <row r="143" spans="1:50" ht="22.5" customHeight="1" x14ac:dyDescent="0.3">
      <c r="A143" s="55" t="s">
        <v>2530</v>
      </c>
      <c r="C143" s="49" t="str">
        <f t="shared" si="6"/>
        <v>giftcodesbanner/美男惡徒-禮包碼.jpg</v>
      </c>
      <c r="D143" s="49" t="str">
        <f t="shared" si="5"/>
        <v>https://www.ssbuy.tw/gift-codes.html?game=美男惡徒</v>
      </c>
      <c r="E143" s="58" t="s">
        <v>3253</v>
      </c>
      <c r="F143" s="51" t="s">
        <v>1730</v>
      </c>
      <c r="G143" s="52" t="s">
        <v>1731</v>
      </c>
      <c r="H143" s="52" t="s">
        <v>1860</v>
      </c>
      <c r="K143" s="53" t="s">
        <v>2532</v>
      </c>
      <c r="L143" s="49" t="s">
        <v>3254</v>
      </c>
      <c r="M143" s="54" t="s">
        <v>2533</v>
      </c>
      <c r="N143" s="49" t="s">
        <v>3255</v>
      </c>
      <c r="O143" s="54" t="s">
        <v>2534</v>
      </c>
      <c r="P143" s="49" t="s">
        <v>2535</v>
      </c>
      <c r="Q143" s="54" t="s">
        <v>3256</v>
      </c>
      <c r="R143" s="49" t="s">
        <v>3257</v>
      </c>
    </row>
    <row r="144" spans="1:50" ht="22.5" customHeight="1" x14ac:dyDescent="0.3">
      <c r="A144" s="49" t="s">
        <v>197</v>
      </c>
      <c r="C144" s="49" t="str">
        <f t="shared" si="6"/>
        <v>giftcodesbanner/三國冰河時代-禮包碼.jpg</v>
      </c>
      <c r="D144" s="49" t="str">
        <f t="shared" si="5"/>
        <v>https://www.ssbuy.tw/gift-codes.html?game=三國冰河時代</v>
      </c>
      <c r="E144" s="50" t="s">
        <v>3258</v>
      </c>
      <c r="F144" s="51" t="s">
        <v>1730</v>
      </c>
      <c r="G144" s="52" t="s">
        <v>1731</v>
      </c>
      <c r="H144" s="52" t="s">
        <v>1860</v>
      </c>
      <c r="K144" s="53" t="s">
        <v>3259</v>
      </c>
      <c r="L144" s="49" t="s">
        <v>1940</v>
      </c>
      <c r="M144" s="54" t="s">
        <v>3260</v>
      </c>
      <c r="N144" s="49" t="s">
        <v>1940</v>
      </c>
      <c r="O144" s="54" t="s">
        <v>2536</v>
      </c>
      <c r="P144" s="49" t="s">
        <v>1940</v>
      </c>
      <c r="Q144" s="54" t="s">
        <v>3261</v>
      </c>
      <c r="R144" s="49" t="s">
        <v>1940</v>
      </c>
      <c r="S144" s="54" t="s">
        <v>2537</v>
      </c>
      <c r="T144" s="49" t="s">
        <v>1940</v>
      </c>
      <c r="U144" s="54" t="s">
        <v>2538</v>
      </c>
      <c r="V144" s="49" t="s">
        <v>1940</v>
      </c>
      <c r="W144" s="54" t="s">
        <v>2539</v>
      </c>
      <c r="X144" s="49" t="s">
        <v>1940</v>
      </c>
      <c r="Y144" s="54" t="s">
        <v>2540</v>
      </c>
      <c r="Z144" s="49" t="s">
        <v>1940</v>
      </c>
    </row>
    <row r="145" spans="1:32" ht="22.5" customHeight="1" x14ac:dyDescent="0.3">
      <c r="A145" s="69" t="s">
        <v>198</v>
      </c>
      <c r="C145" s="49" t="str">
        <f t="shared" si="6"/>
        <v>giftcodesbanner/暗黑崛起-禮包碼.jpg</v>
      </c>
      <c r="D145" s="49" t="str">
        <f t="shared" si="5"/>
        <v>https://www.ssbuy.tw/gift-codes.html?game=暗黑崛起</v>
      </c>
      <c r="E145" s="58" t="s">
        <v>2541</v>
      </c>
      <c r="F145" s="51" t="s">
        <v>2460</v>
      </c>
      <c r="G145" s="52" t="s">
        <v>1731</v>
      </c>
      <c r="H145" s="52" t="s">
        <v>1860</v>
      </c>
      <c r="K145" s="53" t="s">
        <v>3262</v>
      </c>
      <c r="L145" s="49" t="s">
        <v>1940</v>
      </c>
    </row>
    <row r="146" spans="1:32" ht="22.5" customHeight="1" x14ac:dyDescent="0.3">
      <c r="A146" s="69" t="s">
        <v>199</v>
      </c>
      <c r="C146" s="49" t="str">
        <f t="shared" si="6"/>
        <v>giftcodesbanner/轉生魔劍士養成：策略放置RPG-禮包碼.jpg</v>
      </c>
      <c r="D146" s="49" t="str">
        <f t="shared" si="5"/>
        <v>https://www.ssbuy.tw/gift-codes.html?game=轉生魔劍士養成：策略放置RPG</v>
      </c>
      <c r="E146" s="58" t="s">
        <v>3263</v>
      </c>
      <c r="F146" s="51" t="s">
        <v>1730</v>
      </c>
      <c r="G146" s="52" t="s">
        <v>1731</v>
      </c>
      <c r="H146" s="52" t="s">
        <v>2529</v>
      </c>
      <c r="K146" s="53" t="s">
        <v>2483</v>
      </c>
      <c r="L146" s="49" t="s">
        <v>3264</v>
      </c>
      <c r="M146" s="54" t="s">
        <v>2483</v>
      </c>
      <c r="N146" s="49" t="s">
        <v>2483</v>
      </c>
    </row>
    <row r="147" spans="1:32" ht="22.5" customHeight="1" x14ac:dyDescent="0.3">
      <c r="A147" s="49" t="s">
        <v>3265</v>
      </c>
      <c r="C147" s="49" t="str">
        <f t="shared" si="6"/>
        <v>giftcodesbanner/極速漂移：3V3-禮包碼.jpg</v>
      </c>
      <c r="D147" s="49" t="str">
        <f t="shared" si="5"/>
        <v>https://www.ssbuy.tw/gift-codes.html?game=極速漂移：3V3</v>
      </c>
      <c r="E147" s="50" t="s">
        <v>3266</v>
      </c>
      <c r="F147" s="51" t="s">
        <v>1730</v>
      </c>
      <c r="G147" s="52" t="s">
        <v>1731</v>
      </c>
      <c r="H147" s="52" t="s">
        <v>1860</v>
      </c>
      <c r="K147" s="53" t="s">
        <v>2496</v>
      </c>
      <c r="L147" s="49" t="s">
        <v>3264</v>
      </c>
      <c r="M147" s="54" t="s">
        <v>2483</v>
      </c>
      <c r="N147" s="49" t="s">
        <v>2495</v>
      </c>
    </row>
    <row r="148" spans="1:32" ht="22.5" customHeight="1" x14ac:dyDescent="0.3">
      <c r="A148" s="69" t="s">
        <v>228</v>
      </c>
      <c r="C148" s="49" t="str">
        <f t="shared" si="6"/>
        <v>giftcodesbanner/斗羅大陸：獵魂世界-禮包碼.jpg</v>
      </c>
      <c r="D148" s="49" t="str">
        <f t="shared" si="5"/>
        <v>https://www.ssbuy.tw/gift-codes.html?game=斗羅大陸：獵魂世界</v>
      </c>
      <c r="E148" s="58" t="s">
        <v>3267</v>
      </c>
      <c r="F148" s="51" t="s">
        <v>3232</v>
      </c>
      <c r="G148" s="52" t="s">
        <v>1731</v>
      </c>
      <c r="H148" s="52" t="s">
        <v>1860</v>
      </c>
      <c r="K148" s="53" t="s">
        <v>3268</v>
      </c>
      <c r="L148" s="49" t="s">
        <v>1940</v>
      </c>
      <c r="M148" s="54" t="s">
        <v>3269</v>
      </c>
      <c r="N148" s="49" t="s">
        <v>1940</v>
      </c>
      <c r="O148" s="54" t="s">
        <v>3270</v>
      </c>
      <c r="P148" s="49" t="s">
        <v>1940</v>
      </c>
      <c r="Q148" s="54" t="s">
        <v>3271</v>
      </c>
      <c r="R148" s="49" t="s">
        <v>1940</v>
      </c>
      <c r="S148" s="54" t="s">
        <v>3272</v>
      </c>
      <c r="T148" s="49" t="s">
        <v>1940</v>
      </c>
      <c r="U148" s="54" t="s">
        <v>2543</v>
      </c>
      <c r="V148" s="49" t="s">
        <v>1940</v>
      </c>
      <c r="W148" s="54" t="s">
        <v>3273</v>
      </c>
      <c r="X148" s="49" t="s">
        <v>1940</v>
      </c>
      <c r="Y148" s="54" t="s">
        <v>3274</v>
      </c>
      <c r="Z148" s="49" t="s">
        <v>1940</v>
      </c>
      <c r="AA148" s="54" t="s">
        <v>2544</v>
      </c>
      <c r="AB148" s="49" t="s">
        <v>1940</v>
      </c>
      <c r="AC148" s="54" t="s">
        <v>3275</v>
      </c>
      <c r="AD148" s="49" t="s">
        <v>1940</v>
      </c>
      <c r="AE148" s="54" t="s">
        <v>3276</v>
      </c>
      <c r="AF148" s="49" t="s">
        <v>1940</v>
      </c>
    </row>
    <row r="149" spans="1:32" ht="22.5" customHeight="1" x14ac:dyDescent="0.3">
      <c r="A149" s="69" t="s">
        <v>229</v>
      </c>
      <c r="C149" s="49" t="str">
        <f t="shared" si="6"/>
        <v>giftcodesbanner/指點兵兵-禮包碼.jpg</v>
      </c>
      <c r="D149" s="49" t="str">
        <f t="shared" si="5"/>
        <v>https://www.ssbuy.tw/gift-codes.html?game=指點兵兵</v>
      </c>
      <c r="E149" s="58" t="s">
        <v>3277</v>
      </c>
      <c r="F149" s="51" t="s">
        <v>2460</v>
      </c>
      <c r="G149" s="52" t="s">
        <v>1731</v>
      </c>
      <c r="H149" s="52" t="s">
        <v>1860</v>
      </c>
      <c r="K149" s="53" t="s">
        <v>3245</v>
      </c>
      <c r="L149" s="49" t="s">
        <v>1940</v>
      </c>
      <c r="M149" s="54" t="s">
        <v>2076</v>
      </c>
      <c r="N149" s="49" t="s">
        <v>1940</v>
      </c>
      <c r="O149" s="54" t="s">
        <v>3278</v>
      </c>
      <c r="P149" s="49" t="s">
        <v>1940</v>
      </c>
      <c r="Q149" s="54" t="s">
        <v>1953</v>
      </c>
      <c r="R149" s="49" t="s">
        <v>1940</v>
      </c>
      <c r="S149" s="54" t="s">
        <v>2545</v>
      </c>
      <c r="T149" s="49" t="s">
        <v>1940</v>
      </c>
    </row>
    <row r="150" spans="1:32" ht="22.5" customHeight="1" x14ac:dyDescent="0.3">
      <c r="A150" s="69" t="s">
        <v>241</v>
      </c>
      <c r="C150" s="49" t="str">
        <f t="shared" si="6"/>
        <v>giftcodesbanner/變身傳奇-禮包碼.jpg</v>
      </c>
      <c r="D150" s="49" t="str">
        <f t="shared" si="5"/>
        <v>https://www.ssbuy.tw/gift-codes.html?game=變身傳奇</v>
      </c>
      <c r="E150" s="50" t="s">
        <v>2546</v>
      </c>
      <c r="F150" s="51" t="s">
        <v>1730</v>
      </c>
      <c r="G150" s="52" t="s">
        <v>1731</v>
      </c>
      <c r="H150" s="52" t="s">
        <v>1860</v>
      </c>
      <c r="K150" s="53" t="s">
        <v>2547</v>
      </c>
      <c r="L150" s="49" t="s">
        <v>2548</v>
      </c>
      <c r="M150" s="54" t="s">
        <v>3279</v>
      </c>
      <c r="N150" s="49" t="s">
        <v>2547</v>
      </c>
    </row>
    <row r="151" spans="1:32" ht="22.5" customHeight="1" x14ac:dyDescent="0.3">
      <c r="A151" s="69" t="s">
        <v>242</v>
      </c>
      <c r="C151" s="49" t="str">
        <f t="shared" si="6"/>
        <v>giftcodesbanner/Blue eyes：公會大師-禮包碼.jpg</v>
      </c>
      <c r="D151" s="49" t="str">
        <f t="shared" si="5"/>
        <v>https://www.ssbuy.tw/gift-codes.html?game=Blue eyes：公會大師</v>
      </c>
      <c r="E151" s="58" t="s">
        <v>3280</v>
      </c>
      <c r="F151" s="51" t="s">
        <v>3281</v>
      </c>
      <c r="G151" s="52" t="s">
        <v>3282</v>
      </c>
      <c r="H151" s="52" t="s">
        <v>3283</v>
      </c>
      <c r="I151" s="49" t="s">
        <v>2549</v>
      </c>
      <c r="J151" s="50" t="s">
        <v>2550</v>
      </c>
      <c r="K151" s="59" t="s">
        <v>3284</v>
      </c>
      <c r="L151" s="52" t="s">
        <v>3285</v>
      </c>
      <c r="M151" s="60"/>
      <c r="N151" s="52"/>
      <c r="O151" s="60"/>
      <c r="P151" s="52"/>
      <c r="Q151" s="60"/>
      <c r="R151" s="52"/>
      <c r="S151" s="60"/>
      <c r="T151" s="52"/>
      <c r="U151" s="60"/>
      <c r="V151" s="52"/>
      <c r="W151" s="60"/>
      <c r="X151" s="52"/>
      <c r="Y151" s="60"/>
      <c r="Z151" s="52"/>
      <c r="AA151" s="60"/>
      <c r="AB151" s="52"/>
    </row>
    <row r="152" spans="1:32" ht="22.5" customHeight="1" x14ac:dyDescent="0.3">
      <c r="A152" s="49" t="s">
        <v>2551</v>
      </c>
      <c r="C152" s="49" t="str">
        <f t="shared" si="6"/>
        <v>giftcodesbanner/杖劍傳說：坎斯汀之約-禮包碼.jpg</v>
      </c>
      <c r="D152" s="49" t="str">
        <f t="shared" si="5"/>
        <v>https://www.ssbuy.tw/gift-codes.html?game=杖劍傳說：坎斯汀之約</v>
      </c>
      <c r="E152" s="58" t="s">
        <v>3286</v>
      </c>
      <c r="F152" s="70" t="s">
        <v>2552</v>
      </c>
      <c r="G152" s="49" t="s">
        <v>2553</v>
      </c>
      <c r="H152" s="49" t="s">
        <v>3287</v>
      </c>
      <c r="I152" s="49" t="s">
        <v>3288</v>
      </c>
      <c r="K152" s="53" t="s">
        <v>3289</v>
      </c>
      <c r="L152" s="49" t="s">
        <v>3290</v>
      </c>
      <c r="M152" s="54" t="s">
        <v>3291</v>
      </c>
      <c r="N152" s="49" t="s">
        <v>3292</v>
      </c>
      <c r="O152" s="54" t="s">
        <v>3293</v>
      </c>
      <c r="P152" s="49" t="s">
        <v>3294</v>
      </c>
      <c r="Q152" s="54" t="s">
        <v>3295</v>
      </c>
      <c r="R152" s="49" t="s">
        <v>3296</v>
      </c>
      <c r="S152" s="54" t="s">
        <v>2554</v>
      </c>
      <c r="T152" s="49" t="s">
        <v>3297</v>
      </c>
      <c r="U152" s="54" t="s">
        <v>3298</v>
      </c>
      <c r="V152" s="49" t="s">
        <v>3299</v>
      </c>
      <c r="W152" s="54" t="s">
        <v>2555</v>
      </c>
      <c r="X152" s="49" t="s">
        <v>2556</v>
      </c>
      <c r="Y152" s="54" t="s">
        <v>3300</v>
      </c>
      <c r="Z152" s="49" t="s">
        <v>2557</v>
      </c>
      <c r="AA152" s="54" t="s">
        <v>3301</v>
      </c>
      <c r="AB152" s="49" t="s">
        <v>3302</v>
      </c>
      <c r="AC152" s="54" t="s">
        <v>3303</v>
      </c>
      <c r="AD152" s="49" t="s">
        <v>3302</v>
      </c>
    </row>
    <row r="153" spans="1:32" ht="22.5" customHeight="1" x14ac:dyDescent="0.3">
      <c r="A153" s="49" t="s">
        <v>3304</v>
      </c>
      <c r="C153" s="49" t="str">
        <f t="shared" si="6"/>
        <v>giftcodesbanner/超級海戰：紀元崛起-禮包碼.jpg</v>
      </c>
      <c r="D153" s="49" t="str">
        <f t="shared" si="5"/>
        <v>https://www.ssbuy.tw/gift-codes.html?game=超級海戰：紀元崛起</v>
      </c>
      <c r="E153" s="58" t="s">
        <v>3305</v>
      </c>
      <c r="F153" s="70" t="s">
        <v>2558</v>
      </c>
      <c r="G153" s="49" t="s">
        <v>2559</v>
      </c>
      <c r="H153" s="49" t="s">
        <v>3306</v>
      </c>
      <c r="K153" s="53" t="s">
        <v>1953</v>
      </c>
      <c r="L153" s="49" t="s">
        <v>3307</v>
      </c>
      <c r="M153" s="54" t="s">
        <v>3308</v>
      </c>
      <c r="N153" s="49" t="s">
        <v>2560</v>
      </c>
      <c r="O153" s="54" t="s">
        <v>3309</v>
      </c>
      <c r="P153" s="49" t="s">
        <v>3310</v>
      </c>
      <c r="Q153" s="54" t="s">
        <v>3311</v>
      </c>
      <c r="R153" s="49" t="s">
        <v>3312</v>
      </c>
    </row>
    <row r="154" spans="1:32" ht="22.5" customHeight="1" x14ac:dyDescent="0.3">
      <c r="A154" s="49" t="s">
        <v>2561</v>
      </c>
      <c r="C154" s="49" t="str">
        <f t="shared" si="6"/>
        <v>giftcodesbanner/進擊的惡魔團-禮包碼.jpg</v>
      </c>
      <c r="D154" s="49" t="str">
        <f t="shared" si="5"/>
        <v>https://www.ssbuy.tw/gift-codes.html?game=進擊的惡魔團</v>
      </c>
      <c r="E154" s="58" t="s">
        <v>3313</v>
      </c>
      <c r="F154" s="70" t="s">
        <v>3314</v>
      </c>
      <c r="G154" s="49" t="s">
        <v>3315</v>
      </c>
      <c r="H154" s="49" t="s">
        <v>3316</v>
      </c>
      <c r="I154" s="49" t="s">
        <v>3317</v>
      </c>
      <c r="K154" s="53" t="s">
        <v>3318</v>
      </c>
      <c r="L154" s="49" t="s">
        <v>2562</v>
      </c>
      <c r="M154" s="54" t="s">
        <v>3319</v>
      </c>
      <c r="N154" s="49" t="s">
        <v>3320</v>
      </c>
      <c r="O154" s="54" t="s">
        <v>3321</v>
      </c>
      <c r="P154" s="49" t="s">
        <v>3322</v>
      </c>
      <c r="Q154" s="54" t="s">
        <v>2563</v>
      </c>
      <c r="R154" s="49" t="s">
        <v>2564</v>
      </c>
      <c r="S154" s="54" t="s">
        <v>3323</v>
      </c>
      <c r="T154" s="49" t="s">
        <v>3324</v>
      </c>
    </row>
    <row r="155" spans="1:32" ht="22.5" customHeight="1" x14ac:dyDescent="0.3">
      <c r="A155" s="69" t="s">
        <v>3325</v>
      </c>
      <c r="C155" s="49" t="str">
        <f t="shared" si="6"/>
        <v>giftcodesbanner/蝕影：緋之契-禮包碼.jpg</v>
      </c>
      <c r="D155" s="49" t="str">
        <f t="shared" si="5"/>
        <v>https://www.ssbuy.tw/gift-codes.html?game=蝕影：緋之契</v>
      </c>
      <c r="E155" s="50" t="s">
        <v>3326</v>
      </c>
      <c r="F155" s="70" t="s">
        <v>3327</v>
      </c>
      <c r="G155" s="49" t="s">
        <v>2565</v>
      </c>
      <c r="H155" s="49" t="s">
        <v>3328</v>
      </c>
      <c r="K155" s="71" t="s">
        <v>2566</v>
      </c>
      <c r="L155" s="72" t="s">
        <v>2567</v>
      </c>
      <c r="M155" s="73" t="s">
        <v>1803</v>
      </c>
      <c r="N155" s="72" t="s">
        <v>2568</v>
      </c>
      <c r="O155" s="73" t="s">
        <v>1802</v>
      </c>
      <c r="P155" s="72" t="s">
        <v>2569</v>
      </c>
      <c r="Q155" s="73" t="s">
        <v>1735</v>
      </c>
      <c r="R155" s="72" t="s">
        <v>2570</v>
      </c>
    </row>
    <row r="156" spans="1:32" ht="22.5" customHeight="1" x14ac:dyDescent="0.3">
      <c r="A156" s="69" t="s">
        <v>305</v>
      </c>
      <c r="C156" s="49" t="str">
        <f t="shared" si="6"/>
        <v>giftcodesbanner/RO：Crush-禮包碼.jpg</v>
      </c>
      <c r="D156" s="49" t="str">
        <f t="shared" si="5"/>
        <v>https://www.ssbuy.tw/gift-codes.html?game=RO：Crush</v>
      </c>
      <c r="E156" s="50" t="s">
        <v>3329</v>
      </c>
      <c r="F156" s="70" t="s">
        <v>3330</v>
      </c>
      <c r="G156" s="49" t="s">
        <v>3331</v>
      </c>
      <c r="H156" s="49" t="s">
        <v>3332</v>
      </c>
      <c r="K156" s="53" t="s">
        <v>3333</v>
      </c>
      <c r="L156" s="49" t="s">
        <v>3334</v>
      </c>
    </row>
    <row r="157" spans="1:32" ht="22.5" customHeight="1" x14ac:dyDescent="0.3">
      <c r="A157" s="69" t="s">
        <v>323</v>
      </c>
      <c r="C157" s="49" t="str">
        <f t="shared" si="6"/>
        <v>giftcodesbanner/溯回青空-禮包碼.jpg</v>
      </c>
      <c r="D157" s="49" t="str">
        <f t="shared" si="5"/>
        <v>https://www.ssbuy.tw/gift-codes.html?game=溯回青空</v>
      </c>
      <c r="E157" s="74" t="s">
        <v>2571</v>
      </c>
      <c r="F157" s="70" t="s">
        <v>2572</v>
      </c>
      <c r="G157" s="75" t="s">
        <v>2573</v>
      </c>
      <c r="K157" s="53" t="s">
        <v>3335</v>
      </c>
      <c r="L157" s="49" t="s">
        <v>3336</v>
      </c>
      <c r="M157" s="54" t="s">
        <v>3337</v>
      </c>
      <c r="N157" s="49" t="s">
        <v>3338</v>
      </c>
      <c r="O157" s="54" t="s">
        <v>3339</v>
      </c>
      <c r="P157" s="49" t="s">
        <v>3340</v>
      </c>
    </row>
    <row r="158" spans="1:32" ht="22.5" customHeight="1" x14ac:dyDescent="0.3">
      <c r="A158" s="69" t="s">
        <v>324</v>
      </c>
      <c r="C158" s="49" t="str">
        <f t="shared" si="6"/>
        <v>giftcodesbanner/蒼之啟示錄-禮包碼.jpg</v>
      </c>
      <c r="D158" s="49" t="str">
        <f t="shared" si="5"/>
        <v>https://www.ssbuy.tw/gift-codes.html?game=蒼之啟示錄</v>
      </c>
      <c r="E158" s="74" t="s">
        <v>3341</v>
      </c>
      <c r="F158" s="70" t="s">
        <v>2483</v>
      </c>
      <c r="G158" s="49" t="s">
        <v>2483</v>
      </c>
      <c r="H158" s="49" t="s">
        <v>2483</v>
      </c>
      <c r="K158" s="53" t="s">
        <v>2483</v>
      </c>
      <c r="L158" s="49" t="s">
        <v>2483</v>
      </c>
      <c r="M158" s="54" t="s">
        <v>3264</v>
      </c>
      <c r="N158" s="49" t="s">
        <v>2495</v>
      </c>
    </row>
    <row r="159" spans="1:32" ht="22.5" customHeight="1" x14ac:dyDescent="0.3">
      <c r="A159" s="69" t="s">
        <v>325</v>
      </c>
      <c r="C159" s="49" t="str">
        <f t="shared" si="6"/>
        <v>giftcodesbanner/第六絕區-禮包碼.jpg</v>
      </c>
      <c r="D159" s="49" t="str">
        <f t="shared" si="5"/>
        <v>https://www.ssbuy.tw/gift-codes.html?game=第六絕區</v>
      </c>
      <c r="E159" s="74" t="s">
        <v>3342</v>
      </c>
      <c r="F159" s="70" t="s">
        <v>3343</v>
      </c>
      <c r="G159" s="49" t="s">
        <v>3344</v>
      </c>
      <c r="H159" s="49" t="s">
        <v>2574</v>
      </c>
      <c r="I159" s="49" t="s">
        <v>3345</v>
      </c>
      <c r="K159" s="53" t="s">
        <v>3346</v>
      </c>
      <c r="L159" s="49" t="s">
        <v>3347</v>
      </c>
      <c r="M159" s="54" t="s">
        <v>3348</v>
      </c>
      <c r="N159" s="49" t="s">
        <v>3349</v>
      </c>
    </row>
    <row r="160" spans="1:32" ht="22.5" customHeight="1" x14ac:dyDescent="0.3">
      <c r="A160" s="69" t="s">
        <v>3350</v>
      </c>
      <c r="C160" s="49" t="str">
        <f t="shared" si="6"/>
        <v>giftcodesbanner/MO.CO-禮包碼.jpg</v>
      </c>
      <c r="D160" s="49" t="str">
        <f t="shared" si="5"/>
        <v>https://www.ssbuy.tw/gift-codes.html?game=MO.CO</v>
      </c>
      <c r="E160" s="74" t="s">
        <v>3351</v>
      </c>
      <c r="F160" s="70" t="s">
        <v>2483</v>
      </c>
      <c r="G160" s="49" t="s">
        <v>2483</v>
      </c>
      <c r="H160" s="49" t="s">
        <v>2483</v>
      </c>
      <c r="K160" s="53" t="s">
        <v>2483</v>
      </c>
      <c r="L160" s="49" t="s">
        <v>2483</v>
      </c>
      <c r="M160" s="54" t="s">
        <v>2483</v>
      </c>
      <c r="N160" s="49" t="s">
        <v>2483</v>
      </c>
    </row>
    <row r="161" spans="1:38" ht="22.5" customHeight="1" x14ac:dyDescent="0.3">
      <c r="A161" s="69" t="s">
        <v>326</v>
      </c>
      <c r="C161" s="49" t="str">
        <f t="shared" si="6"/>
        <v>giftcodesbanner/幻世三國：一騎當千-禮包碼.jpg</v>
      </c>
      <c r="D161" s="49" t="str">
        <f t="shared" si="5"/>
        <v>https://www.ssbuy.tw/gift-codes.html?game=幻世三國：一騎當千</v>
      </c>
      <c r="E161" s="74" t="s">
        <v>2575</v>
      </c>
      <c r="F161" s="70" t="s">
        <v>2483</v>
      </c>
      <c r="G161" s="49" t="s">
        <v>2483</v>
      </c>
      <c r="H161" s="49" t="s">
        <v>2483</v>
      </c>
      <c r="K161" s="53" t="s">
        <v>2495</v>
      </c>
      <c r="L161" s="49" t="s">
        <v>2483</v>
      </c>
      <c r="M161" s="54" t="s">
        <v>2483</v>
      </c>
      <c r="N161" s="49" t="s">
        <v>2483</v>
      </c>
    </row>
    <row r="162" spans="1:38" ht="22.5" customHeight="1" x14ac:dyDescent="0.3">
      <c r="A162" s="69" t="s">
        <v>1449</v>
      </c>
      <c r="C162" s="49" t="str">
        <f t="shared" si="6"/>
        <v>giftcodesbanner/小兵立大功-禮包碼.jpg</v>
      </c>
      <c r="D162" s="49" t="str">
        <f t="shared" si="5"/>
        <v>https://www.ssbuy.tw/gift-codes.html?game=小兵立大功</v>
      </c>
      <c r="E162" s="74" t="s">
        <v>3352</v>
      </c>
      <c r="F162" s="70" t="s">
        <v>2495</v>
      </c>
      <c r="G162" s="49" t="s">
        <v>2483</v>
      </c>
      <c r="H162" s="49" t="s">
        <v>2483</v>
      </c>
      <c r="I162" s="49" t="s">
        <v>2483</v>
      </c>
      <c r="K162" s="53" t="s">
        <v>2495</v>
      </c>
      <c r="L162" s="49" t="s">
        <v>2483</v>
      </c>
      <c r="M162" s="54" t="s">
        <v>2495</v>
      </c>
      <c r="N162" s="49" t="s">
        <v>3264</v>
      </c>
    </row>
    <row r="163" spans="1:38" ht="22.5" customHeight="1" x14ac:dyDescent="0.3">
      <c r="A163" s="69" t="s">
        <v>1450</v>
      </c>
      <c r="C163" s="49" t="str">
        <f t="shared" si="6"/>
        <v>giftcodesbanner/像素全明星-禮包碼.jpg</v>
      </c>
      <c r="D163" s="49" t="str">
        <f t="shared" si="5"/>
        <v>https://www.ssbuy.tw/gift-codes.html?game=像素全明星</v>
      </c>
      <c r="E163" s="74" t="s">
        <v>2576</v>
      </c>
      <c r="F163" s="70" t="s">
        <v>2483</v>
      </c>
      <c r="G163" s="49" t="s">
        <v>2495</v>
      </c>
      <c r="H163" s="49" t="s">
        <v>2483</v>
      </c>
      <c r="I163" s="49" t="s">
        <v>2495</v>
      </c>
      <c r="K163" s="53" t="s">
        <v>2483</v>
      </c>
      <c r="L163" s="49" t="s">
        <v>3264</v>
      </c>
      <c r="M163" s="54" t="s">
        <v>2483</v>
      </c>
      <c r="N163" s="49" t="s">
        <v>2483</v>
      </c>
    </row>
    <row r="164" spans="1:38" ht="22.5" customHeight="1" x14ac:dyDescent="0.3">
      <c r="A164" s="69" t="s">
        <v>1467</v>
      </c>
      <c r="C164" s="49" t="str">
        <f t="shared" si="6"/>
        <v>giftcodesbanner/浣熊傳說-禮包碼.jpg</v>
      </c>
      <c r="D164" s="49" t="str">
        <f t="shared" si="5"/>
        <v>https://www.ssbuy.tw/gift-codes.html?game=浣熊傳說</v>
      </c>
      <c r="E164" s="58" t="s">
        <v>2577</v>
      </c>
      <c r="F164" s="70" t="s">
        <v>3353</v>
      </c>
      <c r="G164" s="49" t="s">
        <v>3354</v>
      </c>
      <c r="H164" s="49" t="s">
        <v>3355</v>
      </c>
      <c r="K164" s="53" t="s">
        <v>2578</v>
      </c>
      <c r="L164" s="49" t="s">
        <v>3356</v>
      </c>
      <c r="M164" s="54" t="s">
        <v>3357</v>
      </c>
      <c r="N164" s="49" t="s">
        <v>2579</v>
      </c>
      <c r="O164" s="54" t="s">
        <v>3358</v>
      </c>
      <c r="P164" s="49" t="s">
        <v>3359</v>
      </c>
      <c r="Q164" s="54" t="s">
        <v>2161</v>
      </c>
      <c r="R164" s="49" t="s">
        <v>3360</v>
      </c>
    </row>
    <row r="165" spans="1:38" ht="22.5" customHeight="1" x14ac:dyDescent="0.3">
      <c r="A165" s="69" t="s">
        <v>1468</v>
      </c>
      <c r="C165" s="49" t="str">
        <f t="shared" si="6"/>
        <v>giftcodesbanner/勇者格鬥城-禮包碼.jpg</v>
      </c>
      <c r="D165" s="49" t="str">
        <f t="shared" si="5"/>
        <v>https://www.ssbuy.tw/gift-codes.html?game=勇者格鬥城</v>
      </c>
      <c r="E165" s="58" t="s">
        <v>3361</v>
      </c>
      <c r="F165" s="70" t="s">
        <v>2483</v>
      </c>
      <c r="G165" s="49" t="s">
        <v>3264</v>
      </c>
      <c r="H165" s="49" t="s">
        <v>2483</v>
      </c>
      <c r="I165" s="49" t="s">
        <v>2483</v>
      </c>
      <c r="K165" s="53" t="s">
        <v>2495</v>
      </c>
      <c r="L165" s="49" t="s">
        <v>2483</v>
      </c>
      <c r="M165" s="54" t="s">
        <v>2483</v>
      </c>
      <c r="N165" s="49" t="s">
        <v>2496</v>
      </c>
    </row>
    <row r="166" spans="1:38" ht="22.5" customHeight="1" x14ac:dyDescent="0.3">
      <c r="A166" s="69" t="s">
        <v>3362</v>
      </c>
      <c r="C166" s="49" t="str">
        <f t="shared" si="6"/>
        <v>giftcodesbanner/龐寶：背包英雄們-禮包碼.jpg</v>
      </c>
      <c r="D166" s="49" t="str">
        <f t="shared" si="5"/>
        <v>https://www.ssbuy.tw/gift-codes.html?game=龐寶：背包英雄們</v>
      </c>
      <c r="E166" s="58" t="s">
        <v>2580</v>
      </c>
      <c r="F166" s="70" t="s">
        <v>2483</v>
      </c>
      <c r="G166" s="49" t="s">
        <v>2495</v>
      </c>
      <c r="H166" s="49" t="s">
        <v>2483</v>
      </c>
      <c r="I166" s="49" t="s">
        <v>2483</v>
      </c>
      <c r="K166" s="53" t="s">
        <v>2495</v>
      </c>
      <c r="L166" s="49" t="s">
        <v>2483</v>
      </c>
      <c r="M166" s="54" t="s">
        <v>2483</v>
      </c>
      <c r="N166" s="49" t="s">
        <v>2495</v>
      </c>
    </row>
    <row r="167" spans="1:38" ht="22.5" customHeight="1" x14ac:dyDescent="0.3">
      <c r="A167" s="69" t="s">
        <v>1476</v>
      </c>
      <c r="C167" s="49" t="str">
        <f t="shared" si="6"/>
        <v>giftcodesbanner/星耀球會-禮包碼.jpg</v>
      </c>
      <c r="D167" s="49" t="str">
        <f t="shared" si="5"/>
        <v>https://www.ssbuy.tw/gift-codes.html?game=星耀球會</v>
      </c>
      <c r="E167" s="58" t="s">
        <v>2581</v>
      </c>
      <c r="F167" s="70" t="s">
        <v>2582</v>
      </c>
      <c r="G167" s="49" t="s">
        <v>3363</v>
      </c>
      <c r="H167" s="49" t="s">
        <v>2583</v>
      </c>
      <c r="K167" s="53" t="s">
        <v>3364</v>
      </c>
      <c r="L167" s="49" t="s">
        <v>3365</v>
      </c>
      <c r="M167" s="54" t="s">
        <v>3366</v>
      </c>
      <c r="N167" s="49" t="s">
        <v>2584</v>
      </c>
      <c r="O167" s="54" t="s">
        <v>3367</v>
      </c>
      <c r="P167" s="49" t="s">
        <v>3368</v>
      </c>
      <c r="Q167" s="54" t="s">
        <v>3369</v>
      </c>
      <c r="R167" s="49" t="s">
        <v>3370</v>
      </c>
    </row>
    <row r="168" spans="1:38" ht="22.5" customHeight="1" x14ac:dyDescent="0.3">
      <c r="A168" s="49" t="s">
        <v>1488</v>
      </c>
      <c r="C168" s="49" t="str">
        <f t="shared" si="6"/>
        <v>giftcodesbanner/東方幻想ECLIPSE-禮包碼.jpg</v>
      </c>
      <c r="D168" s="49" t="str">
        <f t="shared" si="5"/>
        <v>https://www.ssbuy.tw/gift-codes.html?game=東方幻想ECLIPSE</v>
      </c>
      <c r="E168" s="50" t="s">
        <v>3371</v>
      </c>
      <c r="F168" s="70" t="s">
        <v>3372</v>
      </c>
      <c r="G168" s="49" t="s">
        <v>2585</v>
      </c>
      <c r="H168" s="49" t="s">
        <v>3373</v>
      </c>
      <c r="K168" s="53" t="s">
        <v>3374</v>
      </c>
      <c r="L168" s="49" t="s">
        <v>2586</v>
      </c>
      <c r="M168" s="54" t="s">
        <v>2587</v>
      </c>
      <c r="N168" s="49" t="s">
        <v>3375</v>
      </c>
    </row>
    <row r="169" spans="1:38" ht="22.5" customHeight="1" x14ac:dyDescent="0.3">
      <c r="A169" s="69" t="s">
        <v>1498</v>
      </c>
      <c r="C169" s="49" t="str">
        <f t="shared" si="6"/>
        <v>giftcodesbanner/世紀帝國M-禮包碼.jpg</v>
      </c>
      <c r="D169" s="49" t="str">
        <f t="shared" si="5"/>
        <v>https://www.ssbuy.tw/gift-codes.html?game=世紀帝國M</v>
      </c>
      <c r="E169" s="50" t="s">
        <v>2588</v>
      </c>
      <c r="F169" s="70" t="s">
        <v>3376</v>
      </c>
      <c r="G169" s="49" t="s">
        <v>3377</v>
      </c>
      <c r="H169" s="49" t="s">
        <v>2589</v>
      </c>
      <c r="K169" s="53" t="s">
        <v>3378</v>
      </c>
      <c r="L169" s="49" t="s">
        <v>2590</v>
      </c>
      <c r="M169" s="54" t="s">
        <v>2591</v>
      </c>
      <c r="N169" s="49" t="s">
        <v>2592</v>
      </c>
      <c r="O169" s="54" t="s">
        <v>3379</v>
      </c>
      <c r="P169" s="49" t="s">
        <v>3380</v>
      </c>
      <c r="Q169" s="54" t="s">
        <v>3381</v>
      </c>
      <c r="R169" s="49" t="s">
        <v>3382</v>
      </c>
      <c r="S169" s="54" t="s">
        <v>3383</v>
      </c>
      <c r="T169" s="49" t="s">
        <v>2592</v>
      </c>
      <c r="U169" s="54" t="s">
        <v>2593</v>
      </c>
      <c r="V169" s="49" t="s">
        <v>2592</v>
      </c>
      <c r="W169" s="54" t="s">
        <v>2594</v>
      </c>
      <c r="X169" s="49" t="s">
        <v>2595</v>
      </c>
      <c r="Y169" s="54" t="s">
        <v>3384</v>
      </c>
      <c r="Z169" s="49" t="s">
        <v>3385</v>
      </c>
      <c r="AA169" s="54" t="s">
        <v>3386</v>
      </c>
      <c r="AB169" s="49" t="s">
        <v>2596</v>
      </c>
      <c r="AC169" s="54" t="s">
        <v>2597</v>
      </c>
      <c r="AD169" s="49" t="s">
        <v>3387</v>
      </c>
      <c r="AE169" s="54" t="s">
        <v>3388</v>
      </c>
      <c r="AF169" s="49" t="s">
        <v>3385</v>
      </c>
      <c r="AG169" s="54" t="s">
        <v>3389</v>
      </c>
      <c r="AH169" s="49" t="s">
        <v>2596</v>
      </c>
      <c r="AI169" s="54" t="s">
        <v>3390</v>
      </c>
      <c r="AJ169" s="49" t="s">
        <v>2596</v>
      </c>
      <c r="AK169" s="54" t="s">
        <v>3391</v>
      </c>
      <c r="AL169" s="49" t="s">
        <v>3392</v>
      </c>
    </row>
    <row r="170" spans="1:38" ht="22.5" customHeight="1" x14ac:dyDescent="0.3">
      <c r="A170" s="69" t="s">
        <v>1499</v>
      </c>
      <c r="C170" s="49" t="str">
        <f t="shared" si="6"/>
        <v>giftcodesbanner/歐啦!守得豬-禮包碼.jpg</v>
      </c>
      <c r="D170" s="49" t="str">
        <f t="shared" si="5"/>
        <v>https://www.ssbuy.tw/gift-codes.html?game=歐啦!守得豬</v>
      </c>
      <c r="E170" s="50" t="s">
        <v>3393</v>
      </c>
      <c r="F170" s="70" t="s">
        <v>3394</v>
      </c>
      <c r="G170" s="49" t="s">
        <v>2598</v>
      </c>
      <c r="H170" s="49" t="s">
        <v>2599</v>
      </c>
      <c r="K170" s="53" t="s">
        <v>3395</v>
      </c>
      <c r="L170" s="49" t="s">
        <v>3396</v>
      </c>
      <c r="M170" s="54" t="s">
        <v>2600</v>
      </c>
      <c r="N170" s="49" t="s">
        <v>3397</v>
      </c>
      <c r="O170" s="54" t="s">
        <v>2601</v>
      </c>
      <c r="P170" s="49" t="s">
        <v>2602</v>
      </c>
      <c r="Q170" s="54" t="s">
        <v>2424</v>
      </c>
      <c r="R170" s="49" t="s">
        <v>3398</v>
      </c>
      <c r="S170" s="54" t="s">
        <v>2220</v>
      </c>
      <c r="T170" s="49" t="s">
        <v>2603</v>
      </c>
      <c r="U170" s="54" t="s">
        <v>2423</v>
      </c>
      <c r="V170" s="49" t="s">
        <v>2604</v>
      </c>
    </row>
    <row r="171" spans="1:38" ht="22.5" customHeight="1" x14ac:dyDescent="0.3">
      <c r="A171" s="69" t="s">
        <v>3399</v>
      </c>
      <c r="C171" s="49" t="str">
        <f t="shared" si="6"/>
        <v>giftcodesbanner/18櫻花幕府-禮包碼.jpg</v>
      </c>
      <c r="D171" s="49" t="str">
        <f t="shared" si="5"/>
        <v>https://www.ssbuy.tw/gift-codes.html?game=18櫻花幕府</v>
      </c>
      <c r="E171" s="58" t="s">
        <v>2605</v>
      </c>
      <c r="F171" s="70" t="s">
        <v>2606</v>
      </c>
      <c r="G171" s="49" t="s">
        <v>3400</v>
      </c>
      <c r="H171" s="49" t="s">
        <v>2624</v>
      </c>
      <c r="K171" s="53" t="s">
        <v>3401</v>
      </c>
      <c r="L171" s="49" t="s">
        <v>3402</v>
      </c>
      <c r="M171" s="54" t="s">
        <v>3403</v>
      </c>
      <c r="N171" s="49" t="s">
        <v>3404</v>
      </c>
    </row>
    <row r="172" spans="1:38" ht="22.5" customHeight="1" x14ac:dyDescent="0.3">
      <c r="A172" s="69" t="s">
        <v>2607</v>
      </c>
      <c r="C172" s="49" t="str">
        <f t="shared" si="6"/>
        <v>giftcodesbanner/大武道-禮包碼.jpg</v>
      </c>
      <c r="D172" s="49" t="str">
        <f t="shared" si="5"/>
        <v>https://www.ssbuy.tw/gift-codes.html?game=大武道</v>
      </c>
      <c r="E172" s="58" t="s">
        <v>1531</v>
      </c>
      <c r="F172" s="70" t="s">
        <v>2606</v>
      </c>
      <c r="G172" s="49" t="s">
        <v>3405</v>
      </c>
      <c r="H172" s="49" t="s">
        <v>3406</v>
      </c>
      <c r="K172" s="71" t="s">
        <v>2608</v>
      </c>
      <c r="L172" s="72" t="s">
        <v>2609</v>
      </c>
      <c r="M172" s="73" t="s">
        <v>2610</v>
      </c>
      <c r="N172" s="72" t="s">
        <v>2611</v>
      </c>
      <c r="O172" s="73" t="s">
        <v>2612</v>
      </c>
      <c r="P172" s="72" t="s">
        <v>2609</v>
      </c>
      <c r="Q172" s="73" t="s">
        <v>2613</v>
      </c>
      <c r="R172" s="72" t="s">
        <v>2611</v>
      </c>
      <c r="S172" s="73" t="s">
        <v>2614</v>
      </c>
      <c r="T172" s="72" t="s">
        <v>2609</v>
      </c>
      <c r="U172" s="73" t="s">
        <v>2615</v>
      </c>
      <c r="V172" s="72" t="s">
        <v>2611</v>
      </c>
      <c r="W172" s="73" t="s">
        <v>2616</v>
      </c>
      <c r="X172" s="72" t="s">
        <v>2609</v>
      </c>
      <c r="Y172" s="54" t="s">
        <v>2617</v>
      </c>
      <c r="Z172" s="49" t="s">
        <v>2618</v>
      </c>
      <c r="AA172" s="54" t="s">
        <v>3407</v>
      </c>
      <c r="AB172" s="49" t="s">
        <v>3408</v>
      </c>
      <c r="AC172" s="54" t="s">
        <v>3409</v>
      </c>
      <c r="AD172" s="49" t="s">
        <v>2619</v>
      </c>
      <c r="AE172" s="54" t="s">
        <v>2620</v>
      </c>
      <c r="AF172" s="49" t="s">
        <v>2621</v>
      </c>
    </row>
    <row r="173" spans="1:38" ht="22.5" customHeight="1" x14ac:dyDescent="0.3">
      <c r="A173" s="76" t="s">
        <v>3410</v>
      </c>
      <c r="C173" s="49" t="str">
        <f t="shared" si="6"/>
        <v>giftcodesbanner/奇蹟MU：暴走之翼-禮包碼.jpg</v>
      </c>
      <c r="D173" s="49" t="str">
        <f t="shared" si="5"/>
        <v>https://www.ssbuy.tw/gift-codes.html?game=奇蹟MU：暴走之翼</v>
      </c>
      <c r="E173" s="77" t="s">
        <v>2622</v>
      </c>
      <c r="F173" s="70" t="s">
        <v>2623</v>
      </c>
      <c r="G173" s="49" t="s">
        <v>3411</v>
      </c>
      <c r="H173" s="49" t="s">
        <v>2624</v>
      </c>
      <c r="I173" s="49" t="s">
        <v>2625</v>
      </c>
      <c r="K173" s="53" t="s">
        <v>3245</v>
      </c>
      <c r="L173" s="49" t="s">
        <v>3412</v>
      </c>
      <c r="M173" s="54" t="s">
        <v>3413</v>
      </c>
      <c r="N173" s="49" t="s">
        <v>3414</v>
      </c>
      <c r="O173" s="54" t="s">
        <v>1953</v>
      </c>
      <c r="P173" s="49" t="s">
        <v>3415</v>
      </c>
      <c r="Q173" s="54" t="s">
        <v>3416</v>
      </c>
      <c r="R173" s="49" t="s">
        <v>2627</v>
      </c>
      <c r="S173" s="54" t="s">
        <v>3417</v>
      </c>
      <c r="T173" s="49" t="s">
        <v>3418</v>
      </c>
      <c r="U173" s="54" t="s">
        <v>3419</v>
      </c>
      <c r="V173" s="49" t="s">
        <v>3420</v>
      </c>
      <c r="W173" s="54" t="s">
        <v>2626</v>
      </c>
      <c r="X173" s="49" t="s">
        <v>2627</v>
      </c>
      <c r="Y173" s="54" t="s">
        <v>2628</v>
      </c>
      <c r="Z173" s="49" t="s">
        <v>3421</v>
      </c>
      <c r="AA173" s="54" t="s">
        <v>3422</v>
      </c>
      <c r="AB173" s="49" t="s">
        <v>3423</v>
      </c>
    </row>
    <row r="174" spans="1:38" ht="22.5" customHeight="1" x14ac:dyDescent="0.3">
      <c r="A174" s="78" t="s">
        <v>2629</v>
      </c>
      <c r="C174" s="49" t="str">
        <f t="shared" si="6"/>
        <v>giftcodesbanner/劍太傳說：新的開始-禮包碼.jpg</v>
      </c>
      <c r="D174" s="49" t="str">
        <f t="shared" si="5"/>
        <v>https://www.ssbuy.tw/gift-codes.html?game=劍太傳說：新的開始</v>
      </c>
      <c r="E174" s="50" t="s">
        <v>2630</v>
      </c>
      <c r="F174" s="70" t="s">
        <v>3424</v>
      </c>
      <c r="G174" s="49" t="s">
        <v>3425</v>
      </c>
      <c r="H174" s="49" t="s">
        <v>3426</v>
      </c>
      <c r="I174" s="49" t="s">
        <v>3427</v>
      </c>
      <c r="K174" s="53" t="s">
        <v>3428</v>
      </c>
      <c r="L174" s="49" t="s">
        <v>2631</v>
      </c>
      <c r="M174" s="54" t="s">
        <v>3429</v>
      </c>
      <c r="N174" s="49" t="s">
        <v>2631</v>
      </c>
      <c r="O174" s="54" t="s">
        <v>2632</v>
      </c>
      <c r="P174" s="49" t="s">
        <v>2631</v>
      </c>
      <c r="Q174" s="54" t="s">
        <v>3430</v>
      </c>
      <c r="R174" s="49" t="s">
        <v>3431</v>
      </c>
    </row>
    <row r="175" spans="1:38" ht="22.5" customHeight="1" x14ac:dyDescent="0.3">
      <c r="A175" s="78" t="s">
        <v>3432</v>
      </c>
      <c r="C175" s="49" t="str">
        <f t="shared" si="6"/>
        <v>giftcodesbanner/三國。群英燎原-禮包碼.jpg</v>
      </c>
      <c r="D175" s="49" t="str">
        <f t="shared" si="5"/>
        <v>https://www.ssbuy.tw/gift-codes.html?game=三國。群英燎原</v>
      </c>
      <c r="E175" s="50" t="s">
        <v>3433</v>
      </c>
      <c r="F175" s="70" t="s">
        <v>3434</v>
      </c>
      <c r="G175" s="49" t="s">
        <v>3435</v>
      </c>
      <c r="H175" s="49" t="s">
        <v>3436</v>
      </c>
      <c r="I175" s="49" t="s">
        <v>2633</v>
      </c>
      <c r="K175" s="53" t="s">
        <v>2634</v>
      </c>
      <c r="L175" s="49" t="s">
        <v>3437</v>
      </c>
      <c r="M175" s="54" t="s">
        <v>3438</v>
      </c>
      <c r="N175" s="49" t="s">
        <v>3439</v>
      </c>
      <c r="O175" s="54" t="s">
        <v>3440</v>
      </c>
      <c r="P175" s="49" t="s">
        <v>3441</v>
      </c>
      <c r="Q175" s="54" t="s">
        <v>2635</v>
      </c>
      <c r="R175" s="49" t="s">
        <v>3442</v>
      </c>
    </row>
    <row r="176" spans="1:38" ht="22.5" customHeight="1" x14ac:dyDescent="0.3">
      <c r="A176" s="79" t="s">
        <v>1540</v>
      </c>
      <c r="C176" s="49" t="str">
        <f t="shared" si="6"/>
        <v>giftcodesbanner/Final War：寒霜前線-禮包碼.jpg</v>
      </c>
      <c r="D176" s="49" t="str">
        <f t="shared" si="5"/>
        <v>https://www.ssbuy.tw/gift-codes.html?game=Final War：寒霜前線</v>
      </c>
      <c r="E176" s="50" t="s">
        <v>2636</v>
      </c>
      <c r="F176" s="49" t="s">
        <v>2483</v>
      </c>
      <c r="G176" s="49" t="s">
        <v>2483</v>
      </c>
      <c r="K176" s="53" t="s">
        <v>2483</v>
      </c>
      <c r="L176" s="49" t="s">
        <v>3264</v>
      </c>
      <c r="M176" s="54" t="s">
        <v>2483</v>
      </c>
      <c r="N176" s="49" t="s">
        <v>2483</v>
      </c>
      <c r="O176" s="54" t="s">
        <v>2483</v>
      </c>
      <c r="P176" s="49" t="s">
        <v>2483</v>
      </c>
    </row>
    <row r="177" spans="1:50" ht="22.5" customHeight="1" x14ac:dyDescent="0.3">
      <c r="A177" s="78" t="s">
        <v>2637</v>
      </c>
      <c r="C177" s="49" t="str">
        <f t="shared" si="6"/>
        <v>giftcodesbanner/黑夜獵人-禮包碼.jpg</v>
      </c>
      <c r="D177" s="49" t="str">
        <f t="shared" si="5"/>
        <v>https://www.ssbuy.tw/gift-codes.html?game=黑夜獵人</v>
      </c>
      <c r="E177" s="50" t="s">
        <v>3443</v>
      </c>
      <c r="F177" s="70" t="s">
        <v>2638</v>
      </c>
      <c r="G177" s="49" t="s">
        <v>3444</v>
      </c>
      <c r="H177" s="49" t="s">
        <v>3445</v>
      </c>
      <c r="I177" s="49" t="s">
        <v>2639</v>
      </c>
      <c r="K177" s="53" t="s">
        <v>3264</v>
      </c>
      <c r="L177" s="49" t="s">
        <v>2483</v>
      </c>
      <c r="M177" s="54" t="s">
        <v>2495</v>
      </c>
      <c r="N177" s="49" t="s">
        <v>3264</v>
      </c>
      <c r="O177" s="54" t="s">
        <v>2483</v>
      </c>
      <c r="P177" s="49" t="s">
        <v>2495</v>
      </c>
    </row>
    <row r="178" spans="1:50" ht="22.5" customHeight="1" x14ac:dyDescent="0.3">
      <c r="A178" s="80" t="s">
        <v>3446</v>
      </c>
      <c r="C178" s="49" t="str">
        <f t="shared" si="6"/>
        <v>giftcodesbanner/魔法黯道-禮包碼.jpg</v>
      </c>
      <c r="D178" s="49" t="str">
        <f t="shared" si="5"/>
        <v>https://www.ssbuy.tw/gift-codes.html?game=魔法黯道</v>
      </c>
      <c r="E178" s="81" t="s">
        <v>2640</v>
      </c>
      <c r="F178" s="70" t="s">
        <v>2641</v>
      </c>
      <c r="G178" s="49" t="s">
        <v>3447</v>
      </c>
      <c r="H178" s="49" t="s">
        <v>3448</v>
      </c>
      <c r="K178" s="53" t="s">
        <v>2642</v>
      </c>
      <c r="L178" s="49" t="s">
        <v>3449</v>
      </c>
      <c r="M178" s="54" t="s">
        <v>3450</v>
      </c>
      <c r="N178" s="49" t="s">
        <v>2643</v>
      </c>
      <c r="O178" s="54" t="s">
        <v>3451</v>
      </c>
      <c r="P178" s="49" t="s">
        <v>3452</v>
      </c>
      <c r="Q178" s="54" t="s">
        <v>3453</v>
      </c>
      <c r="R178" s="49" t="s">
        <v>3454</v>
      </c>
      <c r="S178" s="54" t="s">
        <v>3455</v>
      </c>
      <c r="T178" s="49" t="s">
        <v>1940</v>
      </c>
    </row>
    <row r="179" spans="1:50" ht="22.5" customHeight="1" x14ac:dyDescent="0.3">
      <c r="A179" s="49" t="s">
        <v>3456</v>
      </c>
      <c r="C179" s="49" t="str">
        <f t="shared" si="6"/>
        <v>giftcodesbanner/神代紀事-禮包碼.jpg</v>
      </c>
      <c r="D179" s="49" t="str">
        <f t="shared" si="5"/>
        <v>https://www.ssbuy.tw/gift-codes.html?game=神代紀事</v>
      </c>
      <c r="E179" s="50" t="s">
        <v>3457</v>
      </c>
      <c r="F179" s="70" t="s">
        <v>2483</v>
      </c>
      <c r="G179" s="49" t="s">
        <v>2495</v>
      </c>
      <c r="H179" s="49" t="s">
        <v>2495</v>
      </c>
      <c r="I179" s="49" t="s">
        <v>2483</v>
      </c>
      <c r="K179" s="53" t="s">
        <v>2483</v>
      </c>
      <c r="L179" s="49" t="s">
        <v>2495</v>
      </c>
      <c r="M179" s="54" t="s">
        <v>2495</v>
      </c>
      <c r="N179" s="49" t="s">
        <v>2483</v>
      </c>
    </row>
    <row r="180" spans="1:50" ht="22.5" customHeight="1" x14ac:dyDescent="0.3">
      <c r="A180" s="80" t="s">
        <v>3458</v>
      </c>
      <c r="C180" s="49" t="str">
        <f t="shared" si="6"/>
        <v>giftcodesbanner/天命國度-禮包碼.jpg</v>
      </c>
      <c r="D180" s="49" t="str">
        <f t="shared" si="5"/>
        <v>https://www.ssbuy.tw/gift-codes.html?game=天命國度</v>
      </c>
      <c r="E180" s="50" t="s">
        <v>3459</v>
      </c>
      <c r="F180" s="70" t="s">
        <v>3460</v>
      </c>
      <c r="G180" s="49" t="s">
        <v>3461</v>
      </c>
      <c r="H180" s="49" t="s">
        <v>3462</v>
      </c>
      <c r="I180" s="49" t="s">
        <v>2644</v>
      </c>
      <c r="K180" s="53" t="s">
        <v>3463</v>
      </c>
      <c r="L180" s="49" t="s">
        <v>3464</v>
      </c>
    </row>
    <row r="181" spans="1:50" ht="22.5" customHeight="1" x14ac:dyDescent="0.3">
      <c r="A181" s="76" t="s">
        <v>1603</v>
      </c>
      <c r="C181" s="49" t="str">
        <f t="shared" si="6"/>
        <v>giftcodesbanner/戰國武士道-禮包碼.jpg</v>
      </c>
      <c r="D181" s="49" t="str">
        <f t="shared" si="5"/>
        <v>https://www.ssbuy.tw/gift-codes.html?game=戰國武士道</v>
      </c>
      <c r="E181" s="82" t="s">
        <v>3465</v>
      </c>
      <c r="F181" s="70" t="s">
        <v>2483</v>
      </c>
      <c r="G181" s="49" t="s">
        <v>2483</v>
      </c>
      <c r="K181" s="53" t="s">
        <v>2645</v>
      </c>
      <c r="L181" s="49" t="s">
        <v>3466</v>
      </c>
    </row>
    <row r="182" spans="1:50" ht="22.5" customHeight="1" x14ac:dyDescent="0.3">
      <c r="A182" s="76" t="s">
        <v>1608</v>
      </c>
      <c r="C182" s="49" t="str">
        <f t="shared" si="6"/>
        <v>giftcodesbanner/超蝦大作戰-禮包碼.jpg</v>
      </c>
      <c r="D182" s="49" t="str">
        <f t="shared" si="5"/>
        <v>https://www.ssbuy.tw/gift-codes.html?game=超蝦大作戰</v>
      </c>
      <c r="E182" s="81" t="s">
        <v>3467</v>
      </c>
      <c r="F182" s="70" t="s">
        <v>3468</v>
      </c>
      <c r="G182" s="49" t="s">
        <v>3469</v>
      </c>
      <c r="H182" s="49" t="s">
        <v>2646</v>
      </c>
      <c r="K182" s="53" t="s">
        <v>3470</v>
      </c>
      <c r="L182" s="49" t="s">
        <v>3471</v>
      </c>
      <c r="M182" s="54" t="s">
        <v>3472</v>
      </c>
      <c r="N182" s="49" t="s">
        <v>2647</v>
      </c>
      <c r="O182" s="54" t="s">
        <v>3473</v>
      </c>
      <c r="P182" s="49" t="s">
        <v>3474</v>
      </c>
      <c r="Q182" s="66" t="s">
        <v>2648</v>
      </c>
      <c r="R182" s="49" t="s">
        <v>2649</v>
      </c>
      <c r="S182" s="66" t="s">
        <v>3475</v>
      </c>
      <c r="T182" s="49" t="s">
        <v>3476</v>
      </c>
    </row>
    <row r="183" spans="1:50" ht="22.5" customHeight="1" x14ac:dyDescent="0.3">
      <c r="A183" s="76" t="s">
        <v>1634</v>
      </c>
      <c r="C183" s="49" t="str">
        <f t="shared" si="6"/>
        <v>giftcodesbanner/真妖獸!廢柴要修仙-禮包碼.jpg</v>
      </c>
      <c r="D183" s="49" t="str">
        <f t="shared" si="5"/>
        <v>https://www.ssbuy.tw/gift-codes.html?game=真妖獸!廢柴要修仙</v>
      </c>
      <c r="E183" s="50" t="s">
        <v>3477</v>
      </c>
      <c r="F183" s="70" t="s">
        <v>2650</v>
      </c>
      <c r="G183" s="49" t="s">
        <v>3478</v>
      </c>
      <c r="H183" s="49" t="s">
        <v>2651</v>
      </c>
      <c r="I183" s="49" t="s">
        <v>3479</v>
      </c>
      <c r="J183" s="50" t="s">
        <v>3480</v>
      </c>
      <c r="K183" s="53" t="s">
        <v>3245</v>
      </c>
      <c r="L183" s="49" t="s">
        <v>3481</v>
      </c>
      <c r="M183" s="54" t="s">
        <v>2076</v>
      </c>
      <c r="N183" s="49" t="s">
        <v>3482</v>
      </c>
      <c r="O183" s="54" t="s">
        <v>3413</v>
      </c>
      <c r="P183" s="49" t="s">
        <v>3483</v>
      </c>
      <c r="Q183" s="54" t="s">
        <v>3484</v>
      </c>
      <c r="R183" s="49" t="s">
        <v>2652</v>
      </c>
      <c r="S183" s="54" t="s">
        <v>2219</v>
      </c>
      <c r="T183" s="49" t="s">
        <v>3485</v>
      </c>
      <c r="U183" s="54" t="s">
        <v>2220</v>
      </c>
      <c r="V183" s="49" t="s">
        <v>3486</v>
      </c>
      <c r="W183" s="54" t="s">
        <v>3487</v>
      </c>
      <c r="X183" s="49" t="s">
        <v>3488</v>
      </c>
    </row>
    <row r="184" spans="1:50" ht="22.5" customHeight="1" x14ac:dyDescent="0.3">
      <c r="A184" s="49" t="s">
        <v>2653</v>
      </c>
      <c r="C184" s="49" t="str">
        <f t="shared" si="6"/>
        <v>giftcodesbanner/三國志Thrones-禮包碼.jpg</v>
      </c>
      <c r="D184" s="49" t="str">
        <f t="shared" si="5"/>
        <v>https://www.ssbuy.tw/gift-codes.html?game=三國志Thrones</v>
      </c>
      <c r="E184" s="81" t="s">
        <v>3489</v>
      </c>
      <c r="F184" s="70" t="s">
        <v>2650</v>
      </c>
      <c r="G184" s="49" t="s">
        <v>3490</v>
      </c>
      <c r="H184" s="49" t="s">
        <v>3491</v>
      </c>
      <c r="I184" s="49" t="s">
        <v>2654</v>
      </c>
      <c r="K184" s="53" t="s">
        <v>2655</v>
      </c>
      <c r="L184" s="49" t="s">
        <v>3492</v>
      </c>
    </row>
    <row r="185" spans="1:50" ht="22.5" customHeight="1" x14ac:dyDescent="0.3">
      <c r="A185" s="49" t="s">
        <v>3493</v>
      </c>
      <c r="C185" s="49" t="str">
        <f t="shared" si="6"/>
        <v>giftcodesbanner/英勇之地-禮包碼.jpg</v>
      </c>
      <c r="D185" s="49" t="str">
        <f t="shared" si="5"/>
        <v>https://www.ssbuy.tw/gift-codes.html?game=英勇之地</v>
      </c>
      <c r="E185" s="58" t="s">
        <v>3494</v>
      </c>
      <c r="F185" s="70" t="s">
        <v>3495</v>
      </c>
      <c r="G185" s="49" t="s">
        <v>3496</v>
      </c>
      <c r="H185" s="49" t="s">
        <v>3497</v>
      </c>
      <c r="I185" s="49" t="s">
        <v>2651</v>
      </c>
      <c r="J185" s="50" t="s">
        <v>3498</v>
      </c>
      <c r="K185" s="53" t="s">
        <v>2656</v>
      </c>
      <c r="L185" s="49" t="s">
        <v>2657</v>
      </c>
      <c r="M185" s="54" t="s">
        <v>3499</v>
      </c>
      <c r="N185" s="49" t="s">
        <v>2658</v>
      </c>
    </row>
    <row r="186" spans="1:50" ht="22.5" customHeight="1" x14ac:dyDescent="0.3">
      <c r="A186" s="79" t="s">
        <v>2659</v>
      </c>
      <c r="C186" s="49" t="str">
        <f t="shared" si="6"/>
        <v>giftcodesbanner/未鑑定勇者團-禮包碼.jpg</v>
      </c>
      <c r="D186" s="49" t="str">
        <f t="shared" si="5"/>
        <v>https://www.ssbuy.tw/gift-codes.html?game=未鑑定勇者團</v>
      </c>
      <c r="E186" s="81" t="s">
        <v>1699</v>
      </c>
      <c r="F186" s="70" t="s">
        <v>3500</v>
      </c>
      <c r="G186" s="49" t="s">
        <v>3501</v>
      </c>
      <c r="H186" s="49" t="s">
        <v>2660</v>
      </c>
      <c r="I186" s="49" t="s">
        <v>3502</v>
      </c>
      <c r="K186" s="53" t="s">
        <v>2661</v>
      </c>
      <c r="L186" s="49" t="s">
        <v>3503</v>
      </c>
      <c r="M186" s="54" t="s">
        <v>3504</v>
      </c>
      <c r="N186" s="49" t="s">
        <v>3505</v>
      </c>
    </row>
    <row r="187" spans="1:50" ht="22.5" customHeight="1" x14ac:dyDescent="0.3">
      <c r="A187" s="79" t="s">
        <v>2662</v>
      </c>
      <c r="C187" s="49" t="str">
        <f t="shared" si="6"/>
        <v>giftcodesbanner/戰靈異聞社-禮包碼.jpg</v>
      </c>
      <c r="D187" s="49" t="str">
        <f t="shared" si="5"/>
        <v>https://www.ssbuy.tw/gift-codes.html?game=戰靈異聞社</v>
      </c>
      <c r="E187" s="81" t="s">
        <v>1700</v>
      </c>
      <c r="F187" s="70" t="s">
        <v>3506</v>
      </c>
      <c r="G187" s="49" t="s">
        <v>3507</v>
      </c>
      <c r="H187" s="49" t="s">
        <v>3508</v>
      </c>
      <c r="K187" s="53" t="s">
        <v>2663</v>
      </c>
      <c r="L187" s="49" t="s">
        <v>3509</v>
      </c>
      <c r="M187" s="54" t="s">
        <v>3510</v>
      </c>
      <c r="N187" s="49" t="s">
        <v>3511</v>
      </c>
      <c r="O187" s="54" t="s">
        <v>3512</v>
      </c>
      <c r="P187" s="49" t="s">
        <v>3513</v>
      </c>
      <c r="Q187" s="54" t="s">
        <v>3514</v>
      </c>
      <c r="R187" s="61" t="s">
        <v>3515</v>
      </c>
      <c r="S187" s="54" t="s">
        <v>2664</v>
      </c>
      <c r="T187" s="61" t="s">
        <v>3516</v>
      </c>
    </row>
    <row r="188" spans="1:50" ht="22.5" customHeight="1" x14ac:dyDescent="0.3">
      <c r="A188" s="49" t="s">
        <v>3517</v>
      </c>
      <c r="C188" s="49" t="str">
        <f t="shared" si="6"/>
        <v>giftcodesbanner/見習骷髏王-禮包碼.jpg</v>
      </c>
      <c r="D188" s="49" t="str">
        <f t="shared" si="5"/>
        <v>https://www.ssbuy.tw/gift-codes.html?game=見習骷髏王</v>
      </c>
      <c r="E188" s="81" t="s">
        <v>2665</v>
      </c>
      <c r="F188" s="70" t="s">
        <v>3518</v>
      </c>
      <c r="G188" s="49" t="s">
        <v>2666</v>
      </c>
      <c r="K188" s="53" t="s">
        <v>3519</v>
      </c>
      <c r="L188" s="49" t="s">
        <v>2666</v>
      </c>
      <c r="M188" s="54" t="s">
        <v>2666</v>
      </c>
      <c r="N188" s="49" t="s">
        <v>2666</v>
      </c>
      <c r="O188" s="54" t="s">
        <v>3518</v>
      </c>
      <c r="P188" s="49" t="s">
        <v>2666</v>
      </c>
    </row>
    <row r="189" spans="1:50" ht="22.5" customHeight="1" x14ac:dyDescent="0.3">
      <c r="A189" s="49" t="s">
        <v>2667</v>
      </c>
      <c r="C189" s="49" t="str">
        <f t="shared" si="6"/>
        <v>giftcodesbanner/全明星無雙-禮包碼.jpg</v>
      </c>
      <c r="D189" s="49" t="str">
        <f t="shared" si="5"/>
        <v>https://www.ssbuy.tw/gift-codes.html?game=全明星無雙</v>
      </c>
      <c r="E189" s="50" t="s">
        <v>3520</v>
      </c>
      <c r="F189" s="70" t="s">
        <v>3521</v>
      </c>
      <c r="G189" s="49" t="s">
        <v>3558</v>
      </c>
      <c r="H189" s="49" t="s">
        <v>2651</v>
      </c>
      <c r="I189" s="49" t="s">
        <v>2668</v>
      </c>
      <c r="K189" s="53" t="s">
        <v>3522</v>
      </c>
      <c r="L189" s="49" t="s">
        <v>3523</v>
      </c>
    </row>
    <row r="190" spans="1:50" ht="22.5" customHeight="1" x14ac:dyDescent="0.3">
      <c r="A190" s="49" t="str">
        <f>games!A190</f>
        <v>伊瑟</v>
      </c>
      <c r="C190" s="49" t="str">
        <f>IF(A190="","", "giftcodesbanner/" &amp; A190 &amp; "-禮包碼.jpg")</f>
        <v>giftcodesbanner/伊瑟-禮包碼.jpg</v>
      </c>
      <c r="D190" s="49" t="str">
        <f>IF(A190="","", "https://www.ssbuy.tw/gift-codes.html?game="&amp;A190)</f>
        <v>https://www.ssbuy.tw/gift-codes.html?game=伊瑟</v>
      </c>
      <c r="E190" s="50"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70" t="s">
        <v>3531</v>
      </c>
      <c r="G190" s="49" t="s">
        <v>3532</v>
      </c>
      <c r="K190" s="53" t="s">
        <v>3533</v>
      </c>
      <c r="L190" s="49" t="s">
        <v>3553</v>
      </c>
      <c r="M190" s="54" t="s">
        <v>3534</v>
      </c>
      <c r="N190" s="49" t="s">
        <v>3553</v>
      </c>
      <c r="O190" s="54" t="s">
        <v>3535</v>
      </c>
      <c r="P190" s="49" t="s">
        <v>3553</v>
      </c>
      <c r="Q190" s="54" t="s">
        <v>3536</v>
      </c>
      <c r="R190" s="49" t="s">
        <v>3553</v>
      </c>
      <c r="S190" s="54" t="s">
        <v>3537</v>
      </c>
      <c r="T190" s="49" t="s">
        <v>3553</v>
      </c>
      <c r="U190" s="54" t="s">
        <v>3538</v>
      </c>
      <c r="V190" s="49" t="s">
        <v>3553</v>
      </c>
      <c r="W190" s="54" t="s">
        <v>3539</v>
      </c>
      <c r="X190" s="49" t="s">
        <v>3553</v>
      </c>
      <c r="Y190" s="54" t="s">
        <v>3540</v>
      </c>
      <c r="Z190" s="49" t="s">
        <v>3553</v>
      </c>
      <c r="AA190" s="54" t="s">
        <v>3541</v>
      </c>
      <c r="AB190" s="49" t="s">
        <v>3553</v>
      </c>
      <c r="AC190" s="54" t="s">
        <v>3542</v>
      </c>
      <c r="AD190" s="49" t="s">
        <v>3553</v>
      </c>
      <c r="AE190" s="54" t="s">
        <v>3543</v>
      </c>
      <c r="AF190" s="49" t="s">
        <v>3553</v>
      </c>
      <c r="AG190" s="54" t="s">
        <v>3544</v>
      </c>
      <c r="AH190" s="49" t="s">
        <v>3553</v>
      </c>
      <c r="AI190" s="54" t="s">
        <v>3545</v>
      </c>
      <c r="AJ190" s="49" t="s">
        <v>3553</v>
      </c>
      <c r="AK190" s="54" t="s">
        <v>3546</v>
      </c>
      <c r="AL190" s="49" t="s">
        <v>3553</v>
      </c>
      <c r="AM190" s="54" t="s">
        <v>3547</v>
      </c>
      <c r="AN190" s="49" t="s">
        <v>3553</v>
      </c>
      <c r="AO190" s="54" t="s">
        <v>3548</v>
      </c>
      <c r="AP190" s="49" t="s">
        <v>3553</v>
      </c>
      <c r="AQ190" s="54" t="s">
        <v>3549</v>
      </c>
      <c r="AR190" s="49" t="s">
        <v>3553</v>
      </c>
      <c r="AS190" s="54" t="s">
        <v>3550</v>
      </c>
      <c r="AT190" s="49" t="s">
        <v>3553</v>
      </c>
      <c r="AU190" s="54" t="s">
        <v>3551</v>
      </c>
      <c r="AV190" s="49" t="s">
        <v>3553</v>
      </c>
      <c r="AW190" s="54" t="s">
        <v>3552</v>
      </c>
      <c r="AX190" s="49" t="s">
        <v>3553</v>
      </c>
    </row>
    <row r="191" spans="1:50" ht="22.5" customHeight="1" x14ac:dyDescent="0.3">
      <c r="A191" s="49" t="str">
        <f>IF(games!A191="", "", games!A191)</f>
        <v>手刀搶英雄</v>
      </c>
      <c r="C191" s="49" t="str">
        <f t="shared" ref="C191:C254" si="7">IF(A191="","", "giftcodesbanner/" &amp; A191 &amp; "-禮包碼.jpg")</f>
        <v>giftcodesbanner/手刀搶英雄-禮包碼.jpg</v>
      </c>
      <c r="D191" s="49" t="str">
        <f t="shared" ref="D191:D254" si="8">IF(A191="","", "https://www.ssbuy.tw/gift-codes.html?game="&amp;A191)</f>
        <v>https://www.ssbuy.tw/gift-codes.html?game=手刀搶英雄</v>
      </c>
      <c r="E191" s="50"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70" t="s">
        <v>3557</v>
      </c>
      <c r="G191" s="49" t="s">
        <v>3559</v>
      </c>
      <c r="H191" s="49" t="s">
        <v>2651</v>
      </c>
      <c r="K191" s="53" t="s">
        <v>3573</v>
      </c>
      <c r="L191" s="49" t="s">
        <v>3577</v>
      </c>
      <c r="M191" s="54" t="s">
        <v>3574</v>
      </c>
      <c r="N191" s="49" t="s">
        <v>3578</v>
      </c>
      <c r="O191" s="54" t="s">
        <v>3575</v>
      </c>
      <c r="P191" s="49" t="s">
        <v>3576</v>
      </c>
    </row>
    <row r="192" spans="1:50" ht="22.5" customHeight="1" x14ac:dyDescent="0.3">
      <c r="A192" s="49" t="str">
        <f>IF(games!A192="", "", games!A192)</f>
        <v>荒野亂鬥</v>
      </c>
      <c r="C192" s="49" t="str">
        <f t="shared" si="7"/>
        <v>giftcodesbanner/荒野亂鬥-禮包碼.jpg</v>
      </c>
      <c r="D192" s="49" t="str">
        <f t="shared" si="8"/>
        <v>https://www.ssbuy.tw/gift-codes.html?game=荒野亂鬥</v>
      </c>
      <c r="E192" s="50"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53" t="s">
        <v>3519</v>
      </c>
      <c r="G192" s="49" t="s">
        <v>2666</v>
      </c>
      <c r="H192" s="54" t="s">
        <v>2666</v>
      </c>
      <c r="I192" s="49" t="s">
        <v>2666</v>
      </c>
      <c r="K192" s="53" t="s">
        <v>3519</v>
      </c>
      <c r="L192" s="49" t="s">
        <v>2666</v>
      </c>
      <c r="M192" s="54" t="s">
        <v>2666</v>
      </c>
      <c r="N192" s="49" t="s">
        <v>2666</v>
      </c>
    </row>
    <row r="193" spans="1:26" ht="22.5" customHeight="1" x14ac:dyDescent="0.3">
      <c r="A193" s="49" t="str">
        <f>IF(games!A193="", "", games!A193)</f>
        <v>遺忘之劍</v>
      </c>
      <c r="C193" s="49" t="str">
        <f t="shared" si="7"/>
        <v>giftcodesbanner/遺忘之劍-禮包碼.jpg</v>
      </c>
      <c r="D193" s="49" t="str">
        <f t="shared" si="8"/>
        <v>https://www.ssbuy.tw/gift-codes.html?game=遺忘之劍</v>
      </c>
      <c r="E193" s="50"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70" t="s">
        <v>3594</v>
      </c>
      <c r="G193" s="49" t="s">
        <v>3595</v>
      </c>
      <c r="H193" s="49" t="s">
        <v>3596</v>
      </c>
      <c r="I193" s="49" t="s">
        <v>2651</v>
      </c>
      <c r="K193" s="53" t="s">
        <v>3597</v>
      </c>
      <c r="L193" s="49" t="s">
        <v>3605</v>
      </c>
      <c r="M193" s="54" t="s">
        <v>3598</v>
      </c>
      <c r="N193" s="49" t="s">
        <v>3606</v>
      </c>
      <c r="O193" s="54" t="s">
        <v>3599</v>
      </c>
      <c r="P193" s="61" t="s">
        <v>3602</v>
      </c>
      <c r="Q193" s="54" t="s">
        <v>3600</v>
      </c>
      <c r="R193" s="61" t="s">
        <v>3603</v>
      </c>
      <c r="S193" s="54" t="s">
        <v>3601</v>
      </c>
      <c r="T193" s="61" t="s">
        <v>3604</v>
      </c>
    </row>
    <row r="194" spans="1:26" ht="22.5" customHeight="1" x14ac:dyDescent="0.3">
      <c r="A194" s="49" t="str">
        <f>IF(games!A194="", "", games!A194)</f>
        <v>破壞突擊隊</v>
      </c>
      <c r="C194" s="49" t="str">
        <f t="shared" si="7"/>
        <v>giftcodesbanner/破壞突擊隊-禮包碼.jpg</v>
      </c>
      <c r="D194" s="49" t="str">
        <f t="shared" si="8"/>
        <v>https://www.ssbuy.tw/gift-codes.html?game=破壞突擊隊</v>
      </c>
      <c r="E194" s="50"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53" t="s">
        <v>3519</v>
      </c>
      <c r="G194" s="49" t="s">
        <v>2666</v>
      </c>
      <c r="H194" s="54" t="s">
        <v>2666</v>
      </c>
      <c r="I194" s="49" t="s">
        <v>2666</v>
      </c>
      <c r="K194" s="53" t="s">
        <v>3519</v>
      </c>
      <c r="L194" s="49" t="s">
        <v>2666</v>
      </c>
      <c r="M194" s="54" t="s">
        <v>2666</v>
      </c>
      <c r="N194" s="49" t="s">
        <v>2666</v>
      </c>
    </row>
    <row r="195" spans="1:26" ht="22.5" customHeight="1" x14ac:dyDescent="0.3">
      <c r="A195" s="49" t="str">
        <f>IF(games!A195="", "", games!A195)</f>
        <v>月兔茶屋：悠閒之旅</v>
      </c>
      <c r="C195" s="49" t="str">
        <f t="shared" si="7"/>
        <v>giftcodesbanner/月兔茶屋：悠閒之旅-禮包碼.jpg</v>
      </c>
      <c r="D195" s="49" t="str">
        <f t="shared" si="8"/>
        <v>https://www.ssbuy.tw/gift-codes.html?game=月兔茶屋：悠閒之旅</v>
      </c>
      <c r="E195" s="50"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53" t="s">
        <v>3519</v>
      </c>
      <c r="G195" s="49" t="s">
        <v>2666</v>
      </c>
      <c r="H195" s="54" t="s">
        <v>2666</v>
      </c>
      <c r="I195" s="49" t="s">
        <v>2666</v>
      </c>
      <c r="K195" s="53" t="s">
        <v>3519</v>
      </c>
      <c r="L195" s="49" t="s">
        <v>2666</v>
      </c>
      <c r="M195" s="54" t="s">
        <v>2666</v>
      </c>
      <c r="N195" s="49" t="s">
        <v>2666</v>
      </c>
    </row>
    <row r="196" spans="1:26" ht="22.5" customHeight="1" x14ac:dyDescent="0.3">
      <c r="A196" s="49" t="str">
        <f>IF(games!A196="", "", games!A196)</f>
        <v>吞食天地 虛擬世界</v>
      </c>
      <c r="C196" s="49" t="str">
        <f t="shared" si="7"/>
        <v>giftcodesbanner/吞食天地 虛擬世界-禮包碼.jpg</v>
      </c>
      <c r="D196" s="49" t="str">
        <f t="shared" si="8"/>
        <v>https://www.ssbuy.tw/gift-codes.html?game=吞食天地 虛擬世界</v>
      </c>
      <c r="E196" s="50"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70" t="s">
        <v>3644</v>
      </c>
      <c r="G196" s="49" t="s">
        <v>3645</v>
      </c>
      <c r="H196" s="49" t="s">
        <v>2651</v>
      </c>
      <c r="I196" s="49" t="s">
        <v>3646</v>
      </c>
      <c r="K196" s="53" t="s">
        <v>3642</v>
      </c>
      <c r="L196" s="49" t="s">
        <v>3643</v>
      </c>
    </row>
    <row r="197" spans="1:26" ht="22.5" customHeight="1" x14ac:dyDescent="0.3">
      <c r="A197" s="49" t="str">
        <f>IF(games!A197="", "", games!A197)</f>
        <v>封神：蒼嵐契約</v>
      </c>
      <c r="C197" s="49" t="str">
        <f t="shared" si="7"/>
        <v>giftcodesbanner/封神：蒼嵐契約-禮包碼.jpg</v>
      </c>
      <c r="D197" s="49" t="str">
        <f t="shared" si="8"/>
        <v>https://www.ssbuy.tw/gift-codes.html?game=封神：蒼嵐契約</v>
      </c>
      <c r="E197" s="50"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70" t="s">
        <v>3674</v>
      </c>
      <c r="G197" s="49" t="s">
        <v>3675</v>
      </c>
      <c r="H197" s="49" t="s">
        <v>2651</v>
      </c>
      <c r="I197" s="49" t="s">
        <v>3676</v>
      </c>
      <c r="K197" s="53" t="s">
        <v>1953</v>
      </c>
      <c r="L197" s="49" t="s">
        <v>3673</v>
      </c>
      <c r="M197" s="53" t="s">
        <v>3662</v>
      </c>
      <c r="N197" s="49" t="s">
        <v>3663</v>
      </c>
      <c r="O197" s="54" t="s">
        <v>3664</v>
      </c>
      <c r="P197" s="49" t="s">
        <v>3665</v>
      </c>
      <c r="Q197" s="54" t="s">
        <v>1952</v>
      </c>
      <c r="R197" s="49" t="s">
        <v>3666</v>
      </c>
      <c r="S197" s="54" t="s">
        <v>2424</v>
      </c>
      <c r="T197" s="49" t="s">
        <v>3672</v>
      </c>
      <c r="U197" s="54" t="s">
        <v>3669</v>
      </c>
      <c r="V197" s="49" t="s">
        <v>3666</v>
      </c>
      <c r="W197" s="54" t="s">
        <v>3670</v>
      </c>
      <c r="X197" s="49" t="s">
        <v>3671</v>
      </c>
      <c r="Y197" s="54" t="s">
        <v>3667</v>
      </c>
      <c r="Z197" s="49" t="s">
        <v>3668</v>
      </c>
    </row>
    <row r="198" spans="1:26" ht="22.5" customHeight="1" x14ac:dyDescent="0.3">
      <c r="A198" s="49" t="str">
        <f>IF(games!A198="", "", games!A198)</f>
        <v/>
      </c>
      <c r="C198" s="49" t="str">
        <f t="shared" si="7"/>
        <v/>
      </c>
      <c r="D198" s="49" t="str">
        <f t="shared" si="8"/>
        <v/>
      </c>
      <c r="E198" s="50" t="str">
        <f>IF(games!I198&lt;&gt;"", games!I198, "")</f>
        <v/>
      </c>
    </row>
    <row r="199" spans="1:26" ht="22.5" customHeight="1" x14ac:dyDescent="0.3">
      <c r="A199" s="49" t="str">
        <f>IF(games!A199="", "", games!A199)</f>
        <v/>
      </c>
      <c r="C199" s="49" t="str">
        <f t="shared" si="7"/>
        <v/>
      </c>
      <c r="D199" s="49" t="str">
        <f t="shared" si="8"/>
        <v/>
      </c>
      <c r="E199" s="50" t="str">
        <f>IF(games!I199&lt;&gt;"", games!I199, "")</f>
        <v/>
      </c>
    </row>
    <row r="200" spans="1:26" ht="22.5" customHeight="1" x14ac:dyDescent="0.3">
      <c r="A200" s="49" t="str">
        <f>IF(games!A200="", "", games!A200)</f>
        <v/>
      </c>
      <c r="C200" s="49" t="str">
        <f t="shared" si="7"/>
        <v/>
      </c>
      <c r="D200" s="49" t="str">
        <f t="shared" si="8"/>
        <v/>
      </c>
      <c r="E200" s="50" t="str">
        <f>IF(games!I200&lt;&gt;"", games!I200, "")</f>
        <v/>
      </c>
    </row>
    <row r="201" spans="1:26" ht="22.5" customHeight="1" x14ac:dyDescent="0.3">
      <c r="A201" s="49" t="str">
        <f>IF(games!A201="", "", games!A201)</f>
        <v/>
      </c>
      <c r="C201" s="49" t="str">
        <f t="shared" si="7"/>
        <v/>
      </c>
      <c r="D201" s="49" t="str">
        <f t="shared" si="8"/>
        <v/>
      </c>
    </row>
    <row r="202" spans="1:26" ht="22.5" customHeight="1" x14ac:dyDescent="0.3">
      <c r="A202" s="49" t="str">
        <f>IF(games!A202="", "", games!A202)</f>
        <v/>
      </c>
      <c r="C202" s="49" t="str">
        <f t="shared" si="7"/>
        <v/>
      </c>
      <c r="D202" s="49" t="str">
        <f t="shared" si="8"/>
        <v/>
      </c>
    </row>
    <row r="203" spans="1:26" ht="22.5" customHeight="1" x14ac:dyDescent="0.3">
      <c r="A203" s="49" t="str">
        <f>IF(games!A203="", "", games!A203)</f>
        <v/>
      </c>
      <c r="C203" s="49" t="str">
        <f t="shared" si="7"/>
        <v/>
      </c>
      <c r="D203" s="49" t="str">
        <f t="shared" si="8"/>
        <v/>
      </c>
    </row>
    <row r="204" spans="1:26" ht="22.5" customHeight="1" x14ac:dyDescent="0.3">
      <c r="A204" s="49" t="str">
        <f>IF(games!A204="", "", games!A204)</f>
        <v/>
      </c>
      <c r="C204" s="49" t="str">
        <f t="shared" si="7"/>
        <v/>
      </c>
      <c r="D204" s="49" t="str">
        <f t="shared" si="8"/>
        <v/>
      </c>
    </row>
    <row r="205" spans="1:26" ht="22.5" customHeight="1" x14ac:dyDescent="0.3">
      <c r="A205" s="49" t="str">
        <f>IF(games!A205="", "", games!A205)</f>
        <v/>
      </c>
      <c r="C205" s="49" t="str">
        <f t="shared" si="7"/>
        <v/>
      </c>
      <c r="D205" s="49" t="str">
        <f t="shared" si="8"/>
        <v/>
      </c>
    </row>
    <row r="206" spans="1:26" ht="22.5" customHeight="1" x14ac:dyDescent="0.3">
      <c r="A206" s="49" t="str">
        <f>IF(games!A206="", "", games!A206)</f>
        <v/>
      </c>
      <c r="C206" s="49" t="str">
        <f t="shared" si="7"/>
        <v/>
      </c>
      <c r="D206" s="49" t="str">
        <f t="shared" si="8"/>
        <v/>
      </c>
    </row>
    <row r="207" spans="1:26" ht="22.5" customHeight="1" x14ac:dyDescent="0.3">
      <c r="A207" s="49" t="str">
        <f>IF(games!A207="", "", games!A207)</f>
        <v/>
      </c>
      <c r="C207" s="49" t="str">
        <f t="shared" si="7"/>
        <v/>
      </c>
      <c r="D207" s="49" t="str">
        <f t="shared" si="8"/>
        <v/>
      </c>
    </row>
    <row r="208" spans="1:26" ht="22.5" customHeight="1" x14ac:dyDescent="0.3">
      <c r="A208" s="49" t="str">
        <f>IF(games!A208="", "", games!A208)</f>
        <v/>
      </c>
      <c r="C208" s="49" t="str">
        <f t="shared" si="7"/>
        <v/>
      </c>
      <c r="D208" s="49" t="str">
        <f t="shared" si="8"/>
        <v/>
      </c>
    </row>
    <row r="209" spans="1:4" ht="22.5" customHeight="1" x14ac:dyDescent="0.3">
      <c r="A209" s="49" t="str">
        <f>IF(games!A209="", "", games!A209)</f>
        <v/>
      </c>
      <c r="C209" s="49" t="str">
        <f t="shared" si="7"/>
        <v/>
      </c>
      <c r="D209" s="49" t="str">
        <f t="shared" si="8"/>
        <v/>
      </c>
    </row>
    <row r="210" spans="1:4" ht="22.5" customHeight="1" x14ac:dyDescent="0.3">
      <c r="A210" s="49" t="str">
        <f>IF(games!A210="", "", games!A210)</f>
        <v/>
      </c>
      <c r="C210" s="49" t="str">
        <f t="shared" si="7"/>
        <v/>
      </c>
      <c r="D210" s="49" t="str">
        <f t="shared" si="8"/>
        <v/>
      </c>
    </row>
    <row r="211" spans="1:4" ht="22.5" customHeight="1" x14ac:dyDescent="0.3">
      <c r="A211" s="49" t="str">
        <f>IF(games!A211="", "", games!A211)</f>
        <v/>
      </c>
      <c r="C211" s="49" t="str">
        <f t="shared" si="7"/>
        <v/>
      </c>
      <c r="D211" s="49" t="str">
        <f t="shared" si="8"/>
        <v/>
      </c>
    </row>
    <row r="212" spans="1:4" ht="22.5" customHeight="1" x14ac:dyDescent="0.3">
      <c r="A212" s="49" t="str">
        <f>IF(games!A212="", "", games!A212)</f>
        <v/>
      </c>
      <c r="C212" s="49" t="str">
        <f t="shared" si="7"/>
        <v/>
      </c>
      <c r="D212" s="49" t="str">
        <f t="shared" si="8"/>
        <v/>
      </c>
    </row>
    <row r="213" spans="1:4" ht="22.5" customHeight="1" x14ac:dyDescent="0.3">
      <c r="A213" s="49" t="str">
        <f>IF(games!A213="", "", games!A213)</f>
        <v/>
      </c>
      <c r="C213" s="49" t="str">
        <f t="shared" si="7"/>
        <v/>
      </c>
      <c r="D213" s="49" t="str">
        <f t="shared" si="8"/>
        <v/>
      </c>
    </row>
    <row r="214" spans="1:4" ht="22.5" customHeight="1" x14ac:dyDescent="0.3">
      <c r="A214" s="49" t="str">
        <f>IF(games!A214="", "", games!A214)</f>
        <v/>
      </c>
      <c r="C214" s="49" t="str">
        <f t="shared" si="7"/>
        <v/>
      </c>
      <c r="D214" s="49" t="str">
        <f t="shared" si="8"/>
        <v/>
      </c>
    </row>
    <row r="215" spans="1:4" ht="22.5" customHeight="1" x14ac:dyDescent="0.3">
      <c r="A215" s="49" t="str">
        <f>IF(games!A215="", "", games!A215)</f>
        <v/>
      </c>
      <c r="C215" s="49" t="str">
        <f t="shared" si="7"/>
        <v/>
      </c>
      <c r="D215" s="49" t="str">
        <f t="shared" si="8"/>
        <v/>
      </c>
    </row>
    <row r="216" spans="1:4" ht="22.5" customHeight="1" x14ac:dyDescent="0.3">
      <c r="A216" s="49" t="str">
        <f>IF(games!A216="", "", games!A216)</f>
        <v/>
      </c>
      <c r="C216" s="49" t="str">
        <f t="shared" si="7"/>
        <v/>
      </c>
      <c r="D216" s="49" t="str">
        <f t="shared" si="8"/>
        <v/>
      </c>
    </row>
    <row r="217" spans="1:4" ht="22.5" customHeight="1" x14ac:dyDescent="0.3">
      <c r="A217" s="49" t="str">
        <f>IF(games!A217="", "", games!A217)</f>
        <v/>
      </c>
      <c r="C217" s="49" t="str">
        <f t="shared" si="7"/>
        <v/>
      </c>
      <c r="D217" s="49" t="str">
        <f t="shared" si="8"/>
        <v/>
      </c>
    </row>
    <row r="218" spans="1:4" ht="22.5" customHeight="1" x14ac:dyDescent="0.3">
      <c r="A218" s="49" t="str">
        <f>IF(games!A218="", "", games!A218)</f>
        <v/>
      </c>
      <c r="C218" s="49" t="str">
        <f t="shared" si="7"/>
        <v/>
      </c>
      <c r="D218" s="49" t="str">
        <f t="shared" si="8"/>
        <v/>
      </c>
    </row>
    <row r="219" spans="1:4" ht="22.5" customHeight="1" x14ac:dyDescent="0.3">
      <c r="A219" s="49" t="str">
        <f>IF(games!A219="", "", games!A219)</f>
        <v/>
      </c>
      <c r="C219" s="49" t="str">
        <f t="shared" si="7"/>
        <v/>
      </c>
      <c r="D219" s="49" t="str">
        <f t="shared" si="8"/>
        <v/>
      </c>
    </row>
    <row r="220" spans="1:4" ht="22.5" customHeight="1" x14ac:dyDescent="0.3">
      <c r="A220" s="49" t="str">
        <f>IF(games!A220="", "", games!A220)</f>
        <v/>
      </c>
      <c r="C220" s="49" t="str">
        <f t="shared" si="7"/>
        <v/>
      </c>
      <c r="D220" s="49" t="str">
        <f t="shared" si="8"/>
        <v/>
      </c>
    </row>
    <row r="221" spans="1:4" ht="22.5" customHeight="1" x14ac:dyDescent="0.3">
      <c r="A221" s="49" t="str">
        <f>IF(games!A221="", "", games!A221)</f>
        <v/>
      </c>
      <c r="C221" s="49" t="str">
        <f t="shared" si="7"/>
        <v/>
      </c>
      <c r="D221" s="49" t="str">
        <f t="shared" si="8"/>
        <v/>
      </c>
    </row>
    <row r="222" spans="1:4" ht="22.5" customHeight="1" x14ac:dyDescent="0.3">
      <c r="A222" s="49" t="str">
        <f>IF(games!A222="", "", games!A222)</f>
        <v/>
      </c>
      <c r="C222" s="49" t="str">
        <f t="shared" si="7"/>
        <v/>
      </c>
      <c r="D222" s="49" t="str">
        <f t="shared" si="8"/>
        <v/>
      </c>
    </row>
    <row r="223" spans="1:4" ht="22.5" customHeight="1" x14ac:dyDescent="0.3">
      <c r="A223" s="49" t="str">
        <f>IF(games!A223="", "", games!A223)</f>
        <v/>
      </c>
      <c r="C223" s="49" t="str">
        <f t="shared" si="7"/>
        <v/>
      </c>
      <c r="D223" s="49" t="str">
        <f t="shared" si="8"/>
        <v/>
      </c>
    </row>
    <row r="224" spans="1:4" ht="22.5" customHeight="1" x14ac:dyDescent="0.3">
      <c r="C224" s="49" t="str">
        <f t="shared" si="7"/>
        <v/>
      </c>
      <c r="D224" s="49" t="str">
        <f t="shared" si="8"/>
        <v/>
      </c>
    </row>
    <row r="225" spans="3:4" ht="22.5" customHeight="1" x14ac:dyDescent="0.3">
      <c r="C225" s="49" t="str">
        <f t="shared" si="7"/>
        <v/>
      </c>
      <c r="D225" s="49" t="str">
        <f t="shared" si="8"/>
        <v/>
      </c>
    </row>
    <row r="226" spans="3:4" ht="22.5" customHeight="1" x14ac:dyDescent="0.3">
      <c r="C226" s="49" t="str">
        <f t="shared" si="7"/>
        <v/>
      </c>
      <c r="D226" s="49" t="str">
        <f t="shared" si="8"/>
        <v/>
      </c>
    </row>
    <row r="227" spans="3:4" ht="22.5" customHeight="1" x14ac:dyDescent="0.3">
      <c r="C227" s="49" t="str">
        <f t="shared" si="7"/>
        <v/>
      </c>
      <c r="D227" s="49" t="str">
        <f t="shared" si="8"/>
        <v/>
      </c>
    </row>
    <row r="228" spans="3:4" ht="22.5" customHeight="1" x14ac:dyDescent="0.3">
      <c r="C228" s="49" t="str">
        <f t="shared" si="7"/>
        <v/>
      </c>
      <c r="D228" s="49" t="str">
        <f t="shared" si="8"/>
        <v/>
      </c>
    </row>
    <row r="229" spans="3:4" ht="22.5" customHeight="1" x14ac:dyDescent="0.3">
      <c r="C229" s="49" t="str">
        <f t="shared" si="7"/>
        <v/>
      </c>
      <c r="D229" s="49" t="str">
        <f t="shared" si="8"/>
        <v/>
      </c>
    </row>
    <row r="230" spans="3:4" ht="22.5" customHeight="1" x14ac:dyDescent="0.3">
      <c r="C230" s="49" t="str">
        <f t="shared" si="7"/>
        <v/>
      </c>
      <c r="D230" s="49" t="str">
        <f t="shared" si="8"/>
        <v/>
      </c>
    </row>
    <row r="231" spans="3:4" ht="22.5" customHeight="1" x14ac:dyDescent="0.3">
      <c r="C231" s="49" t="str">
        <f t="shared" si="7"/>
        <v/>
      </c>
      <c r="D231" s="49" t="str">
        <f t="shared" si="8"/>
        <v/>
      </c>
    </row>
    <row r="232" spans="3:4" ht="22.5" customHeight="1" x14ac:dyDescent="0.3">
      <c r="C232" s="49" t="str">
        <f t="shared" si="7"/>
        <v/>
      </c>
      <c r="D232" s="49" t="str">
        <f t="shared" si="8"/>
        <v/>
      </c>
    </row>
    <row r="233" spans="3:4" ht="22.5" customHeight="1" x14ac:dyDescent="0.3">
      <c r="C233" s="49" t="str">
        <f t="shared" si="7"/>
        <v/>
      </c>
      <c r="D233" s="49" t="str">
        <f t="shared" si="8"/>
        <v/>
      </c>
    </row>
    <row r="234" spans="3:4" ht="22.5" customHeight="1" x14ac:dyDescent="0.3">
      <c r="C234" s="49" t="str">
        <f t="shared" si="7"/>
        <v/>
      </c>
      <c r="D234" s="49" t="str">
        <f t="shared" si="8"/>
        <v/>
      </c>
    </row>
    <row r="235" spans="3:4" ht="22.5" customHeight="1" x14ac:dyDescent="0.3">
      <c r="C235" s="49" t="str">
        <f t="shared" si="7"/>
        <v/>
      </c>
      <c r="D235" s="49" t="str">
        <f t="shared" si="8"/>
        <v/>
      </c>
    </row>
    <row r="236" spans="3:4" ht="22.5" customHeight="1" x14ac:dyDescent="0.3">
      <c r="C236" s="49" t="str">
        <f t="shared" si="7"/>
        <v/>
      </c>
      <c r="D236" s="49" t="str">
        <f t="shared" si="8"/>
        <v/>
      </c>
    </row>
    <row r="237" spans="3:4" ht="22.5" customHeight="1" x14ac:dyDescent="0.3">
      <c r="C237" s="49" t="str">
        <f t="shared" si="7"/>
        <v/>
      </c>
      <c r="D237" s="49" t="str">
        <f t="shared" si="8"/>
        <v/>
      </c>
    </row>
    <row r="238" spans="3:4" ht="22.5" customHeight="1" x14ac:dyDescent="0.3">
      <c r="C238" s="49" t="str">
        <f t="shared" si="7"/>
        <v/>
      </c>
      <c r="D238" s="49" t="str">
        <f t="shared" si="8"/>
        <v/>
      </c>
    </row>
    <row r="239" spans="3:4" ht="22.5" customHeight="1" x14ac:dyDescent="0.3">
      <c r="C239" s="49" t="str">
        <f t="shared" si="7"/>
        <v/>
      </c>
      <c r="D239" s="49" t="str">
        <f t="shared" si="8"/>
        <v/>
      </c>
    </row>
    <row r="240" spans="3:4" ht="22.5" customHeight="1" x14ac:dyDescent="0.3">
      <c r="C240" s="49" t="str">
        <f t="shared" si="7"/>
        <v/>
      </c>
      <c r="D240" s="49" t="str">
        <f t="shared" si="8"/>
        <v/>
      </c>
    </row>
    <row r="241" spans="3:4" ht="22.5" customHeight="1" x14ac:dyDescent="0.3">
      <c r="C241" s="49" t="str">
        <f t="shared" si="7"/>
        <v/>
      </c>
      <c r="D241" s="49" t="str">
        <f t="shared" si="8"/>
        <v/>
      </c>
    </row>
    <row r="242" spans="3:4" ht="22.5" customHeight="1" x14ac:dyDescent="0.3">
      <c r="C242" s="49" t="str">
        <f t="shared" si="7"/>
        <v/>
      </c>
      <c r="D242" s="49" t="str">
        <f t="shared" si="8"/>
        <v/>
      </c>
    </row>
    <row r="243" spans="3:4" ht="22.5" customHeight="1" x14ac:dyDescent="0.3">
      <c r="C243" s="49" t="str">
        <f t="shared" si="7"/>
        <v/>
      </c>
      <c r="D243" s="49" t="str">
        <f t="shared" si="8"/>
        <v/>
      </c>
    </row>
    <row r="244" spans="3:4" ht="22.5" customHeight="1" x14ac:dyDescent="0.3">
      <c r="C244" s="49" t="str">
        <f t="shared" si="7"/>
        <v/>
      </c>
      <c r="D244" s="49" t="str">
        <f t="shared" si="8"/>
        <v/>
      </c>
    </row>
    <row r="245" spans="3:4" ht="22.5" customHeight="1" x14ac:dyDescent="0.3">
      <c r="C245" s="49" t="str">
        <f t="shared" si="7"/>
        <v/>
      </c>
      <c r="D245" s="49" t="str">
        <f t="shared" si="8"/>
        <v/>
      </c>
    </row>
    <row r="246" spans="3:4" ht="22.5" customHeight="1" x14ac:dyDescent="0.3">
      <c r="C246" s="49" t="str">
        <f t="shared" si="7"/>
        <v/>
      </c>
      <c r="D246" s="49" t="str">
        <f t="shared" si="8"/>
        <v/>
      </c>
    </row>
    <row r="247" spans="3:4" ht="22.5" customHeight="1" x14ac:dyDescent="0.3">
      <c r="C247" s="49" t="str">
        <f t="shared" si="7"/>
        <v/>
      </c>
      <c r="D247" s="49" t="str">
        <f t="shared" si="8"/>
        <v/>
      </c>
    </row>
    <row r="248" spans="3:4" ht="22.5" customHeight="1" x14ac:dyDescent="0.3">
      <c r="C248" s="49" t="str">
        <f t="shared" si="7"/>
        <v/>
      </c>
      <c r="D248" s="49" t="str">
        <f t="shared" si="8"/>
        <v/>
      </c>
    </row>
    <row r="249" spans="3:4" ht="22.5" customHeight="1" x14ac:dyDescent="0.3">
      <c r="C249" s="49" t="str">
        <f t="shared" si="7"/>
        <v/>
      </c>
      <c r="D249" s="49" t="str">
        <f t="shared" si="8"/>
        <v/>
      </c>
    </row>
    <row r="250" spans="3:4" ht="22.5" customHeight="1" x14ac:dyDescent="0.3">
      <c r="C250" s="49" t="str">
        <f t="shared" si="7"/>
        <v/>
      </c>
      <c r="D250" s="49" t="str">
        <f t="shared" si="8"/>
        <v/>
      </c>
    </row>
    <row r="251" spans="3:4" ht="22.5" customHeight="1" x14ac:dyDescent="0.3">
      <c r="C251" s="49" t="str">
        <f t="shared" si="7"/>
        <v/>
      </c>
      <c r="D251" s="49" t="str">
        <f t="shared" si="8"/>
        <v/>
      </c>
    </row>
    <row r="252" spans="3:4" ht="22.5" customHeight="1" x14ac:dyDescent="0.3">
      <c r="C252" s="49" t="str">
        <f t="shared" si="7"/>
        <v/>
      </c>
      <c r="D252" s="49" t="str">
        <f t="shared" si="8"/>
        <v/>
      </c>
    </row>
    <row r="253" spans="3:4" ht="22.5" customHeight="1" x14ac:dyDescent="0.3">
      <c r="C253" s="49" t="str">
        <f t="shared" si="7"/>
        <v/>
      </c>
      <c r="D253" s="49" t="str">
        <f t="shared" si="8"/>
        <v/>
      </c>
    </row>
    <row r="254" spans="3:4" ht="22.5" customHeight="1" x14ac:dyDescent="0.3">
      <c r="C254" s="49" t="str">
        <f t="shared" si="7"/>
        <v/>
      </c>
      <c r="D254" s="49" t="str">
        <f t="shared" si="8"/>
        <v/>
      </c>
    </row>
    <row r="255" spans="3:4" ht="22.5" customHeight="1" x14ac:dyDescent="0.3">
      <c r="C255" s="49" t="str">
        <f t="shared" ref="C255:C318" si="9">IF(A255="","", "giftcodesbanner/" &amp; A255 &amp; "-禮包碼.jpg")</f>
        <v/>
      </c>
      <c r="D255" s="49" t="str">
        <f t="shared" ref="D255:D318" si="10">IF(A255="","", "https://www.ssbuy.tw/gift-codes.html?game="&amp;A255)</f>
        <v/>
      </c>
    </row>
    <row r="256" spans="3:4" ht="22.5" customHeight="1" x14ac:dyDescent="0.3">
      <c r="C256" s="49" t="str">
        <f t="shared" si="9"/>
        <v/>
      </c>
      <c r="D256" s="49" t="str">
        <f t="shared" si="10"/>
        <v/>
      </c>
    </row>
    <row r="257" spans="3:4" ht="22.5" customHeight="1" x14ac:dyDescent="0.3">
      <c r="C257" s="49" t="str">
        <f t="shared" si="9"/>
        <v/>
      </c>
      <c r="D257" s="49" t="str">
        <f t="shared" si="10"/>
        <v/>
      </c>
    </row>
    <row r="258" spans="3:4" ht="22.5" customHeight="1" x14ac:dyDescent="0.3">
      <c r="C258" s="49" t="str">
        <f t="shared" si="9"/>
        <v/>
      </c>
      <c r="D258" s="49" t="str">
        <f t="shared" si="10"/>
        <v/>
      </c>
    </row>
    <row r="259" spans="3:4" ht="22.5" customHeight="1" x14ac:dyDescent="0.3">
      <c r="C259" s="49" t="str">
        <f t="shared" si="9"/>
        <v/>
      </c>
      <c r="D259" s="49" t="str">
        <f t="shared" si="10"/>
        <v/>
      </c>
    </row>
    <row r="260" spans="3:4" ht="22.5" customHeight="1" x14ac:dyDescent="0.3">
      <c r="C260" s="49" t="str">
        <f t="shared" si="9"/>
        <v/>
      </c>
      <c r="D260" s="49" t="str">
        <f t="shared" si="10"/>
        <v/>
      </c>
    </row>
    <row r="261" spans="3:4" x14ac:dyDescent="0.3">
      <c r="C261" s="49" t="str">
        <f t="shared" si="9"/>
        <v/>
      </c>
      <c r="D261" s="49" t="str">
        <f t="shared" si="10"/>
        <v/>
      </c>
    </row>
    <row r="262" spans="3:4" x14ac:dyDescent="0.3">
      <c r="C262" s="49" t="str">
        <f t="shared" si="9"/>
        <v/>
      </c>
      <c r="D262" s="49" t="str">
        <f t="shared" si="10"/>
        <v/>
      </c>
    </row>
    <row r="263" spans="3:4" x14ac:dyDescent="0.3">
      <c r="C263" s="49" t="str">
        <f t="shared" si="9"/>
        <v/>
      </c>
      <c r="D263" s="49" t="str">
        <f t="shared" si="10"/>
        <v/>
      </c>
    </row>
    <row r="264" spans="3:4" x14ac:dyDescent="0.3">
      <c r="C264" s="49" t="str">
        <f t="shared" si="9"/>
        <v/>
      </c>
      <c r="D264" s="49" t="str">
        <f t="shared" si="10"/>
        <v/>
      </c>
    </row>
    <row r="265" spans="3:4" x14ac:dyDescent="0.3">
      <c r="C265" s="49" t="str">
        <f t="shared" si="9"/>
        <v/>
      </c>
      <c r="D265" s="49" t="str">
        <f t="shared" si="10"/>
        <v/>
      </c>
    </row>
    <row r="266" spans="3:4" x14ac:dyDescent="0.3">
      <c r="C266" s="49" t="str">
        <f t="shared" si="9"/>
        <v/>
      </c>
      <c r="D266" s="49" t="str">
        <f t="shared" si="10"/>
        <v/>
      </c>
    </row>
    <row r="267" spans="3:4" x14ac:dyDescent="0.3">
      <c r="C267" s="49" t="str">
        <f t="shared" si="9"/>
        <v/>
      </c>
      <c r="D267" s="49" t="str">
        <f t="shared" si="10"/>
        <v/>
      </c>
    </row>
    <row r="268" spans="3:4" x14ac:dyDescent="0.3">
      <c r="C268" s="49" t="str">
        <f t="shared" si="9"/>
        <v/>
      </c>
      <c r="D268" s="49" t="str">
        <f t="shared" si="10"/>
        <v/>
      </c>
    </row>
    <row r="269" spans="3:4" x14ac:dyDescent="0.3">
      <c r="C269" s="49" t="str">
        <f t="shared" si="9"/>
        <v/>
      </c>
      <c r="D269" s="49" t="str">
        <f t="shared" si="10"/>
        <v/>
      </c>
    </row>
    <row r="270" spans="3:4" x14ac:dyDescent="0.3">
      <c r="C270" s="49" t="str">
        <f t="shared" si="9"/>
        <v/>
      </c>
      <c r="D270" s="49" t="str">
        <f t="shared" si="10"/>
        <v/>
      </c>
    </row>
    <row r="271" spans="3:4" x14ac:dyDescent="0.3">
      <c r="C271" s="49" t="str">
        <f t="shared" si="9"/>
        <v/>
      </c>
      <c r="D271" s="49" t="str">
        <f t="shared" si="10"/>
        <v/>
      </c>
    </row>
    <row r="272" spans="3:4" x14ac:dyDescent="0.3">
      <c r="C272" s="49" t="str">
        <f t="shared" si="9"/>
        <v/>
      </c>
      <c r="D272" s="49" t="str">
        <f t="shared" si="10"/>
        <v/>
      </c>
    </row>
    <row r="273" spans="3:4" x14ac:dyDescent="0.3">
      <c r="C273" s="49" t="str">
        <f t="shared" si="9"/>
        <v/>
      </c>
      <c r="D273" s="49" t="str">
        <f t="shared" si="10"/>
        <v/>
      </c>
    </row>
    <row r="274" spans="3:4" x14ac:dyDescent="0.3">
      <c r="C274" s="49" t="str">
        <f t="shared" si="9"/>
        <v/>
      </c>
      <c r="D274" s="49" t="str">
        <f t="shared" si="10"/>
        <v/>
      </c>
    </row>
    <row r="275" spans="3:4" x14ac:dyDescent="0.3">
      <c r="C275" s="49" t="str">
        <f t="shared" si="9"/>
        <v/>
      </c>
      <c r="D275" s="49" t="str">
        <f t="shared" si="10"/>
        <v/>
      </c>
    </row>
    <row r="276" spans="3:4" x14ac:dyDescent="0.3">
      <c r="C276" s="49" t="str">
        <f t="shared" si="9"/>
        <v/>
      </c>
      <c r="D276" s="49" t="str">
        <f t="shared" si="10"/>
        <v/>
      </c>
    </row>
    <row r="277" spans="3:4" x14ac:dyDescent="0.3">
      <c r="C277" s="49" t="str">
        <f t="shared" si="9"/>
        <v/>
      </c>
      <c r="D277" s="49" t="str">
        <f t="shared" si="10"/>
        <v/>
      </c>
    </row>
    <row r="278" spans="3:4" x14ac:dyDescent="0.3">
      <c r="C278" s="49" t="str">
        <f t="shared" si="9"/>
        <v/>
      </c>
      <c r="D278" s="49" t="str">
        <f t="shared" si="10"/>
        <v/>
      </c>
    </row>
    <row r="279" spans="3:4" x14ac:dyDescent="0.3">
      <c r="C279" s="49" t="str">
        <f t="shared" si="9"/>
        <v/>
      </c>
      <c r="D279" s="49" t="str">
        <f t="shared" si="10"/>
        <v/>
      </c>
    </row>
    <row r="280" spans="3:4" x14ac:dyDescent="0.3">
      <c r="C280" s="49" t="str">
        <f t="shared" si="9"/>
        <v/>
      </c>
      <c r="D280" s="49" t="str">
        <f t="shared" si="10"/>
        <v/>
      </c>
    </row>
    <row r="281" spans="3:4" x14ac:dyDescent="0.3">
      <c r="C281" s="49" t="str">
        <f t="shared" si="9"/>
        <v/>
      </c>
      <c r="D281" s="49" t="str">
        <f t="shared" si="10"/>
        <v/>
      </c>
    </row>
    <row r="282" spans="3:4" x14ac:dyDescent="0.3">
      <c r="C282" s="49" t="str">
        <f t="shared" si="9"/>
        <v/>
      </c>
      <c r="D282" s="49" t="str">
        <f t="shared" si="10"/>
        <v/>
      </c>
    </row>
    <row r="283" spans="3:4" x14ac:dyDescent="0.3">
      <c r="C283" s="49" t="str">
        <f t="shared" si="9"/>
        <v/>
      </c>
      <c r="D283" s="49" t="str">
        <f t="shared" si="10"/>
        <v/>
      </c>
    </row>
    <row r="284" spans="3:4" x14ac:dyDescent="0.3">
      <c r="C284" s="49" t="str">
        <f t="shared" si="9"/>
        <v/>
      </c>
      <c r="D284" s="49" t="str">
        <f t="shared" si="10"/>
        <v/>
      </c>
    </row>
    <row r="285" spans="3:4" x14ac:dyDescent="0.3">
      <c r="C285" s="49" t="str">
        <f t="shared" si="9"/>
        <v/>
      </c>
      <c r="D285" s="49" t="str">
        <f t="shared" si="10"/>
        <v/>
      </c>
    </row>
    <row r="286" spans="3:4" x14ac:dyDescent="0.3">
      <c r="C286" s="49" t="str">
        <f t="shared" si="9"/>
        <v/>
      </c>
      <c r="D286" s="49" t="str">
        <f t="shared" si="10"/>
        <v/>
      </c>
    </row>
    <row r="287" spans="3:4" x14ac:dyDescent="0.3">
      <c r="C287" s="49" t="str">
        <f t="shared" si="9"/>
        <v/>
      </c>
      <c r="D287" s="49" t="str">
        <f t="shared" si="10"/>
        <v/>
      </c>
    </row>
    <row r="288" spans="3:4" x14ac:dyDescent="0.3">
      <c r="C288" s="49" t="str">
        <f t="shared" si="9"/>
        <v/>
      </c>
      <c r="D288" s="49" t="str">
        <f t="shared" si="10"/>
        <v/>
      </c>
    </row>
    <row r="289" spans="3:4" x14ac:dyDescent="0.3">
      <c r="C289" s="49" t="str">
        <f t="shared" si="9"/>
        <v/>
      </c>
      <c r="D289" s="49" t="str">
        <f t="shared" si="10"/>
        <v/>
      </c>
    </row>
    <row r="290" spans="3:4" x14ac:dyDescent="0.3">
      <c r="C290" s="49" t="str">
        <f t="shared" si="9"/>
        <v/>
      </c>
      <c r="D290" s="49" t="str">
        <f t="shared" si="10"/>
        <v/>
      </c>
    </row>
    <row r="291" spans="3:4" x14ac:dyDescent="0.3">
      <c r="C291" s="49" t="str">
        <f t="shared" si="9"/>
        <v/>
      </c>
      <c r="D291" s="49" t="str">
        <f t="shared" si="10"/>
        <v/>
      </c>
    </row>
    <row r="292" spans="3:4" x14ac:dyDescent="0.3">
      <c r="C292" s="49" t="str">
        <f t="shared" si="9"/>
        <v/>
      </c>
      <c r="D292" s="49" t="str">
        <f t="shared" si="10"/>
        <v/>
      </c>
    </row>
    <row r="293" spans="3:4" x14ac:dyDescent="0.3">
      <c r="C293" s="49" t="str">
        <f t="shared" si="9"/>
        <v/>
      </c>
      <c r="D293" s="49" t="str">
        <f t="shared" si="10"/>
        <v/>
      </c>
    </row>
    <row r="294" spans="3:4" x14ac:dyDescent="0.3">
      <c r="C294" s="49" t="str">
        <f t="shared" si="9"/>
        <v/>
      </c>
      <c r="D294" s="49" t="str">
        <f t="shared" si="10"/>
        <v/>
      </c>
    </row>
    <row r="295" spans="3:4" x14ac:dyDescent="0.3">
      <c r="C295" s="49" t="str">
        <f t="shared" si="9"/>
        <v/>
      </c>
      <c r="D295" s="49" t="str">
        <f t="shared" si="10"/>
        <v/>
      </c>
    </row>
    <row r="296" spans="3:4" x14ac:dyDescent="0.3">
      <c r="C296" s="49" t="str">
        <f t="shared" si="9"/>
        <v/>
      </c>
      <c r="D296" s="49" t="str">
        <f t="shared" si="10"/>
        <v/>
      </c>
    </row>
    <row r="297" spans="3:4" x14ac:dyDescent="0.3">
      <c r="C297" s="49" t="str">
        <f t="shared" si="9"/>
        <v/>
      </c>
      <c r="D297" s="49" t="str">
        <f t="shared" si="10"/>
        <v/>
      </c>
    </row>
    <row r="298" spans="3:4" x14ac:dyDescent="0.3">
      <c r="C298" s="49" t="str">
        <f t="shared" si="9"/>
        <v/>
      </c>
      <c r="D298" s="49" t="str">
        <f t="shared" si="10"/>
        <v/>
      </c>
    </row>
    <row r="299" spans="3:4" x14ac:dyDescent="0.3">
      <c r="C299" s="49" t="str">
        <f t="shared" si="9"/>
        <v/>
      </c>
      <c r="D299" s="49" t="str">
        <f t="shared" si="10"/>
        <v/>
      </c>
    </row>
    <row r="300" spans="3:4" x14ac:dyDescent="0.3">
      <c r="C300" s="49" t="str">
        <f t="shared" si="9"/>
        <v/>
      </c>
      <c r="D300" s="49" t="str">
        <f t="shared" si="10"/>
        <v/>
      </c>
    </row>
    <row r="301" spans="3:4" x14ac:dyDescent="0.3">
      <c r="C301" s="49" t="str">
        <f t="shared" si="9"/>
        <v/>
      </c>
      <c r="D301" s="49" t="str">
        <f t="shared" si="10"/>
        <v/>
      </c>
    </row>
    <row r="302" spans="3:4" x14ac:dyDescent="0.3">
      <c r="C302" s="49" t="str">
        <f t="shared" si="9"/>
        <v/>
      </c>
      <c r="D302" s="49" t="str">
        <f t="shared" si="10"/>
        <v/>
      </c>
    </row>
    <row r="303" spans="3:4" x14ac:dyDescent="0.3">
      <c r="C303" s="49" t="str">
        <f t="shared" si="9"/>
        <v/>
      </c>
      <c r="D303" s="49" t="str">
        <f t="shared" si="10"/>
        <v/>
      </c>
    </row>
    <row r="304" spans="3:4" x14ac:dyDescent="0.3">
      <c r="C304" s="49" t="str">
        <f t="shared" si="9"/>
        <v/>
      </c>
      <c r="D304" s="49" t="str">
        <f t="shared" si="10"/>
        <v/>
      </c>
    </row>
    <row r="305" spans="3:4" x14ac:dyDescent="0.3">
      <c r="C305" s="49" t="str">
        <f t="shared" si="9"/>
        <v/>
      </c>
      <c r="D305" s="49" t="str">
        <f t="shared" si="10"/>
        <v/>
      </c>
    </row>
    <row r="306" spans="3:4" x14ac:dyDescent="0.3">
      <c r="C306" s="49" t="str">
        <f t="shared" si="9"/>
        <v/>
      </c>
      <c r="D306" s="49" t="str">
        <f t="shared" si="10"/>
        <v/>
      </c>
    </row>
    <row r="307" spans="3:4" x14ac:dyDescent="0.3">
      <c r="C307" s="49" t="str">
        <f t="shared" si="9"/>
        <v/>
      </c>
      <c r="D307" s="49" t="str">
        <f t="shared" si="10"/>
        <v/>
      </c>
    </row>
    <row r="308" spans="3:4" x14ac:dyDescent="0.3">
      <c r="C308" s="49" t="str">
        <f t="shared" si="9"/>
        <v/>
      </c>
      <c r="D308" s="49" t="str">
        <f t="shared" si="10"/>
        <v/>
      </c>
    </row>
    <row r="309" spans="3:4" x14ac:dyDescent="0.3">
      <c r="C309" s="49" t="str">
        <f t="shared" si="9"/>
        <v/>
      </c>
      <c r="D309" s="49" t="str">
        <f t="shared" si="10"/>
        <v/>
      </c>
    </row>
    <row r="310" spans="3:4" x14ac:dyDescent="0.3">
      <c r="C310" s="49" t="str">
        <f t="shared" si="9"/>
        <v/>
      </c>
      <c r="D310" s="49" t="str">
        <f t="shared" si="10"/>
        <v/>
      </c>
    </row>
    <row r="311" spans="3:4" x14ac:dyDescent="0.3">
      <c r="C311" s="49" t="str">
        <f t="shared" si="9"/>
        <v/>
      </c>
      <c r="D311" s="49" t="str">
        <f t="shared" si="10"/>
        <v/>
      </c>
    </row>
    <row r="312" spans="3:4" x14ac:dyDescent="0.3">
      <c r="C312" s="49" t="str">
        <f t="shared" si="9"/>
        <v/>
      </c>
      <c r="D312" s="49" t="str">
        <f t="shared" si="10"/>
        <v/>
      </c>
    </row>
    <row r="313" spans="3:4" x14ac:dyDescent="0.3">
      <c r="C313" s="49" t="str">
        <f t="shared" si="9"/>
        <v/>
      </c>
      <c r="D313" s="49" t="str">
        <f t="shared" si="10"/>
        <v/>
      </c>
    </row>
    <row r="314" spans="3:4" x14ac:dyDescent="0.3">
      <c r="C314" s="49" t="str">
        <f t="shared" si="9"/>
        <v/>
      </c>
      <c r="D314" s="49" t="str">
        <f t="shared" si="10"/>
        <v/>
      </c>
    </row>
    <row r="315" spans="3:4" x14ac:dyDescent="0.3">
      <c r="C315" s="49" t="str">
        <f t="shared" si="9"/>
        <v/>
      </c>
      <c r="D315" s="49" t="str">
        <f t="shared" si="10"/>
        <v/>
      </c>
    </row>
    <row r="316" spans="3:4" x14ac:dyDescent="0.3">
      <c r="C316" s="49" t="str">
        <f t="shared" si="9"/>
        <v/>
      </c>
      <c r="D316" s="49" t="str">
        <f t="shared" si="10"/>
        <v/>
      </c>
    </row>
    <row r="317" spans="3:4" x14ac:dyDescent="0.3">
      <c r="C317" s="49" t="str">
        <f t="shared" si="9"/>
        <v/>
      </c>
      <c r="D317" s="49" t="str">
        <f t="shared" si="10"/>
        <v/>
      </c>
    </row>
    <row r="318" spans="3:4" x14ac:dyDescent="0.3">
      <c r="C318" s="49" t="str">
        <f t="shared" si="9"/>
        <v/>
      </c>
      <c r="D318" s="49" t="str">
        <f t="shared" si="10"/>
        <v/>
      </c>
    </row>
    <row r="319" spans="3:4" x14ac:dyDescent="0.3">
      <c r="C319" s="49" t="str">
        <f t="shared" ref="C319:C382" si="11">IF(A319="","", "giftcodesbanner/" &amp; A319 &amp; "-禮包碼.jpg")</f>
        <v/>
      </c>
      <c r="D319" s="49" t="str">
        <f t="shared" ref="D319:D382" si="12">IF(A319="","", "https://www.ssbuy.tw/gift-codes.html?game="&amp;A319)</f>
        <v/>
      </c>
    </row>
    <row r="320" spans="3:4" x14ac:dyDescent="0.3">
      <c r="C320" s="49" t="str">
        <f t="shared" si="11"/>
        <v/>
      </c>
      <c r="D320" s="49" t="str">
        <f t="shared" si="12"/>
        <v/>
      </c>
    </row>
    <row r="321" spans="3:4" x14ac:dyDescent="0.3">
      <c r="C321" s="49" t="str">
        <f t="shared" si="11"/>
        <v/>
      </c>
      <c r="D321" s="49" t="str">
        <f t="shared" si="12"/>
        <v/>
      </c>
    </row>
    <row r="322" spans="3:4" x14ac:dyDescent="0.3">
      <c r="C322" s="49" t="str">
        <f t="shared" si="11"/>
        <v/>
      </c>
      <c r="D322" s="49" t="str">
        <f t="shared" si="12"/>
        <v/>
      </c>
    </row>
    <row r="323" spans="3:4" x14ac:dyDescent="0.3">
      <c r="C323" s="49" t="str">
        <f t="shared" si="11"/>
        <v/>
      </c>
      <c r="D323" s="49" t="str">
        <f t="shared" si="12"/>
        <v/>
      </c>
    </row>
    <row r="324" spans="3:4" x14ac:dyDescent="0.3">
      <c r="C324" s="49" t="str">
        <f t="shared" si="11"/>
        <v/>
      </c>
      <c r="D324" s="49" t="str">
        <f t="shared" si="12"/>
        <v/>
      </c>
    </row>
    <row r="325" spans="3:4" x14ac:dyDescent="0.3">
      <c r="C325" s="49" t="str">
        <f t="shared" si="11"/>
        <v/>
      </c>
      <c r="D325" s="49" t="str">
        <f t="shared" si="12"/>
        <v/>
      </c>
    </row>
    <row r="326" spans="3:4" x14ac:dyDescent="0.3">
      <c r="C326" s="49" t="str">
        <f t="shared" si="11"/>
        <v/>
      </c>
      <c r="D326" s="49" t="str">
        <f t="shared" si="12"/>
        <v/>
      </c>
    </row>
    <row r="327" spans="3:4" x14ac:dyDescent="0.3">
      <c r="C327" s="49" t="str">
        <f t="shared" si="11"/>
        <v/>
      </c>
      <c r="D327" s="49" t="str">
        <f t="shared" si="12"/>
        <v/>
      </c>
    </row>
    <row r="328" spans="3:4" x14ac:dyDescent="0.3">
      <c r="C328" s="49" t="str">
        <f t="shared" si="11"/>
        <v/>
      </c>
      <c r="D328" s="49" t="str">
        <f t="shared" si="12"/>
        <v/>
      </c>
    </row>
    <row r="329" spans="3:4" x14ac:dyDescent="0.3">
      <c r="C329" s="49" t="str">
        <f t="shared" si="11"/>
        <v/>
      </c>
      <c r="D329" s="49" t="str">
        <f t="shared" si="12"/>
        <v/>
      </c>
    </row>
    <row r="330" spans="3:4" x14ac:dyDescent="0.3">
      <c r="C330" s="49" t="str">
        <f t="shared" si="11"/>
        <v/>
      </c>
      <c r="D330" s="49" t="str">
        <f t="shared" si="12"/>
        <v/>
      </c>
    </row>
    <row r="331" spans="3:4" x14ac:dyDescent="0.3">
      <c r="C331" s="49" t="str">
        <f t="shared" si="11"/>
        <v/>
      </c>
      <c r="D331" s="49" t="str">
        <f t="shared" si="12"/>
        <v/>
      </c>
    </row>
    <row r="332" spans="3:4" x14ac:dyDescent="0.3">
      <c r="C332" s="49" t="str">
        <f t="shared" si="11"/>
        <v/>
      </c>
      <c r="D332" s="49" t="str">
        <f t="shared" si="12"/>
        <v/>
      </c>
    </row>
    <row r="333" spans="3:4" x14ac:dyDescent="0.3">
      <c r="C333" s="49" t="str">
        <f t="shared" si="11"/>
        <v/>
      </c>
      <c r="D333" s="49" t="str">
        <f t="shared" si="12"/>
        <v/>
      </c>
    </row>
    <row r="334" spans="3:4" x14ac:dyDescent="0.3">
      <c r="C334" s="49" t="str">
        <f t="shared" si="11"/>
        <v/>
      </c>
      <c r="D334" s="49" t="str">
        <f t="shared" si="12"/>
        <v/>
      </c>
    </row>
    <row r="335" spans="3:4" x14ac:dyDescent="0.3">
      <c r="C335" s="49" t="str">
        <f t="shared" si="11"/>
        <v/>
      </c>
      <c r="D335" s="49" t="str">
        <f t="shared" si="12"/>
        <v/>
      </c>
    </row>
    <row r="336" spans="3:4" x14ac:dyDescent="0.3">
      <c r="C336" s="49" t="str">
        <f t="shared" si="11"/>
        <v/>
      </c>
      <c r="D336" s="49" t="str">
        <f t="shared" si="12"/>
        <v/>
      </c>
    </row>
    <row r="337" spans="3:4" x14ac:dyDescent="0.3">
      <c r="C337" s="49" t="str">
        <f t="shared" si="11"/>
        <v/>
      </c>
      <c r="D337" s="49" t="str">
        <f t="shared" si="12"/>
        <v/>
      </c>
    </row>
    <row r="338" spans="3:4" x14ac:dyDescent="0.3">
      <c r="C338" s="49" t="str">
        <f t="shared" si="11"/>
        <v/>
      </c>
      <c r="D338" s="49" t="str">
        <f t="shared" si="12"/>
        <v/>
      </c>
    </row>
    <row r="339" spans="3:4" x14ac:dyDescent="0.3">
      <c r="C339" s="49" t="str">
        <f t="shared" si="11"/>
        <v/>
      </c>
      <c r="D339" s="49" t="str">
        <f t="shared" si="12"/>
        <v/>
      </c>
    </row>
    <row r="340" spans="3:4" x14ac:dyDescent="0.3">
      <c r="C340" s="49" t="str">
        <f t="shared" si="11"/>
        <v/>
      </c>
      <c r="D340" s="49" t="str">
        <f t="shared" si="12"/>
        <v/>
      </c>
    </row>
    <row r="341" spans="3:4" x14ac:dyDescent="0.3">
      <c r="C341" s="49" t="str">
        <f t="shared" si="11"/>
        <v/>
      </c>
      <c r="D341" s="49" t="str">
        <f t="shared" si="12"/>
        <v/>
      </c>
    </row>
    <row r="342" spans="3:4" x14ac:dyDescent="0.3">
      <c r="C342" s="49" t="str">
        <f t="shared" si="11"/>
        <v/>
      </c>
      <c r="D342" s="49" t="str">
        <f t="shared" si="12"/>
        <v/>
      </c>
    </row>
    <row r="343" spans="3:4" x14ac:dyDescent="0.3">
      <c r="C343" s="49" t="str">
        <f t="shared" si="11"/>
        <v/>
      </c>
      <c r="D343" s="49" t="str">
        <f t="shared" si="12"/>
        <v/>
      </c>
    </row>
    <row r="344" spans="3:4" x14ac:dyDescent="0.3">
      <c r="C344" s="49" t="str">
        <f t="shared" si="11"/>
        <v/>
      </c>
      <c r="D344" s="49" t="str">
        <f t="shared" si="12"/>
        <v/>
      </c>
    </row>
    <row r="345" spans="3:4" x14ac:dyDescent="0.3">
      <c r="C345" s="49" t="str">
        <f t="shared" si="11"/>
        <v/>
      </c>
      <c r="D345" s="49" t="str">
        <f t="shared" si="12"/>
        <v/>
      </c>
    </row>
    <row r="346" spans="3:4" x14ac:dyDescent="0.3">
      <c r="C346" s="49" t="str">
        <f t="shared" si="11"/>
        <v/>
      </c>
      <c r="D346" s="49" t="str">
        <f t="shared" si="12"/>
        <v/>
      </c>
    </row>
    <row r="347" spans="3:4" x14ac:dyDescent="0.3">
      <c r="C347" s="49" t="str">
        <f t="shared" si="11"/>
        <v/>
      </c>
      <c r="D347" s="49" t="str">
        <f t="shared" si="12"/>
        <v/>
      </c>
    </row>
    <row r="348" spans="3:4" x14ac:dyDescent="0.3">
      <c r="C348" s="49" t="str">
        <f t="shared" si="11"/>
        <v/>
      </c>
      <c r="D348" s="49" t="str">
        <f t="shared" si="12"/>
        <v/>
      </c>
    </row>
    <row r="349" spans="3:4" x14ac:dyDescent="0.3">
      <c r="C349" s="49" t="str">
        <f t="shared" si="11"/>
        <v/>
      </c>
      <c r="D349" s="49" t="str">
        <f t="shared" si="12"/>
        <v/>
      </c>
    </row>
    <row r="350" spans="3:4" x14ac:dyDescent="0.3">
      <c r="C350" s="49" t="str">
        <f t="shared" si="11"/>
        <v/>
      </c>
      <c r="D350" s="49" t="str">
        <f t="shared" si="12"/>
        <v/>
      </c>
    </row>
    <row r="351" spans="3:4" x14ac:dyDescent="0.3">
      <c r="C351" s="49" t="str">
        <f t="shared" si="11"/>
        <v/>
      </c>
      <c r="D351" s="49" t="str">
        <f t="shared" si="12"/>
        <v/>
      </c>
    </row>
    <row r="352" spans="3:4" x14ac:dyDescent="0.3">
      <c r="C352" s="49" t="str">
        <f t="shared" si="11"/>
        <v/>
      </c>
      <c r="D352" s="49" t="str">
        <f t="shared" si="12"/>
        <v/>
      </c>
    </row>
    <row r="353" spans="3:4" x14ac:dyDescent="0.3">
      <c r="C353" s="49" t="str">
        <f t="shared" si="11"/>
        <v/>
      </c>
      <c r="D353" s="49" t="str">
        <f t="shared" si="12"/>
        <v/>
      </c>
    </row>
    <row r="354" spans="3:4" x14ac:dyDescent="0.3">
      <c r="C354" s="49" t="str">
        <f t="shared" si="11"/>
        <v/>
      </c>
      <c r="D354" s="49" t="str">
        <f t="shared" si="12"/>
        <v/>
      </c>
    </row>
    <row r="355" spans="3:4" x14ac:dyDescent="0.3">
      <c r="C355" s="49" t="str">
        <f t="shared" si="11"/>
        <v/>
      </c>
      <c r="D355" s="49" t="str">
        <f t="shared" si="12"/>
        <v/>
      </c>
    </row>
    <row r="356" spans="3:4" x14ac:dyDescent="0.3">
      <c r="C356" s="49" t="str">
        <f t="shared" si="11"/>
        <v/>
      </c>
      <c r="D356" s="49" t="str">
        <f t="shared" si="12"/>
        <v/>
      </c>
    </row>
    <row r="357" spans="3:4" x14ac:dyDescent="0.3">
      <c r="C357" s="49" t="str">
        <f t="shared" si="11"/>
        <v/>
      </c>
      <c r="D357" s="49" t="str">
        <f t="shared" si="12"/>
        <v/>
      </c>
    </row>
    <row r="358" spans="3:4" x14ac:dyDescent="0.3">
      <c r="C358" s="49" t="str">
        <f t="shared" si="11"/>
        <v/>
      </c>
      <c r="D358" s="49" t="str">
        <f t="shared" si="12"/>
        <v/>
      </c>
    </row>
    <row r="359" spans="3:4" x14ac:dyDescent="0.3">
      <c r="C359" s="49" t="str">
        <f t="shared" si="11"/>
        <v/>
      </c>
      <c r="D359" s="49" t="str">
        <f t="shared" si="12"/>
        <v/>
      </c>
    </row>
    <row r="360" spans="3:4" x14ac:dyDescent="0.3">
      <c r="C360" s="49" t="str">
        <f t="shared" si="11"/>
        <v/>
      </c>
      <c r="D360" s="49" t="str">
        <f t="shared" si="12"/>
        <v/>
      </c>
    </row>
    <row r="361" spans="3:4" x14ac:dyDescent="0.3">
      <c r="C361" s="49" t="str">
        <f t="shared" si="11"/>
        <v/>
      </c>
      <c r="D361" s="49" t="str">
        <f t="shared" si="12"/>
        <v/>
      </c>
    </row>
    <row r="362" spans="3:4" x14ac:dyDescent="0.3">
      <c r="C362" s="49" t="str">
        <f t="shared" si="11"/>
        <v/>
      </c>
      <c r="D362" s="49" t="str">
        <f t="shared" si="12"/>
        <v/>
      </c>
    </row>
    <row r="363" spans="3:4" x14ac:dyDescent="0.3">
      <c r="C363" s="49" t="str">
        <f t="shared" si="11"/>
        <v/>
      </c>
      <c r="D363" s="49" t="str">
        <f t="shared" si="12"/>
        <v/>
      </c>
    </row>
    <row r="364" spans="3:4" x14ac:dyDescent="0.3">
      <c r="C364" s="49" t="str">
        <f t="shared" si="11"/>
        <v/>
      </c>
      <c r="D364" s="49" t="str">
        <f t="shared" si="12"/>
        <v/>
      </c>
    </row>
    <row r="365" spans="3:4" x14ac:dyDescent="0.3">
      <c r="C365" s="49" t="str">
        <f t="shared" si="11"/>
        <v/>
      </c>
      <c r="D365" s="49" t="str">
        <f t="shared" si="12"/>
        <v/>
      </c>
    </row>
    <row r="366" spans="3:4" x14ac:dyDescent="0.3">
      <c r="C366" s="49" t="str">
        <f t="shared" si="11"/>
        <v/>
      </c>
      <c r="D366" s="49" t="str">
        <f t="shared" si="12"/>
        <v/>
      </c>
    </row>
    <row r="367" spans="3:4" x14ac:dyDescent="0.3">
      <c r="C367" s="49" t="str">
        <f t="shared" si="11"/>
        <v/>
      </c>
      <c r="D367" s="49" t="str">
        <f t="shared" si="12"/>
        <v/>
      </c>
    </row>
    <row r="368" spans="3:4" x14ac:dyDescent="0.3">
      <c r="C368" s="49" t="str">
        <f t="shared" si="11"/>
        <v/>
      </c>
      <c r="D368" s="49" t="str">
        <f t="shared" si="12"/>
        <v/>
      </c>
    </row>
    <row r="369" spans="3:4" x14ac:dyDescent="0.3">
      <c r="C369" s="49" t="str">
        <f t="shared" si="11"/>
        <v/>
      </c>
      <c r="D369" s="49" t="str">
        <f t="shared" si="12"/>
        <v/>
      </c>
    </row>
    <row r="370" spans="3:4" x14ac:dyDescent="0.3">
      <c r="C370" s="49" t="str">
        <f t="shared" si="11"/>
        <v/>
      </c>
      <c r="D370" s="49" t="str">
        <f t="shared" si="12"/>
        <v/>
      </c>
    </row>
    <row r="371" spans="3:4" x14ac:dyDescent="0.3">
      <c r="C371" s="49" t="str">
        <f t="shared" si="11"/>
        <v/>
      </c>
      <c r="D371" s="49" t="str">
        <f t="shared" si="12"/>
        <v/>
      </c>
    </row>
    <row r="372" spans="3:4" x14ac:dyDescent="0.3">
      <c r="C372" s="49" t="str">
        <f t="shared" si="11"/>
        <v/>
      </c>
      <c r="D372" s="49" t="str">
        <f t="shared" si="12"/>
        <v/>
      </c>
    </row>
    <row r="373" spans="3:4" x14ac:dyDescent="0.3">
      <c r="C373" s="49" t="str">
        <f t="shared" si="11"/>
        <v/>
      </c>
      <c r="D373" s="49" t="str">
        <f t="shared" si="12"/>
        <v/>
      </c>
    </row>
    <row r="374" spans="3:4" x14ac:dyDescent="0.3">
      <c r="C374" s="49" t="str">
        <f t="shared" si="11"/>
        <v/>
      </c>
      <c r="D374" s="49" t="str">
        <f t="shared" si="12"/>
        <v/>
      </c>
    </row>
    <row r="375" spans="3:4" x14ac:dyDescent="0.3">
      <c r="C375" s="49" t="str">
        <f t="shared" si="11"/>
        <v/>
      </c>
      <c r="D375" s="49" t="str">
        <f t="shared" si="12"/>
        <v/>
      </c>
    </row>
    <row r="376" spans="3:4" x14ac:dyDescent="0.3">
      <c r="C376" s="49" t="str">
        <f t="shared" si="11"/>
        <v/>
      </c>
      <c r="D376" s="49" t="str">
        <f t="shared" si="12"/>
        <v/>
      </c>
    </row>
    <row r="377" spans="3:4" x14ac:dyDescent="0.3">
      <c r="C377" s="49" t="str">
        <f t="shared" si="11"/>
        <v/>
      </c>
      <c r="D377" s="49" t="str">
        <f t="shared" si="12"/>
        <v/>
      </c>
    </row>
    <row r="378" spans="3:4" x14ac:dyDescent="0.3">
      <c r="C378" s="49" t="str">
        <f t="shared" si="11"/>
        <v/>
      </c>
      <c r="D378" s="49" t="str">
        <f t="shared" si="12"/>
        <v/>
      </c>
    </row>
    <row r="379" spans="3:4" x14ac:dyDescent="0.3">
      <c r="C379" s="49" t="str">
        <f t="shared" si="11"/>
        <v/>
      </c>
      <c r="D379" s="49" t="str">
        <f t="shared" si="12"/>
        <v/>
      </c>
    </row>
    <row r="380" spans="3:4" x14ac:dyDescent="0.3">
      <c r="C380" s="49" t="str">
        <f t="shared" si="11"/>
        <v/>
      </c>
      <c r="D380" s="49" t="str">
        <f t="shared" si="12"/>
        <v/>
      </c>
    </row>
    <row r="381" spans="3:4" x14ac:dyDescent="0.3">
      <c r="C381" s="49" t="str">
        <f t="shared" si="11"/>
        <v/>
      </c>
      <c r="D381" s="49" t="str">
        <f t="shared" si="12"/>
        <v/>
      </c>
    </row>
    <row r="382" spans="3:4" x14ac:dyDescent="0.3">
      <c r="C382" s="49" t="str">
        <f t="shared" si="11"/>
        <v/>
      </c>
      <c r="D382" s="49" t="str">
        <f t="shared" si="12"/>
        <v/>
      </c>
    </row>
    <row r="383" spans="3:4" x14ac:dyDescent="0.3">
      <c r="C383" s="49" t="str">
        <f t="shared" ref="C383:C441" si="13">IF(A383="","", "giftcodesbanner/" &amp; A383 &amp; "-禮包碼.jpg")</f>
        <v/>
      </c>
      <c r="D383" s="49" t="str">
        <f t="shared" ref="D383:D441" si="14">IF(A383="","", "https://www.ssbuy.tw/gift-codes.html?game="&amp;A383)</f>
        <v/>
      </c>
    </row>
    <row r="384" spans="3:4" x14ac:dyDescent="0.3">
      <c r="C384" s="49" t="str">
        <f t="shared" si="13"/>
        <v/>
      </c>
      <c r="D384" s="49" t="str">
        <f t="shared" si="14"/>
        <v/>
      </c>
    </row>
    <row r="385" spans="3:4" x14ac:dyDescent="0.3">
      <c r="C385" s="49" t="str">
        <f t="shared" si="13"/>
        <v/>
      </c>
      <c r="D385" s="49" t="str">
        <f t="shared" si="14"/>
        <v/>
      </c>
    </row>
    <row r="386" spans="3:4" x14ac:dyDescent="0.3">
      <c r="C386" s="49" t="str">
        <f t="shared" si="13"/>
        <v/>
      </c>
      <c r="D386" s="49" t="str">
        <f t="shared" si="14"/>
        <v/>
      </c>
    </row>
    <row r="387" spans="3:4" x14ac:dyDescent="0.3">
      <c r="C387" s="49" t="str">
        <f t="shared" si="13"/>
        <v/>
      </c>
      <c r="D387" s="49" t="str">
        <f t="shared" si="14"/>
        <v/>
      </c>
    </row>
    <row r="388" spans="3:4" x14ac:dyDescent="0.3">
      <c r="C388" s="49" t="str">
        <f t="shared" si="13"/>
        <v/>
      </c>
      <c r="D388" s="49" t="str">
        <f t="shared" si="14"/>
        <v/>
      </c>
    </row>
    <row r="389" spans="3:4" x14ac:dyDescent="0.3">
      <c r="C389" s="49" t="str">
        <f t="shared" si="13"/>
        <v/>
      </c>
      <c r="D389" s="49" t="str">
        <f t="shared" si="14"/>
        <v/>
      </c>
    </row>
    <row r="390" spans="3:4" x14ac:dyDescent="0.3">
      <c r="C390" s="49" t="str">
        <f t="shared" si="13"/>
        <v/>
      </c>
      <c r="D390" s="49" t="str">
        <f t="shared" si="14"/>
        <v/>
      </c>
    </row>
    <row r="391" spans="3:4" x14ac:dyDescent="0.3">
      <c r="C391" s="49" t="str">
        <f t="shared" si="13"/>
        <v/>
      </c>
      <c r="D391" s="49" t="str">
        <f t="shared" si="14"/>
        <v/>
      </c>
    </row>
    <row r="392" spans="3:4" x14ac:dyDescent="0.3">
      <c r="C392" s="49" t="str">
        <f t="shared" si="13"/>
        <v/>
      </c>
      <c r="D392" s="49" t="str">
        <f t="shared" si="14"/>
        <v/>
      </c>
    </row>
    <row r="393" spans="3:4" x14ac:dyDescent="0.3">
      <c r="C393" s="49" t="str">
        <f t="shared" si="13"/>
        <v/>
      </c>
      <c r="D393" s="49" t="str">
        <f t="shared" si="14"/>
        <v/>
      </c>
    </row>
    <row r="394" spans="3:4" x14ac:dyDescent="0.3">
      <c r="C394" s="49" t="str">
        <f t="shared" si="13"/>
        <v/>
      </c>
      <c r="D394" s="49" t="str">
        <f t="shared" si="14"/>
        <v/>
      </c>
    </row>
    <row r="395" spans="3:4" x14ac:dyDescent="0.3">
      <c r="C395" s="49" t="str">
        <f t="shared" si="13"/>
        <v/>
      </c>
      <c r="D395" s="49" t="str">
        <f t="shared" si="14"/>
        <v/>
      </c>
    </row>
    <row r="396" spans="3:4" x14ac:dyDescent="0.3">
      <c r="C396" s="49" t="str">
        <f t="shared" si="13"/>
        <v/>
      </c>
      <c r="D396" s="49" t="str">
        <f t="shared" si="14"/>
        <v/>
      </c>
    </row>
    <row r="397" spans="3:4" x14ac:dyDescent="0.3">
      <c r="C397" s="49" t="str">
        <f t="shared" si="13"/>
        <v/>
      </c>
      <c r="D397" s="49" t="str">
        <f t="shared" si="14"/>
        <v/>
      </c>
    </row>
    <row r="398" spans="3:4" x14ac:dyDescent="0.3">
      <c r="C398" s="49" t="str">
        <f t="shared" si="13"/>
        <v/>
      </c>
      <c r="D398" s="49" t="str">
        <f t="shared" si="14"/>
        <v/>
      </c>
    </row>
    <row r="399" spans="3:4" x14ac:dyDescent="0.3">
      <c r="C399" s="49" t="str">
        <f t="shared" si="13"/>
        <v/>
      </c>
      <c r="D399" s="49" t="str">
        <f t="shared" si="14"/>
        <v/>
      </c>
    </row>
    <row r="400" spans="3:4" x14ac:dyDescent="0.3">
      <c r="C400" s="49" t="str">
        <f t="shared" si="13"/>
        <v/>
      </c>
      <c r="D400" s="49" t="str">
        <f t="shared" si="14"/>
        <v/>
      </c>
    </row>
    <row r="401" spans="3:4" x14ac:dyDescent="0.3">
      <c r="C401" s="49" t="str">
        <f t="shared" si="13"/>
        <v/>
      </c>
      <c r="D401" s="49" t="str">
        <f t="shared" si="14"/>
        <v/>
      </c>
    </row>
    <row r="402" spans="3:4" x14ac:dyDescent="0.3">
      <c r="C402" s="49" t="str">
        <f t="shared" si="13"/>
        <v/>
      </c>
      <c r="D402" s="49" t="str">
        <f t="shared" si="14"/>
        <v/>
      </c>
    </row>
    <row r="403" spans="3:4" x14ac:dyDescent="0.3">
      <c r="C403" s="49" t="str">
        <f t="shared" si="13"/>
        <v/>
      </c>
      <c r="D403" s="49" t="str">
        <f t="shared" si="14"/>
        <v/>
      </c>
    </row>
    <row r="404" spans="3:4" x14ac:dyDescent="0.3">
      <c r="C404" s="49" t="str">
        <f t="shared" si="13"/>
        <v/>
      </c>
      <c r="D404" s="49" t="str">
        <f t="shared" si="14"/>
        <v/>
      </c>
    </row>
    <row r="405" spans="3:4" x14ac:dyDescent="0.3">
      <c r="C405" s="49" t="str">
        <f t="shared" si="13"/>
        <v/>
      </c>
      <c r="D405" s="49" t="str">
        <f t="shared" si="14"/>
        <v/>
      </c>
    </row>
    <row r="406" spans="3:4" x14ac:dyDescent="0.3">
      <c r="C406" s="49" t="str">
        <f t="shared" si="13"/>
        <v/>
      </c>
      <c r="D406" s="49" t="str">
        <f t="shared" si="14"/>
        <v/>
      </c>
    </row>
    <row r="407" spans="3:4" x14ac:dyDescent="0.3">
      <c r="C407" s="49" t="str">
        <f t="shared" si="13"/>
        <v/>
      </c>
      <c r="D407" s="49" t="str">
        <f t="shared" si="14"/>
        <v/>
      </c>
    </row>
    <row r="408" spans="3:4" x14ac:dyDescent="0.3">
      <c r="C408" s="49" t="str">
        <f t="shared" si="13"/>
        <v/>
      </c>
      <c r="D408" s="49" t="str">
        <f t="shared" si="14"/>
        <v/>
      </c>
    </row>
    <row r="409" spans="3:4" x14ac:dyDescent="0.3">
      <c r="C409" s="49" t="str">
        <f t="shared" si="13"/>
        <v/>
      </c>
      <c r="D409" s="49" t="str">
        <f t="shared" si="14"/>
        <v/>
      </c>
    </row>
    <row r="410" spans="3:4" x14ac:dyDescent="0.3">
      <c r="C410" s="49" t="str">
        <f t="shared" si="13"/>
        <v/>
      </c>
      <c r="D410" s="49" t="str">
        <f t="shared" si="14"/>
        <v/>
      </c>
    </row>
    <row r="411" spans="3:4" x14ac:dyDescent="0.3">
      <c r="C411" s="49" t="str">
        <f t="shared" si="13"/>
        <v/>
      </c>
      <c r="D411" s="49" t="str">
        <f t="shared" si="14"/>
        <v/>
      </c>
    </row>
    <row r="412" spans="3:4" x14ac:dyDescent="0.3">
      <c r="C412" s="49" t="str">
        <f t="shared" si="13"/>
        <v/>
      </c>
      <c r="D412" s="49" t="str">
        <f t="shared" si="14"/>
        <v/>
      </c>
    </row>
    <row r="413" spans="3:4" x14ac:dyDescent="0.3">
      <c r="C413" s="49" t="str">
        <f t="shared" si="13"/>
        <v/>
      </c>
      <c r="D413" s="49" t="str">
        <f t="shared" si="14"/>
        <v/>
      </c>
    </row>
    <row r="414" spans="3:4" x14ac:dyDescent="0.3">
      <c r="C414" s="49" t="str">
        <f t="shared" si="13"/>
        <v/>
      </c>
      <c r="D414" s="49" t="str">
        <f t="shared" si="14"/>
        <v/>
      </c>
    </row>
    <row r="415" spans="3:4" x14ac:dyDescent="0.3">
      <c r="C415" s="49" t="str">
        <f t="shared" si="13"/>
        <v/>
      </c>
      <c r="D415" s="49" t="str">
        <f t="shared" si="14"/>
        <v/>
      </c>
    </row>
    <row r="416" spans="3:4" x14ac:dyDescent="0.3">
      <c r="C416" s="49" t="str">
        <f t="shared" si="13"/>
        <v/>
      </c>
      <c r="D416" s="49" t="str">
        <f t="shared" si="14"/>
        <v/>
      </c>
    </row>
    <row r="417" spans="3:4" x14ac:dyDescent="0.3">
      <c r="C417" s="49" t="str">
        <f t="shared" si="13"/>
        <v/>
      </c>
      <c r="D417" s="49" t="str">
        <f t="shared" si="14"/>
        <v/>
      </c>
    </row>
    <row r="418" spans="3:4" x14ac:dyDescent="0.3">
      <c r="C418" s="49" t="str">
        <f t="shared" si="13"/>
        <v/>
      </c>
      <c r="D418" s="49" t="str">
        <f t="shared" si="14"/>
        <v/>
      </c>
    </row>
    <row r="419" spans="3:4" x14ac:dyDescent="0.3">
      <c r="C419" s="49" t="str">
        <f t="shared" si="13"/>
        <v/>
      </c>
      <c r="D419" s="49" t="str">
        <f t="shared" si="14"/>
        <v/>
      </c>
    </row>
    <row r="420" spans="3:4" x14ac:dyDescent="0.3">
      <c r="C420" s="49" t="str">
        <f t="shared" si="13"/>
        <v/>
      </c>
      <c r="D420" s="49" t="str">
        <f t="shared" si="14"/>
        <v/>
      </c>
    </row>
    <row r="421" spans="3:4" x14ac:dyDescent="0.3">
      <c r="C421" s="49" t="str">
        <f t="shared" si="13"/>
        <v/>
      </c>
      <c r="D421" s="49" t="str">
        <f t="shared" si="14"/>
        <v/>
      </c>
    </row>
    <row r="422" spans="3:4" x14ac:dyDescent="0.3">
      <c r="C422" s="49" t="str">
        <f t="shared" si="13"/>
        <v/>
      </c>
      <c r="D422" s="49" t="str">
        <f t="shared" si="14"/>
        <v/>
      </c>
    </row>
    <row r="423" spans="3:4" x14ac:dyDescent="0.3">
      <c r="C423" s="49" t="str">
        <f t="shared" si="13"/>
        <v/>
      </c>
      <c r="D423" s="49" t="str">
        <f t="shared" si="14"/>
        <v/>
      </c>
    </row>
    <row r="424" spans="3:4" x14ac:dyDescent="0.3">
      <c r="C424" s="49" t="str">
        <f t="shared" si="13"/>
        <v/>
      </c>
      <c r="D424" s="49" t="str">
        <f t="shared" si="14"/>
        <v/>
      </c>
    </row>
    <row r="425" spans="3:4" x14ac:dyDescent="0.3">
      <c r="C425" s="49" t="str">
        <f t="shared" si="13"/>
        <v/>
      </c>
      <c r="D425" s="49" t="str">
        <f t="shared" si="14"/>
        <v/>
      </c>
    </row>
    <row r="426" spans="3:4" x14ac:dyDescent="0.3">
      <c r="C426" s="49" t="str">
        <f t="shared" si="13"/>
        <v/>
      </c>
      <c r="D426" s="49" t="str">
        <f t="shared" si="14"/>
        <v/>
      </c>
    </row>
    <row r="427" spans="3:4" x14ac:dyDescent="0.3">
      <c r="C427" s="49" t="str">
        <f t="shared" si="13"/>
        <v/>
      </c>
      <c r="D427" s="49" t="str">
        <f t="shared" si="14"/>
        <v/>
      </c>
    </row>
    <row r="428" spans="3:4" x14ac:dyDescent="0.3">
      <c r="C428" s="49" t="str">
        <f t="shared" si="13"/>
        <v/>
      </c>
      <c r="D428" s="49" t="str">
        <f t="shared" si="14"/>
        <v/>
      </c>
    </row>
    <row r="429" spans="3:4" x14ac:dyDescent="0.3">
      <c r="C429" s="49" t="str">
        <f t="shared" si="13"/>
        <v/>
      </c>
      <c r="D429" s="49" t="str">
        <f t="shared" si="14"/>
        <v/>
      </c>
    </row>
    <row r="430" spans="3:4" x14ac:dyDescent="0.3">
      <c r="C430" s="49" t="str">
        <f t="shared" si="13"/>
        <v/>
      </c>
      <c r="D430" s="49" t="str">
        <f t="shared" si="14"/>
        <v/>
      </c>
    </row>
    <row r="431" spans="3:4" x14ac:dyDescent="0.3">
      <c r="C431" s="49" t="str">
        <f t="shared" si="13"/>
        <v/>
      </c>
      <c r="D431" s="49" t="str">
        <f t="shared" si="14"/>
        <v/>
      </c>
    </row>
    <row r="432" spans="3:4" x14ac:dyDescent="0.3">
      <c r="C432" s="49" t="str">
        <f t="shared" si="13"/>
        <v/>
      </c>
      <c r="D432" s="49" t="str">
        <f t="shared" si="14"/>
        <v/>
      </c>
    </row>
    <row r="433" spans="3:4" x14ac:dyDescent="0.3">
      <c r="C433" s="49" t="str">
        <f t="shared" si="13"/>
        <v/>
      </c>
      <c r="D433" s="49" t="str">
        <f t="shared" si="14"/>
        <v/>
      </c>
    </row>
    <row r="434" spans="3:4" x14ac:dyDescent="0.3">
      <c r="C434" s="49" t="str">
        <f t="shared" si="13"/>
        <v/>
      </c>
      <c r="D434" s="49" t="str">
        <f t="shared" si="14"/>
        <v/>
      </c>
    </row>
    <row r="435" spans="3:4" x14ac:dyDescent="0.3">
      <c r="C435" s="49" t="str">
        <f t="shared" si="13"/>
        <v/>
      </c>
      <c r="D435" s="49" t="str">
        <f t="shared" si="14"/>
        <v/>
      </c>
    </row>
    <row r="436" spans="3:4" x14ac:dyDescent="0.3">
      <c r="C436" s="49" t="str">
        <f t="shared" si="13"/>
        <v/>
      </c>
      <c r="D436" s="49" t="str">
        <f t="shared" si="14"/>
        <v/>
      </c>
    </row>
    <row r="437" spans="3:4" x14ac:dyDescent="0.3">
      <c r="C437" s="49" t="str">
        <f t="shared" si="13"/>
        <v/>
      </c>
      <c r="D437" s="49" t="str">
        <f t="shared" si="14"/>
        <v/>
      </c>
    </row>
    <row r="438" spans="3:4" x14ac:dyDescent="0.3">
      <c r="C438" s="49" t="str">
        <f t="shared" si="13"/>
        <v/>
      </c>
      <c r="D438" s="49" t="str">
        <f t="shared" si="14"/>
        <v/>
      </c>
    </row>
    <row r="439" spans="3:4" x14ac:dyDescent="0.3">
      <c r="C439" s="49" t="str">
        <f t="shared" si="13"/>
        <v/>
      </c>
      <c r="D439" s="49" t="str">
        <f t="shared" si="14"/>
        <v/>
      </c>
    </row>
    <row r="440" spans="3:4" x14ac:dyDescent="0.3">
      <c r="C440" s="49" t="str">
        <f t="shared" si="13"/>
        <v/>
      </c>
      <c r="D440" s="49" t="str">
        <f t="shared" si="14"/>
        <v/>
      </c>
    </row>
    <row r="441" spans="3:4" x14ac:dyDescent="0.3">
      <c r="C441" s="49" t="str">
        <f t="shared" si="13"/>
        <v/>
      </c>
      <c r="D441" s="49" t="str">
        <f t="shared" si="14"/>
        <v/>
      </c>
    </row>
  </sheetData>
  <phoneticPr fontId="2" type="noConversion"/>
  <hyperlinks>
    <hyperlink ref="G157" r:id="rId1"/>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2025-08-25T11:18:14Z</dcterms:modified>
</cp:coreProperties>
</file>