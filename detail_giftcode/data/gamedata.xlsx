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494" i="1" l="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<sst xmlns="http://schemas.openxmlformats.org/spreadsheetml/2006/main" count="13438" uniqueCount="8865">
  <si>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</si>
  <si>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</si>
  <si>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</si>
  <si>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</si>
  <si>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</si>
  <si>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</si>
  <si>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</si>
  <si>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</si>
  <si>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</si>
  <si>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</si>
  <si>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</si>
  <si>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</si>
  <si>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</si>
  <si>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</si>
  <si>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</si>
  <si>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</si>
  <si>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</si>
  <si>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</si>
  <si>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</si>
  <si>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</si>
  <si>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</si>
  <si>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</si>
  <si>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</si>
  <si>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</si>
  <si>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</si>
  <si>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</si>
  <si>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</si>
  <si>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</si>
  <si>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</si>
  <si>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</si>
  <si>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</si>
  <si>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</si>
  <si>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</si>
  <si>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</si>
  <si>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</si>
  <si>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</si>
  <si>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</si>
  <si>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</si>
  <si>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</si>
  <si>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</si>
  <si>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</si>
  <si>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</si>
  <si>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</si>
  <si>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</si>
  <si>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</si>
  <si>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</si>
  <si>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</si>
  <si>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</si>
  <si>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</si>
  <si>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</si>
  <si>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</si>
  <si>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</si>
  <si>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</si>
  <si>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</si>
  <si>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</si>
  <si>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</si>
  <si>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</si>
  <si>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</si>
  <si>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</si>
  <si>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</si>
  <si>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</si>
  <si>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</si>
  <si>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</si>
  <si>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</si>
  <si>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</si>
  <si>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</si>
  <si>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</si>
  <si>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</si>
  <si>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</si>
  <si>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</si>
  <si>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</si>
  <si>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</si>
  <si>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</si>
  <si>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</si>
  <si>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</si>
  <si>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</si>
  <si>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</si>
  <si>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</si>
  <si>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</si>
  <si>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</si>
  <si>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</si>
  <si>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</si>
  <si>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</si>
  <si>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</si>
  <si>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</si>
  <si>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</si>
  <si>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</si>
  <si>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</si>
  <si>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</si>
  <si>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</si>
  <si>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</si>
  <si>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</si>
  <si>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</si>
  <si>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</si>
  <si>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</si>
  <si>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</si>
  <si>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</si>
  <si>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</si>
  <si>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</si>
  <si>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</si>
  <si>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</si>
  <si>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</si>
  <si>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</si>
  <si>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</si>
  <si>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</si>
  <si>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</si>
  <si>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</si>
  <si>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</si>
  <si>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</si>
  <si>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</si>
  <si>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</si>
  <si>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</si>
  <si>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</si>
  <si>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</si>
  <si>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</si>
  <si>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</si>
  <si>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</si>
  <si>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</si>
  <si>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</si>
  <si>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</si>
  <si>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</si>
  <si>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</si>
  <si>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</si>
  <si>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</si>
  <si>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</si>
  <si>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</si>
  <si>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</si>
  <si>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</si>
  <si>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</si>
  <si>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</si>
  <si>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</si>
  <si>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</si>
  <si>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</si>
  <si>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</si>
  <si>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</si>
  <si>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</si>
  <si>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</si>
  <si>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</si>
  <si>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</si>
  <si>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</si>
  <si>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</si>
  <si>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</si>
  <si>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</si>
  <si>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</si>
  <si>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</si>
  <si>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</si>
  <si>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</si>
  <si>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</si>
  <si>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</si>
  <si>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</si>
  <si>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</si>
  <si>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</si>
  <si>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</si>
  <si>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</si>
  <si>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</si>
  <si>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</si>
  <si>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</si>
  <si>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</si>
  <si>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</si>
  <si>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</si>
  <si>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</si>
  <si>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</si>
  <si>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</si>
  <si>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</si>
  <si>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</si>
  <si>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</si>
  <si>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</si>
  <si>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</si>
  <si>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</si>
  <si>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</si>
  <si>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</si>
  <si>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</si>
  <si>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</si>
  <si>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</si>
  <si>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</si>
  <si>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</si>
  <si>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</si>
  <si>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</si>
  <si>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</si>
  <si>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</si>
  <si>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</si>
  <si>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</si>
  <si>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</si>
  <si>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</si>
  <si>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</si>
  <si>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</si>
  <si>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</si>
  <si>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</si>
  <si>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</si>
  <si>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</si>
  <si>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</si>
  <si>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</si>
  <si>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</si>
  <si>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</si>
  <si>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</si>
  <si>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</si>
  <si>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</si>
  <si>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</si>
  <si>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</si>
  <si>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</si>
  <si>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</si>
  <si>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</si>
  <si>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</si>
  <si>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</si>
  <si>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</si>
  <si>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</si>
  <si>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</si>
  <si>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</si>
  <si>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</si>
  <si>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</si>
  <si>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</si>
  <si>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</si>
  <si>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</si>
  <si>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</si>
  <si>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</si>
  <si>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</si>
  <si>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</si>
  <si>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</si>
  <si>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</si>
  <si>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</si>
  <si>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</si>
  <si>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</si>
  <si>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</si>
  <si>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</si>
  <si>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</si>
  <si>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</si>
  <si>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</si>
  <si>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</si>
  <si>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</si>
  <si>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</si>
  <si>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</si>
  <si>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</si>
  <si>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</si>
  <si>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</si>
  <si>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</si>
  <si>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</si>
  <si>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</si>
  <si>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</si>
  <si>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</si>
  <si>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</si>
  <si>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</si>
  <si>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</si>
  <si>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</si>
  <si>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</si>
  <si>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</si>
  <si>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</si>
  <si>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</si>
  <si>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</si>
  <si>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</si>
  <si>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</si>
  <si>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</si>
  <si>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</si>
  <si>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</si>
  <si>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</si>
  <si>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</si>
  <si>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</si>
  <si>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</si>
  <si>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</si>
  <si>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</si>
  <si>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</si>
  <si>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</si>
  <si>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</si>
  <si>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</si>
  <si>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</si>
  <si>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</si>
  <si>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</si>
  <si>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</si>
  <si>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</si>
  <si>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</si>
  <si>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</si>
  <si>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</si>
  <si>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</si>
  <si>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</si>
  <si>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</si>
  <si>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</si>
  <si>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</si>
  <si>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</si>
  <si>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</si>
  <si>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</si>
  <si>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</si>
  <si>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</si>
  <si>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</si>
  <si>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</si>
  <si>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</si>
  <si>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</si>
  <si>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</si>
  <si>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</si>
  <si>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</si>
  <si>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</si>
  <si>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</si>
  <si>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</si>
  <si>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</si>
  <si>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</si>
  <si>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</si>
  <si>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</si>
  <si>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</si>
  <si>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</si>
  <si>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</si>
  <si>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</si>
  <si>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</si>
  <si>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</si>
  <si>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</si>
  <si>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</si>
  <si>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</si>
  <si>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</si>
  <si>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</si>
  <si>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</si>
  <si>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</si>
  <si>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</si>
  <si>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</si>
  <si>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</si>
  <si>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</si>
  <si>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</si>
  <si>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</si>
  <si>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</si>
  <si>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</si>
  <si>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</si>
  <si>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</si>
  <si>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</si>
  <si>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</si>
  <si>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</si>
  <si>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</si>
  <si>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</si>
  <si>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</si>
  <si>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</si>
  <si>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</si>
  <si>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</si>
  <si>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</si>
  <si>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</si>
  <si>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</si>
  <si>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</si>
  <si>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</si>
  <si>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</si>
  <si>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</si>
  <si>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</si>
  <si>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</si>
  <si>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</si>
  <si>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</si>
  <si>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</si>
  <si>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</si>
  <si>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</si>
  <si>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</si>
  <si>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</si>
  <si>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</si>
  <si>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</si>
  <si>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</si>
  <si>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</si>
  <si>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</si>
  <si>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</si>
  <si>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</si>
  <si>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</si>
  <si>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</si>
  <si>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</si>
  <si>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</si>
  <si>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</si>
  <si>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</si>
  <si>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</si>
  <si>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</si>
  <si>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</si>
  <si>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</si>
  <si>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</si>
  <si>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</si>
  <si>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</si>
  <si>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</si>
  <si>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</si>
  <si>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</si>
  <si>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</si>
  <si>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</si>
  <si>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</si>
  <si>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</si>
  <si>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</si>
  <si>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</si>
  <si>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</si>
  <si>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</si>
  <si>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</si>
  <si>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</si>
  <si>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</si>
  <si>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</si>
  <si>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</si>
  <si>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</si>
  <si>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</si>
  <si>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</si>
  <si>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</si>
  <si>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</si>
  <si>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</si>
  <si>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</si>
  <si>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</si>
  <si>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</si>
  <si>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</si>
  <si>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</si>
  <si>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</si>
  <si>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</si>
  <si>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</si>
  <si>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</si>
  <si>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</si>
  <si>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</si>
  <si>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</si>
  <si>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</si>
  <si>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</si>
  <si>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</si>
  <si>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</si>
  <si>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</si>
  <si>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</si>
  <si>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</si>
  <si>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</si>
  <si>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</si>
  <si>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</si>
  <si>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</si>
  <si>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</si>
  <si>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</si>
  <si>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</si>
  <si>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</si>
  <si>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</si>
  <si>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</si>
  <si>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</si>
  <si>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</si>
  <si>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</si>
  <si>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</si>
  <si>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</si>
  <si>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</si>
  <si>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</si>
  <si>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</si>
  <si>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</si>
  <si>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</si>
  <si>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</si>
  <si>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</si>
  <si>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</si>
  <si>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</si>
  <si>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</si>
  <si>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</si>
  <si>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</si>
  <si>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</si>
  <si>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</si>
  <si>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</si>
  <si>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</si>
  <si>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</si>
  <si>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</si>
  <si>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</si>
  <si>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</si>
  <si>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</si>
  <si>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</si>
  <si>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</si>
  <si>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</si>
  <si>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</si>
  <si>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</si>
  <si>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</si>
  <si>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</si>
  <si>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</si>
  <si>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</si>
  <si>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</si>
  <si>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</si>
  <si>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</si>
  <si>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</si>
  <si>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</si>
  <si>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</si>
  <si>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</si>
  <si>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</si>
  <si>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</si>
  <si>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</si>
  <si>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</si>
  <si>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</si>
  <si>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</si>
  <si>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</si>
  <si>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</si>
  <si>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</si>
  <si>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</si>
  <si>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</si>
  <si>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</si>
  <si>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</si>
  <si>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</si>
  <si>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</si>
  <si>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</si>
  <si>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</si>
  <si>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</si>
  <si>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</si>
  <si>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</si>
  <si>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</si>
  <si>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</si>
  <si>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</si>
  <si>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</si>
  <si>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</si>
  <si>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</si>
  <si>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</si>
  <si>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</si>
  <si>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</si>
  <si>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</si>
  <si>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</si>
  <si>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</si>
  <si>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</si>
  <si>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</si>
  <si>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</si>
  <si>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</si>
  <si>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</si>
  <si>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</si>
  <si>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</si>
  <si>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</si>
  <si>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</si>
  <si>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</si>
  <si>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</si>
  <si>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</si>
  <si>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</si>
  <si>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</si>
  <si>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</si>
  <si>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</si>
  <si>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</si>
  <si>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</si>
  <si>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</si>
  <si>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</si>
  <si>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</si>
  <si>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</si>
  <si>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</si>
  <si>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</si>
  <si>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</si>
  <si>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</si>
  <si>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</si>
  <si>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</si>
  <si>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</si>
  <si>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</si>
  <si>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</si>
  <si>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</si>
  <si>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</si>
  <si>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</si>
  <si>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</si>
  <si>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</si>
  <si>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</si>
  <si>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</si>
  <si>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</si>
  <si>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</si>
  <si>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</si>
  <si>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</si>
  <si>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</si>
  <si>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</si>
  <si>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</si>
  <si>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</si>
  <si>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</si>
  <si>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</si>
  <si>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</si>
  <si>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</si>
  <si>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</si>
  <si>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</si>
  <si>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</si>
  <si>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</si>
  <si>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</si>
  <si>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</si>
  <si>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</si>
  <si>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</si>
  <si>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</si>
  <si>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</si>
  <si>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</si>
  <si>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</si>
  <si>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</si>
  <si>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</si>
  <si>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</si>
  <si>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</si>
  <si>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</si>
  <si>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</si>
  <si>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</si>
  <si>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</si>
  <si>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</si>
  <si>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</si>
  <si>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</si>
  <si>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</si>
  <si>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</si>
  <si>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</si>
  <si>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</si>
  <si>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</si>
  <si>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</si>
  <si>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</si>
  <si>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</si>
  <si>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</si>
  <si>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</si>
  <si>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</si>
  <si>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</si>
  <si>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</si>
  <si>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</si>
  <si>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</si>
  <si>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</si>
  <si>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</si>
  <si>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</si>
  <si>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</si>
  <si>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</si>
  <si>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</si>
  <si>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</si>
  <si>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</si>
  <si>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</si>
  <si>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</si>
  <si>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</si>
  <si>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</si>
  <si>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</si>
  <si>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</si>
  <si>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</si>
  <si>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</si>
  <si>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</si>
  <si>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</si>
  <si>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</si>
  <si>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</si>
  <si>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</si>
  <si>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</si>
  <si>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</si>
  <si>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</si>
  <si>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</si>
  <si>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</si>
  <si>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</si>
  <si>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</si>
  <si>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</si>
  <si>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</si>
  <si>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</si>
  <si>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</si>
  <si>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</si>
  <si>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</si>
  <si>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</si>
  <si>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</si>
  <si>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</si>
  <si>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</si>
  <si>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</si>
  <si>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</si>
  <si>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</si>
  <si>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</si>
  <si>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</si>
  <si>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</si>
  <si>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</si>
  <si>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</si>
  <si>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</si>
  <si>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</si>
  <si>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</si>
  <si>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</si>
  <si>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</si>
  <si>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</si>
  <si>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</si>
  <si>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</si>
  <si>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</si>
  <si>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</si>
  <si>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</si>
  <si>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</si>
  <si>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</si>
  <si>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</si>
  <si>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</si>
  <si>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</si>
  <si>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</si>
  <si>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</si>
  <si>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</si>
  <si>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</si>
  <si>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</si>
  <si>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</si>
  <si>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</si>
  <si>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</si>
  <si>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</si>
  <si>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</si>
  <si>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</si>
  <si>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</si>
  <si>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</si>
  <si>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</si>
  <si>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</si>
  <si>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</si>
  <si>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</si>
  <si>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</si>
  <si>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</si>
  <si>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</si>
  <si>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</si>
  <si>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</si>
  <si>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</si>
  <si>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</si>
  <si>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</si>
  <si>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</si>
  <si>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</si>
  <si>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</si>
  <si>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</si>
  <si>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</si>
  <si>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</si>
  <si>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</si>
  <si>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</si>
  <si>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</si>
  <si>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</si>
  <si>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</si>
  <si>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</si>
  <si>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</si>
  <si>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</si>
  <si>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</si>
  <si>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</si>
  <si>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</si>
  <si>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</si>
  <si>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</si>
  <si>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</si>
  <si>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</si>
  <si>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</si>
  <si>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</si>
  <si>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</si>
  <si>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</si>
  <si>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</si>
  <si>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</si>
  <si>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</si>
  <si>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</si>
  <si>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</si>
  <si>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</si>
  <si>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</si>
  <si>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</si>
  <si>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</si>
  <si>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</si>
  <si>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</si>
  <si>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</si>
  <si>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</si>
  <si>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</si>
  <si>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</si>
  <si>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</si>
  <si>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</si>
  <si>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</si>
  <si>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</si>
  <si>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</si>
  <si>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</si>
  <si>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</si>
  <si>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</si>
  <si>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</si>
  <si>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</si>
  <si>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</si>
  <si>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</si>
  <si>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</si>
  <si>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</si>
  <si>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</si>
  <si>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</si>
  <si>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</si>
  <si>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</si>
  <si>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</si>
  <si>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</si>
  <si>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</si>
  <si>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</si>
  <si>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</si>
  <si>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</si>
  <si>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</si>
  <si>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</si>
  <si>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</si>
  <si>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</si>
  <si>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</si>
  <si>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</si>
  <si>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</si>
  <si>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</si>
  <si>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</si>
  <si>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</si>
  <si>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</si>
  <si>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</si>
  <si>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</si>
  <si>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</si>
  <si>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</si>
  <si>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</si>
  <si>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</si>
  <si>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</si>
  <si>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</si>
  <si>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</si>
  <si>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</si>
  <si>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</si>
  <si>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</si>
  <si>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</si>
  <si>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</si>
  <si>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</si>
  <si>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</si>
  <si>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</si>
  <si>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</si>
  <si>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</si>
  <si>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</si>
  <si>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</si>
  <si>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</si>
  <si>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</si>
  <si>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</si>
  <si>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</si>
  <si>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</si>
  <si>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</si>
  <si>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</si>
  <si>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</si>
  <si>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</si>
  <si>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</si>
  <si>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</si>
  <si>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</si>
  <si>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</si>
  <si>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</si>
  <si>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</si>
  <si>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</si>
  <si>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</si>
  <si>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</si>
  <si>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</si>
  <si>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</si>
  <si>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</si>
  <si>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</si>
  <si>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</si>
  <si>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</si>
  <si>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</si>
  <si>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</si>
  <si>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</si>
  <si>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</si>
  <si>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</si>
  <si>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</si>
  <si>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</si>
  <si>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</si>
  <si>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</si>
  <si>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</si>
  <si>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</si>
  <si>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</si>
  <si>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</si>
  <si>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</si>
  <si>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</si>
  <si>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</si>
  <si>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</si>
  <si>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</si>
  <si>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</si>
  <si>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</si>
  <si>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</si>
  <si>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</si>
  <si>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</si>
  <si>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</si>
  <si>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</si>
  <si>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</si>
  <si>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</si>
  <si>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</si>
  <si>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</si>
  <si>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</si>
  <si>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</si>
  <si>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</si>
  <si>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</si>
  <si>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</si>
  <si>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</si>
  <si>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</si>
  <si>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</si>
  <si>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</si>
  <si>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</si>
  <si>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</si>
  <si>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</si>
  <si>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</si>
  <si>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</si>
  <si>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</si>
  <si>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</si>
  <si>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</si>
  <si>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</si>
  <si>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</si>
  <si>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</si>
  <si>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</si>
  <si>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</si>
  <si>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</si>
  <si>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</si>
  <si>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</si>
  <si>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</si>
  <si>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</si>
  <si>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</si>
  <si>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</si>
  <si>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</si>
  <si>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</si>
  <si>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</si>
  <si>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</si>
  <si>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</si>
  <si>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</si>
  <si>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</si>
  <si>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</si>
  <si>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</si>
  <si>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</si>
  <si>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</si>
  <si>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</si>
  <si>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</si>
  <si>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</si>
  <si>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</si>
  <si>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</si>
  <si>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</si>
  <si>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</si>
  <si>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</si>
  <si>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</si>
  <si>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</si>
  <si>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</si>
  <si>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</si>
  <si>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</si>
  <si>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</si>
  <si>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</si>
  <si>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</si>
  <si>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</si>
  <si>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</si>
  <si>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</si>
  <si>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</si>
  <si>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</si>
  <si>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</si>
  <si>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</si>
  <si>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</si>
  <si>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</si>
  <si>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</si>
  <si>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</si>
  <si>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</si>
  <si>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</si>
  <si>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</si>
  <si>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</si>
  <si>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</si>
  <si>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</si>
  <si>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</si>
  <si>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</si>
  <si>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</si>
  <si>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</si>
  <si>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</si>
  <si>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</si>
  <si>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</si>
  <si>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</si>
  <si>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</si>
  <si>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</si>
  <si>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</si>
  <si>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</si>
  <si>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</si>
  <si>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</si>
  <si>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</si>
  <si>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</si>
  <si>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</si>
  <si>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</si>
  <si>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</si>
  <si>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</si>
  <si>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</si>
  <si>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</si>
  <si>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</si>
  <si>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</si>
  <si>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</si>
  <si>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</si>
  <si>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</si>
  <si>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</si>
  <si>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</si>
  <si>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</si>
  <si>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</si>
  <si>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</si>
  <si>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</si>
  <si>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</si>
  <si>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</si>
  <si>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</si>
  <si>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</si>
  <si>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</si>
  <si>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</si>
  <si>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</si>
  <si>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</si>
  <si>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</si>
  <si>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</si>
  <si>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</si>
  <si>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</si>
  <si>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</si>
  <si>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</si>
  <si>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</si>
  <si>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</si>
  <si>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</si>
  <si>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</si>
  <si>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</si>
  <si>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</si>
  <si>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</si>
  <si>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</si>
  <si>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</si>
  <si>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</si>
  <si>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</si>
  <si>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</si>
  <si>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</si>
  <si>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</si>
  <si>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</si>
  <si>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</si>
  <si>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</si>
  <si>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</si>
  <si>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</si>
  <si>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</si>
  <si>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</si>
  <si>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</si>
  <si>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</si>
  <si>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</si>
  <si>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</si>
  <si>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</si>
  <si>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</si>
  <si>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</si>
  <si>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</si>
  <si>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</si>
  <si>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</si>
  <si>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</si>
  <si>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</si>
  <si>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</si>
  <si>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</si>
  <si>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</si>
  <si>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</si>
  <si>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</si>
  <si>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</si>
  <si>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</si>
  <si>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</si>
  <si>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</si>
  <si>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</si>
  <si>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</si>
  <si>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</si>
  <si>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</si>
  <si>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</si>
  <si>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</si>
  <si>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</si>
  <si>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</si>
  <si>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</si>
  <si>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</si>
  <si>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</si>
  <si>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</si>
  <si>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</si>
  <si>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</si>
  <si>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</si>
  <si>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</si>
  <si>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</si>
  <si>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</si>
  <si>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</si>
  <si>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</si>
  <si>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</si>
  <si>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</si>
  <si>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</si>
  <si>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</si>
  <si>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</si>
  <si>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</si>
  <si>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</si>
  <si>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</si>
  <si>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</si>
  <si>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</si>
  <si>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</si>
  <si>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</si>
  <si>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</si>
  <si>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</si>
  <si>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</si>
  <si>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</si>
  <si>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</si>
  <si>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</si>
  <si>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</si>
  <si>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</si>
  <si>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</si>
  <si>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</si>
  <si>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</si>
  <si>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</si>
  <si>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</si>
  <si>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</si>
  <si>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</si>
  <si>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</si>
  <si>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</si>
  <si>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</si>
  <si>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</si>
  <si>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</si>
  <si>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</si>
  <si>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</si>
  <si>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</si>
  <si>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</si>
  <si>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</si>
  <si>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</si>
  <si>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</si>
  <si>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</si>
  <si>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</si>
  <si>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</si>
  <si>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</si>
  <si>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</si>
  <si>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</si>
  <si>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</si>
  <si>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</si>
  <si>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</si>
  <si>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</si>
  <si>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</si>
  <si>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</si>
  <si>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</si>
  <si>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</si>
  <si>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</si>
  <si>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</si>
  <si>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</si>
  <si>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</si>
  <si>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</si>
  <si>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</si>
  <si>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</si>
  <si>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</si>
  <si>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</si>
  <si>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</si>
  <si>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</si>
  <si>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</si>
  <si>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</si>
  <si>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</si>
  <si>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</si>
  <si>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</si>
  <si>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</si>
  <si>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</si>
  <si>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</si>
  <si>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</si>
  <si>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</si>
  <si>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</si>
  <si>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</si>
  <si>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</si>
  <si>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</si>
  <si>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</si>
  <si>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</si>
  <si>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</si>
  <si>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</si>
  <si>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</si>
  <si>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</si>
  <si>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</si>
  <si>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</si>
  <si>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</si>
  <si>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</si>
  <si>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</si>
  <si>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</si>
  <si>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</si>
  <si>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</si>
  <si>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</si>
  <si>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</si>
  <si>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</si>
  <si>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</si>
  <si>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</si>
  <si>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</si>
  <si>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</si>
  <si>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</si>
  <si>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</si>
  <si>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</si>
  <si>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</si>
  <si>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</si>
  <si>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</si>
  <si>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</si>
  <si>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</si>
  <si>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</si>
  <si>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</si>
  <si>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</si>
  <si>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</si>
  <si>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</si>
  <si>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</si>
  <si>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</si>
  <si>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</si>
  <si>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</si>
  <si>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</si>
  <si>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</si>
  <si>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</si>
  <si>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</si>
  <si>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</si>
  <si>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</si>
  <si>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</si>
  <si>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</si>
  <si>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</si>
  <si>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</si>
  <si>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</si>
  <si>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</si>
  <si>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</si>
  <si>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</si>
  <si>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</si>
  <si>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</si>
  <si>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</si>
  <si>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</si>
  <si>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</si>
  <si>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</si>
  <si>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</si>
  <si>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</si>
  <si>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</si>
  <si>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</si>
  <si>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</si>
  <si>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</si>
  <si>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</si>
  <si>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</si>
  <si>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</si>
  <si>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</si>
  <si>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</si>
  <si>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</si>
  <si>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</si>
  <si>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</si>
  <si>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</si>
  <si>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</si>
  <si>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</si>
  <si>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</si>
  <si>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</si>
  <si>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</si>
  <si>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</si>
  <si>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</si>
  <si>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</si>
  <si>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</si>
  <si>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</si>
  <si>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</si>
  <si>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</si>
  <si>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</si>
  <si>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</si>
  <si>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</si>
  <si>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</si>
  <si>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</si>
  <si>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</si>
  <si>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</si>
  <si>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</si>
  <si>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</si>
  <si>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</si>
  <si>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</si>
  <si>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</si>
  <si>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</si>
  <si>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</si>
  <si>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</si>
  <si>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</si>
  <si>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</si>
  <si>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</si>
  <si>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</si>
  <si>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</si>
  <si>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</si>
  <si>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</si>
  <si>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</si>
  <si>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</si>
  <si>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</si>
  <si>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</si>
  <si>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</si>
  <si>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</si>
  <si>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</si>
  <si>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</si>
  <si>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</si>
  <si>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</si>
  <si>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</si>
  <si>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</si>
  <si>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</si>
  <si>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</si>
  <si>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</si>
  <si>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</si>
  <si>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</si>
  <si>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</si>
  <si>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</si>
  <si>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</si>
  <si>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</si>
  <si>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</si>
  <si>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</si>
  <si>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</si>
  <si>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</si>
  <si>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</si>
  <si>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</si>
  <si>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</si>
  <si>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</si>
  <si>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</si>
  <si>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</si>
  <si>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</si>
  <si>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</si>
  <si>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</si>
  <si>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</si>
  <si>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</si>
  <si>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</si>
  <si>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</si>
  <si>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</si>
  <si>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</si>
  <si>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</si>
  <si>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</si>
  <si>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</si>
  <si>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</si>
  <si>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</si>
  <si>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</si>
  <si>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</si>
  <si>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</si>
  <si>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</si>
  <si>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</si>
  <si>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</si>
  <si>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</si>
  <si>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</si>
  <si>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</si>
  <si>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</si>
  <si>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</si>
  <si>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</si>
  <si>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</si>
  <si>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</si>
  <si>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</si>
  <si>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</si>
  <si>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</si>
  <si>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</si>
  <si>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</si>
  <si>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</si>
  <si>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</si>
  <si>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</si>
  <si>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</si>
  <si>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</si>
  <si>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</si>
  <si>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</si>
  <si>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</si>
  <si>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</si>
  <si>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</si>
  <si>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</si>
  <si>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</si>
  <si>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</si>
  <si>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</si>
  <si>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</si>
  <si>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</si>
  <si>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</si>
  <si>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</si>
  <si>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</si>
  <si>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</si>
  <si>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</si>
  <si>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</si>
  <si>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</si>
  <si>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</si>
  <si>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</si>
  <si>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</si>
  <si>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</si>
  <si>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</si>
  <si>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</si>
  <si>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</si>
  <si>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</si>
  <si>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</si>
  <si>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</si>
  <si>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</si>
  <si>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</si>
  <si>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</si>
  <si>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</si>
  <si>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</si>
  <si>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</si>
  <si>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</si>
  <si>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</si>
  <si>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</si>
  <si>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</si>
  <si>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</si>
  <si>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</si>
  <si>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</si>
  <si>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</si>
  <si>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</si>
  <si>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</si>
  <si>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</si>
  <si>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</si>
  <si>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</si>
  <si>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</si>
  <si>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</si>
  <si>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</si>
  <si>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</si>
  <si>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</si>
  <si>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</si>
  <si>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</si>
  <si>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</si>
  <si>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</si>
  <si>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</si>
  <si>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</si>
  <si>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</si>
  <si>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</si>
  <si>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</si>
  <si>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</si>
  <si>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</si>
  <si>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</si>
  <si>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</si>
  <si>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</si>
  <si>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</si>
  <si>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</si>
  <si>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</si>
  <si>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</si>
  <si>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</si>
  <si>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</si>
  <si>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</si>
  <si>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</si>
  <si>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</si>
  <si>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</si>
  <si>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</si>
  <si>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</si>
  <si>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</si>
  <si>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</si>
  <si>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</si>
  <si>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</si>
  <si>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</si>
  <si>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</si>
  <si>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</si>
  <si>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</si>
  <si>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</si>
  <si>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</si>
  <si>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</si>
  <si>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</si>
  <si>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</si>
  <si>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</si>
  <si>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</si>
  <si>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</si>
  <si>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</si>
  <si>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</si>
  <si>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</si>
  <si>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</si>
  <si>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</si>
  <si>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</si>
  <si>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</si>
  <si>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</si>
  <si>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</si>
  <si>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</si>
  <si>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</si>
  <si>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</si>
  <si>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</si>
  <si>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</si>
  <si>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</si>
  <si>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</si>
  <si>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</si>
  <si>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</si>
  <si>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</si>
  <si>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</si>
  <si>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</si>
  <si>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</si>
  <si>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</si>
  <si>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</si>
  <si>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</si>
  <si>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</si>
  <si>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</si>
  <si>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</si>
  <si>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</si>
  <si>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</si>
  <si>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</si>
  <si>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</si>
  <si>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</si>
  <si>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</si>
  <si>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</si>
  <si>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</si>
  <si>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</si>
  <si>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</si>
  <si>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</si>
  <si>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</si>
  <si>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</si>
  <si>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</si>
  <si>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</si>
  <si>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</si>
  <si>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</si>
  <si>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</si>
  <si>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</si>
  <si>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</si>
  <si>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</si>
  <si>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</si>
  <si>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</si>
  <si>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</si>
  <si>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</si>
  <si>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</si>
  <si>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</si>
  <si>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</si>
  <si>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</si>
  <si>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</si>
  <si>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</si>
  <si>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</si>
  <si>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</si>
  <si>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</si>
  <si>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</si>
  <si>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</si>
  <si>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</si>
  <si>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</si>
  <si>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</si>
  <si>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</si>
  <si>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</si>
  <si>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</si>
  <si>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</si>
  <si>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</si>
  <si>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</si>
  <si>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</si>
  <si>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</si>
  <si>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</si>
  <si>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</si>
  <si>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</si>
  <si>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</si>
  <si>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</si>
  <si>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</si>
  <si>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</si>
  <si>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</si>
  <si>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</si>
  <si>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</si>
  <si>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</si>
  <si>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</si>
  <si>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</si>
  <si>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</si>
  <si>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</si>
  <si>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</si>
  <si>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</si>
  <si>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</si>
  <si>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</si>
  <si>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</si>
  <si>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</si>
  <si>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</si>
  <si>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</si>
  <si>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</si>
  <si>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</si>
  <si>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</si>
  <si>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</si>
  <si>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</si>
  <si>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</si>
  <si>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</si>
  <si>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</si>
  <si>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</si>
  <si>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</si>
  <si>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</si>
  <si>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</si>
  <si>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</si>
  <si>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</si>
  <si>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</si>
  <si>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</si>
  <si>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</si>
  <si>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</si>
  <si>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</si>
  <si>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</si>
  <si>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</si>
  <si>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</si>
  <si>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</si>
  <si>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</si>
  <si>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</si>
  <si>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</si>
  <si>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</si>
  <si>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</si>
  <si>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</si>
  <si>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</si>
  <si>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</si>
  <si>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</si>
  <si>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</si>
  <si>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</si>
  <si>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</si>
  <si>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</si>
  <si>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</si>
  <si>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</si>
  <si>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</si>
  <si>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</si>
  <si>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</si>
  <si>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</si>
  <si>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</si>
  <si>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</si>
  <si>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</si>
  <si>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</si>
  <si>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</si>
  <si>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</si>
  <si>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</si>
  <si>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</si>
  <si>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</si>
  <si>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</si>
  <si>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</si>
  <si>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</si>
  <si>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</si>
  <si>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</si>
  <si>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</si>
  <si>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</si>
  <si>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</si>
  <si>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</si>
  <si>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</si>
  <si>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</si>
  <si>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</si>
  <si>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</si>
  <si>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</si>
  <si>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</si>
  <si>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</si>
  <si>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</si>
  <si>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</si>
  <si>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</si>
  <si>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</si>
  <si>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</si>
  <si>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</si>
  <si>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</si>
  <si>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</si>
  <si>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</si>
  <si>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</si>
  <si>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</si>
  <si>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</si>
  <si>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</si>
  <si>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</si>
  <si>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</si>
  <si>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</si>
  <si>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</si>
  <si>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</si>
  <si>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</si>
  <si>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</si>
  <si>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</si>
  <si>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</si>
  <si>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</si>
  <si>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</si>
  <si>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</si>
  <si>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</si>
  <si>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</si>
  <si>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</si>
  <si>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</si>
  <si>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</si>
  <si>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</si>
  <si>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</si>
  <si>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</si>
  <si>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</si>
  <si>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</si>
  <si>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</si>
  <si>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</si>
  <si>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</si>
  <si>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</si>
  <si>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</si>
  <si>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</si>
  <si>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</si>
  <si>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</si>
  <si>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</si>
  <si>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</si>
  <si>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</si>
  <si>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</si>
  <si>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</si>
  <si>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</si>
  <si>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</si>
  <si>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</si>
  <si>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</si>
  <si>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</si>
  <si>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</si>
  <si>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</si>
  <si>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</si>
  <si>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</si>
  <si>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</si>
  <si>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</si>
  <si>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</si>
  <si>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</si>
  <si>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</si>
  <si>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</si>
  <si>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</si>
  <si>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</si>
  <si>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</si>
  <si>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</si>
  <si>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</si>
  <si>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</si>
  <si>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</si>
  <si>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</si>
  <si>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</si>
  <si>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</si>
  <si>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</si>
  <si>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</si>
  <si>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</si>
  <si>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</si>
  <si>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</si>
  <si>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</si>
  <si>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</si>
  <si>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</si>
  <si>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</si>
  <si>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</si>
  <si>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</si>
  <si>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</si>
  <si>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</si>
  <si>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</si>
  <si>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</si>
  <si>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</si>
  <si>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</si>
  <si>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</si>
  <si>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</si>
  <si>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</si>
  <si>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</si>
  <si>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</si>
  <si>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</si>
  <si>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</si>
  <si>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</si>
  <si>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</si>
  <si>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</si>
  <si>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</si>
  <si>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</si>
  <si>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</si>
  <si>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</si>
  <si>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</si>
  <si>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</si>
  <si>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</si>
  <si>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</si>
  <si>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</si>
  <si>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</si>
  <si>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</si>
  <si>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</si>
  <si>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</si>
  <si>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</si>
  <si>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</si>
  <si>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</si>
  <si>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</si>
  <si>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</si>
  <si>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</si>
  <si>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</si>
  <si>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</si>
  <si>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</si>
  <si>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</si>
  <si>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</si>
  <si>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</si>
  <si>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</si>
  <si>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</si>
  <si>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</si>
  <si>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</si>
  <si>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</si>
  <si>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</si>
  <si>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</si>
  <si>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</si>
  <si>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</si>
  <si>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</si>
  <si>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</si>
  <si>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</si>
  <si>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</si>
  <si>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</si>
  <si>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</si>
  <si>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</si>
  <si>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</si>
  <si>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</si>
  <si>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</si>
  <si>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</si>
  <si>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</si>
  <si>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</si>
  <si>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</si>
  <si>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</si>
  <si>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</si>
  <si>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</si>
  <si>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</si>
  <si>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</si>
  <si>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</si>
  <si>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</si>
  <si>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</si>
  <si>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</si>
  <si>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</si>
  <si>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</si>
  <si>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</si>
  <si>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</si>
  <si>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</si>
  <si>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</si>
  <si>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</si>
  <si>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</si>
  <si>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</si>
  <si>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</si>
  <si>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</si>
  <si>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</si>
  <si>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</si>
  <si>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</si>
  <si>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</si>
  <si>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</si>
  <si>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</si>
  <si>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</si>
  <si>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</si>
  <si>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</si>
  <si>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</si>
  <si>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</si>
  <si>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</si>
  <si>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</si>
  <si>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</si>
  <si>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</si>
  <si>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</si>
  <si>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</si>
  <si>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</si>
  <si>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</si>
  <si>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</si>
  <si>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</si>
  <si>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</si>
  <si>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</si>
  <si>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</si>
  <si>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</si>
  <si>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</si>
  <si>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</si>
  <si>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</si>
  <si>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</si>
  <si>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</si>
  <si>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</si>
  <si>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</si>
  <si>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</si>
  <si>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</si>
  <si>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</si>
  <si>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</si>
  <si>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</si>
  <si>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</si>
  <si>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</si>
  <si>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</si>
  <si>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</si>
  <si>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</si>
  <si>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</si>
  <si>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</si>
  <si>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</si>
  <si>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</si>
  <si>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</si>
  <si>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</si>
  <si>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</si>
  <si>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</si>
  <si>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</si>
  <si>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</si>
  <si>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</si>
  <si>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</si>
  <si>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</si>
  <si>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</si>
  <si>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</si>
  <si>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</si>
  <si>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</si>
  <si>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</si>
  <si>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</si>
  <si>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</si>
  <si>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</si>
  <si>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</si>
  <si>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</si>
  <si>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</si>
  <si>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</si>
  <si>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</si>
  <si>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</si>
  <si>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</si>
  <si>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</si>
  <si>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</si>
  <si>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</si>
  <si>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</si>
  <si>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</si>
  <si>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</si>
  <si>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</si>
  <si>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</si>
  <si>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</si>
  <si>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</si>
  <si>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</si>
  <si>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</si>
  <si>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</si>
  <si>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</si>
  <si>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</si>
  <si>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</si>
  <si>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</si>
  <si>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</si>
  <si>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</si>
  <si>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</si>
  <si>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</si>
  <si>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</si>
  <si>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</si>
  <si>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</si>
  <si>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</si>
  <si>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</si>
  <si>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</si>
  <si>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</si>
  <si>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</si>
  <si>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</si>
  <si>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</si>
  <si>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</si>
  <si>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</si>
  <si>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</si>
  <si>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</si>
  <si>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</si>
  <si>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</si>
  <si>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</si>
  <si>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</si>
  <si>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</si>
  <si>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</si>
  <si>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</si>
  <si>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</si>
  <si>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</si>
  <si>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</si>
  <si>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</si>
  <si>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</si>
  <si>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</si>
  <si>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</si>
  <si>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</si>
  <si>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</si>
  <si>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</si>
  <si>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</si>
  <si>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</si>
  <si>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</si>
  <si>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</si>
  <si>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</si>
  <si>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</si>
  <si>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</si>
  <si>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</si>
  <si>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</si>
  <si>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</si>
  <si>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</si>
  <si>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</si>
  <si>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</si>
  <si>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</si>
  <si>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</si>
  <si>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</si>
  <si>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</si>
  <si>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</si>
  <si>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</si>
  <si>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</si>
  <si>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</si>
  <si>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</si>
  <si>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</si>
  <si>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</si>
  <si>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</si>
  <si>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</si>
  <si>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</si>
  <si>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</si>
  <si>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</si>
  <si>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</si>
  <si>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</si>
  <si>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</si>
  <si>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</si>
  <si>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</si>
  <si>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</si>
  <si>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</si>
  <si>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</si>
  <si>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</si>
  <si>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</si>
  <si>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</si>
  <si>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</si>
  <si>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</si>
  <si>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</si>
  <si>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</si>
  <si>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</si>
  <si>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</si>
  <si>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</si>
  <si>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</si>
  <si>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</si>
  <si>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</si>
  <si>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</si>
  <si>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</si>
  <si>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</si>
  <si>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</si>
  <si>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</si>
  <si>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</si>
  <si>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</si>
  <si>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</si>
  <si>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</si>
  <si>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</si>
  <si>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</si>
  <si>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</si>
  <si>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</si>
  <si>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</si>
  <si>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</si>
  <si>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</si>
  <si>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</si>
  <si>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</si>
  <si>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</si>
  <si>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</si>
  <si>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</si>
  <si>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</si>
  <si>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</si>
  <si>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</si>
  <si>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</si>
  <si>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</si>
  <si>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</si>
  <si>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</si>
  <si>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</si>
  <si>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</si>
  <si>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</si>
  <si>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</si>
  <si>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</si>
  <si>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</si>
  <si>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</si>
  <si>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</si>
  <si>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</si>
  <si>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</si>
  <si>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</si>
  <si>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</si>
  <si>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</si>
  <si>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</si>
  <si>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</si>
  <si>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</si>
  <si>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</si>
  <si>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</si>
  <si>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</si>
  <si>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</si>
  <si>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</si>
  <si>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</si>
  <si>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</si>
  <si>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</si>
  <si>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</si>
  <si>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</si>
  <si>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</si>
  <si>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</si>
  <si>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</si>
  <si>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</si>
  <si>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</si>
  <si>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</si>
  <si>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</si>
  <si>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</si>
  <si>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</si>
  <si>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</si>
  <si>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</si>
  <si>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</si>
  <si>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</si>
  <si>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</si>
  <si>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</si>
  <si>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</si>
  <si>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</si>
  <si>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</si>
  <si>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</si>
  <si>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</si>
  <si>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</si>
  <si>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</si>
  <si>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</si>
  <si>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</si>
  <si>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</si>
  <si>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</si>
  <si>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</si>
  <si>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</si>
  <si>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</si>
  <si>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</si>
  <si>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</si>
  <si>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</si>
  <si>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</si>
  <si>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</si>
  <si>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</si>
  <si>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</si>
  <si>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</si>
  <si>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</si>
  <si>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</si>
  <si>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</si>
  <si>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</si>
  <si>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</si>
  <si>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</si>
  <si>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</si>
  <si>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</si>
  <si>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</si>
  <si>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</si>
  <si>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</si>
  <si>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</si>
  <si>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</si>
  <si>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</si>
  <si>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</si>
  <si>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</si>
  <si>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</si>
  <si>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</si>
  <si>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</si>
  <si>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</si>
  <si>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</si>
  <si>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</si>
  <si>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</si>
  <si>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</si>
  <si>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</si>
  <si>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</si>
  <si>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</si>
  <si>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</si>
  <si>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</si>
  <si>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</si>
  <si>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</si>
  <si>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</si>
  <si>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</si>
  <si>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</si>
  <si>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</si>
  <si>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</si>
  <si>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</si>
  <si>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</si>
  <si>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</si>
  <si>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</si>
  <si>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</si>
  <si>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</si>
  <si>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</si>
  <si>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</si>
  <si>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</si>
  <si>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</si>
  <si>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</si>
  <si>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</si>
  <si>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</si>
  <si>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</si>
  <si>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</si>
  <si>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</si>
  <si>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</si>
  <si>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</si>
  <si>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</si>
  <si>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</si>
  <si>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</si>
  <si>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</si>
  <si>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</si>
  <si>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</si>
  <si>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</si>
  <si>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</si>
  <si>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</si>
  <si>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</si>
  <si>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</si>
  <si>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</si>
  <si>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</si>
  <si>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</si>
  <si>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</si>
  <si>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</si>
  <si>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</si>
  <si>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</si>
  <si>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</si>
  <si>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</si>
  <si>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</si>
  <si>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</si>
  <si>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</si>
  <si>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</si>
  <si>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</si>
  <si>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</si>
  <si>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</si>
  <si>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</si>
  <si>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</si>
  <si>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</si>
  <si>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</si>
  <si>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</si>
  <si>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</si>
  <si>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</si>
  <si>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</si>
  <si>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</si>
  <si>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</si>
  <si>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</si>
  <si>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</si>
  <si>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</si>
  <si>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</si>
  <si>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</si>
  <si>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</si>
  <si>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</si>
  <si>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</si>
  <si>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</si>
  <si>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</si>
  <si>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</si>
  <si>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</si>
  <si>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</si>
  <si>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</si>
  <si>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</si>
  <si>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</si>
  <si>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</si>
  <si>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</si>
  <si>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</si>
  <si>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</si>
  <si>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</si>
  <si>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</si>
  <si>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</si>
  <si>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</si>
  <si>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</si>
  <si>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</si>
  <si>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</si>
  <si>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</si>
  <si>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</si>
  <si>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</si>
  <si>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</si>
  <si>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</si>
  <si>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</si>
  <si>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</si>
  <si>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</si>
  <si>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</si>
  <si>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</si>
  <si>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</si>
  <si>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</si>
  <si>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</si>
  <si>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</si>
  <si>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</si>
  <si>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</si>
  <si>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</si>
  <si>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</si>
  <si>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</si>
  <si>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</si>
  <si>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</si>
  <si>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</si>
  <si>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</si>
  <si>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</si>
  <si>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</si>
  <si>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</si>
  <si>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</si>
  <si>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</si>
  <si>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</si>
  <si>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</si>
  <si>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</si>
  <si>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</si>
  <si>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</si>
  <si>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</si>
  <si>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</si>
  <si>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</si>
  <si>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</si>
  <si>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</si>
  <si>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</si>
  <si>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</si>
  <si>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</si>
  <si>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</si>
  <si>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</si>
  <si>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</si>
  <si>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</si>
  <si>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</si>
  <si>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</si>
  <si>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</si>
  <si>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</si>
  <si>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</si>
  <si>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</si>
  <si>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</si>
  <si>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</si>
  <si>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</si>
  <si>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</si>
  <si>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</si>
  <si>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</si>
  <si>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</si>
  <si>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</si>
  <si>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</si>
  <si>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</si>
  <si>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</si>
  <si>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</si>
  <si>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</si>
  <si>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</si>
  <si>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</si>
  <si>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</si>
  <si>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</si>
  <si>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</si>
  <si>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</si>
  <si>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</si>
  <si>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</si>
  <si>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</si>
  <si>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</si>
  <si>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</si>
  <si>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</si>
  <si>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</si>
  <si>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</si>
  <si>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</si>
  <si>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</si>
  <si>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</si>
  <si>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</si>
  <si>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</si>
  <si>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</si>
  <si>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</si>
  <si>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</si>
  <si>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</si>
  <si>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</si>
  <si>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</si>
  <si>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</si>
  <si>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</si>
  <si>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</si>
  <si>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</si>
  <si>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</si>
  <si>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</si>
  <si>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</si>
  <si>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</si>
  <si>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</si>
  <si>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</si>
  <si>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</si>
  <si>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</si>
  <si>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</si>
  <si>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</si>
  <si>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</si>
  <si>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</si>
  <si>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</si>
  <si>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</si>
  <si>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</si>
  <si>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</si>
  <si>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</si>
  <si>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</si>
  <si>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</si>
  <si>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</si>
  <si>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</si>
  <si>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</si>
  <si>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</si>
  <si>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</si>
  <si>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</si>
  <si>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</si>
  <si>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</si>
  <si>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</si>
  <si>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</si>
  <si>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</si>
  <si>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</si>
  <si>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</si>
  <si>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</si>
  <si>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</si>
  <si>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</si>
  <si>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</si>
  <si>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</si>
  <si>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</si>
  <si>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</si>
  <si>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</si>
  <si>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</si>
  <si>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</si>
  <si>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</si>
  <si>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</si>
  <si>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</si>
  <si>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</si>
  <si>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</si>
  <si>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</si>
  <si>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</si>
  <si>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</si>
  <si>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</si>
  <si>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</si>
  <si>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</si>
  <si>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</si>
  <si>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</si>
  <si>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</si>
  <si>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</si>
  <si>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</si>
  <si>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</si>
  <si>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</si>
  <si>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</si>
  <si>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</si>
  <si>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</si>
  <si>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</si>
  <si>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</si>
  <si>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</si>
  <si>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</si>
  <si>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</si>
  <si>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</si>
  <si>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</si>
  <si>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</si>
  <si>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</si>
  <si>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</si>
  <si>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</si>
  <si>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</si>
  <si>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</si>
  <si>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</si>
  <si>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</si>
  <si>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</si>
  <si>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</si>
  <si>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</si>
  <si>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</si>
  <si>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</si>
  <si>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</si>
  <si>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</si>
  <si>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</si>
  <si>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</si>
  <si>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</si>
  <si>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</si>
  <si>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</si>
  <si>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</si>
  <si>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</si>
  <si>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</si>
  <si>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</si>
  <si>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</si>
  <si>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</si>
  <si>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</si>
  <si>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</si>
  <si>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</si>
  <si>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</si>
  <si>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</si>
  <si>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</si>
  <si>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</si>
  <si>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</si>
  <si>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</si>
  <si>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</si>
  <si>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</si>
  <si>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</si>
  <si>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</si>
  <si>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</si>
  <si>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</si>
  <si>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</si>
  <si>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</si>
  <si>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</si>
  <si>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</si>
  <si>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</si>
  <si>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</si>
  <si>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</si>
  <si>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</si>
  <si>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</si>
  <si>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</si>
  <si>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</si>
  <si>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</si>
  <si>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</si>
  <si>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</si>
  <si>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</si>
  <si>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</si>
  <si>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</si>
  <si>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</si>
  <si>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</si>
  <si>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</si>
  <si>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</si>
  <si>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</si>
  <si>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</si>
  <si>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</si>
  <si>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</si>
  <si>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</si>
  <si>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</si>
  <si>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</si>
  <si>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</si>
  <si>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</si>
  <si>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</si>
  <si>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</si>
  <si>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</si>
  <si>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</si>
  <si>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</si>
  <si>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</si>
  <si>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</si>
  <si>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</si>
  <si>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</si>
  <si>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</si>
  <si>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</si>
  <si>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</si>
  <si>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</si>
  <si>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</si>
  <si>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</si>
  <si>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</si>
  <si>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</si>
  <si>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</si>
  <si>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</si>
  <si>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</si>
  <si>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</si>
  <si>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</si>
  <si>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</si>
  <si>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</si>
  <si>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</si>
  <si>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</si>
  <si>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</si>
  <si>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</si>
  <si>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</si>
  <si>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</si>
  <si>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</si>
  <si>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</si>
  <si>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</si>
  <si>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</si>
  <si>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</si>
  <si>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</si>
  <si>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</si>
  <si>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</si>
  <si>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</si>
  <si>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</si>
  <si>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</si>
  <si>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</si>
  <si>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</si>
  <si>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</si>
  <si>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</si>
  <si>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</si>
  <si>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</si>
  <si>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</si>
  <si>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</si>
  <si>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</si>
  <si>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</si>
  <si>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</si>
  <si>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</si>
  <si>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</si>
  <si>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</si>
  <si>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</si>
  <si>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</si>
  <si>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</si>
  <si>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</si>
  <si>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</si>
  <si>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</si>
  <si>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</si>
  <si>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</si>
  <si>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</si>
  <si>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</si>
  <si>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</si>
  <si>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</si>
  <si>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</si>
  <si>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</si>
  <si>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</si>
  <si>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</si>
  <si>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</si>
  <si>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</si>
  <si>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</si>
  <si>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</si>
  <si>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</si>
  <si>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</si>
  <si>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</si>
  <si>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</si>
  <si>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</si>
  <si>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</si>
  <si>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</si>
  <si>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</si>
  <si>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</si>
  <si>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</si>
  <si>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</si>
  <si>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</si>
  <si>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</si>
  <si>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</si>
  <si>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</si>
  <si>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</si>
  <si>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</si>
  <si>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</si>
  <si>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</si>
  <si>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</si>
  <si>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</si>
  <si>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</si>
  <si>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</si>
  <si>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</si>
  <si>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</si>
  <si>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</si>
  <si>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</si>
  <si>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</si>
  <si>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</si>
  <si>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</si>
  <si>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</si>
  <si>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</si>
  <si>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</si>
  <si>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</si>
  <si>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</si>
  <si>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</si>
  <si>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</si>
  <si>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</si>
  <si>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</si>
  <si>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</si>
  <si>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</si>
  <si>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</si>
  <si>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</si>
  <si>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</si>
  <si>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</si>
  <si>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</si>
  <si>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</si>
  <si>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</si>
  <si>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</si>
  <si>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</si>
  <si>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</si>
  <si>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</si>
  <si>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</si>
  <si>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</si>
  <si>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</si>
  <si>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</si>
  <si>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</si>
  <si>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</si>
  <si>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</si>
  <si>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</si>
  <si>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</si>
  <si>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</si>
  <si>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</si>
  <si>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</si>
  <si>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</si>
  <si>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</si>
  <si>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</si>
  <si>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</si>
  <si>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</si>
  <si>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</si>
  <si>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</si>
  <si>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</si>
  <si>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</si>
  <si>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</si>
  <si>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</si>
  <si>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</si>
  <si>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</si>
  <si>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</si>
  <si>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</si>
  <si>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</si>
  <si>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</si>
  <si>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</si>
  <si>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</si>
  <si>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</si>
  <si>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</si>
  <si>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</si>
  <si>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</si>
  <si>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</si>
  <si>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</si>
  <si>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</si>
  <si>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</si>
  <si>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</si>
  <si>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</si>
  <si>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</si>
  <si>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</si>
  <si>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</si>
  <si>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</si>
  <si>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</si>
  <si>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</si>
  <si>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</si>
  <si>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</si>
  <si>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</si>
  <si>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</si>
  <si>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</si>
  <si>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</si>
  <si>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</si>
  <si>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</si>
  <si>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</si>
  <si>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</si>
  <si>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</si>
  <si>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</si>
  <si>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</si>
  <si>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</si>
  <si>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</si>
  <si>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</si>
  <si>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</si>
  <si>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</si>
  <si>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</si>
  <si>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</si>
  <si>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</si>
  <si>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</si>
  <si>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</si>
  <si>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</si>
  <si>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</si>
  <si>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</si>
  <si>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</si>
  <si>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</si>
  <si>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</si>
  <si>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</si>
  <si>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</si>
  <si>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</si>
  <si>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</si>
  <si>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</si>
  <si>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</si>
  <si>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</si>
  <si>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</si>
  <si>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</si>
  <si>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</si>
  <si>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</si>
  <si>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</si>
  <si>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</si>
  <si>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</si>
  <si>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</si>
  <si>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</si>
  <si>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</si>
  <si>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</si>
  <si>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</si>
  <si>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</si>
  <si>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</si>
  <si>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</si>
  <si>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</si>
  <si>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</si>
  <si>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</si>
  <si>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</si>
  <si>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</si>
  <si>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</si>
  <si>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</si>
  <si>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</si>
  <si>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</si>
  <si>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</si>
  <si>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</si>
  <si>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</si>
  <si>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</si>
  <si>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</si>
  <si>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</si>
  <si>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</si>
  <si>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</si>
  <si>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</si>
  <si>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</si>
  <si>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</si>
  <si>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</si>
  <si>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</si>
  <si>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</si>
  <si>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</si>
  <si>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</si>
  <si>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</si>
  <si>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</si>
  <si>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</si>
  <si>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</si>
  <si>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</si>
  <si>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</si>
  <si>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</si>
  <si>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</si>
  <si>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</si>
  <si>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</si>
  <si>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</si>
  <si>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</si>
  <si>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</si>
  <si>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</si>
  <si>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</si>
  <si>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</si>
  <si>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</si>
  <si>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</si>
  <si>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</si>
  <si>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</si>
  <si>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</si>
  <si>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</si>
  <si>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</si>
  <si>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</si>
  <si>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</si>
  <si>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</si>
  <si>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</si>
  <si>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</si>
  <si>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</si>
  <si>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</si>
  <si>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</si>
  <si>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</si>
  <si>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</si>
  <si>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</si>
  <si>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</si>
  <si>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</si>
  <si>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</si>
  <si>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</si>
  <si>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</si>
  <si>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</si>
  <si>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</si>
  <si>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</si>
  <si>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</si>
  <si>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</si>
  <si>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</si>
  <si>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</si>
  <si>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</si>
  <si>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</si>
  <si>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</si>
  <si>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</si>
  <si>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</si>
  <si>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</si>
  <si>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</si>
  <si>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</si>
  <si>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</si>
  <si>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</si>
  <si>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</si>
  <si>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</si>
  <si>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</si>
  <si>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</si>
  <si>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</si>
  <si>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</si>
  <si>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</si>
  <si>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</si>
  <si>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</si>
  <si>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</si>
  <si>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</si>
  <si>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</si>
  <si>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</si>
  <si>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</si>
  <si>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</si>
  <si>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</si>
  <si>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</si>
  <si>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</si>
  <si>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</si>
  <si>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</si>
  <si>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</si>
  <si>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</si>
  <si>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</si>
  <si>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</si>
  <si>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</si>
  <si>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</si>
  <si>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</si>
  <si>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</si>
  <si>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</si>
  <si>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</si>
  <si>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</si>
  <si>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</si>
  <si>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</si>
  <si>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</si>
  <si>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</si>
  <si>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</si>
  <si>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</si>
  <si>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</si>
  <si>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</si>
  <si>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</si>
  <si>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</si>
  <si>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</si>
  <si>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</si>
  <si>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</si>
  <si>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</si>
  <si>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</si>
  <si>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</si>
  <si>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</si>
  <si>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</si>
  <si>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</si>
  <si>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</si>
  <si>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</si>
  <si>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</si>
  <si>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</si>
  <si>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</si>
  <si>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</si>
  <si>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</si>
  <si>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</si>
  <si>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</si>
  <si>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</si>
  <si>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</si>
  <si>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</si>
  <si>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</si>
  <si>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</si>
  <si>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</si>
  <si>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</si>
  <si>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</si>
  <si>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</si>
  <si>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</si>
  <si>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</si>
  <si>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</si>
  <si>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</si>
  <si>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</si>
  <si>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</si>
  <si>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</si>
  <si>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</si>
  <si>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</si>
  <si>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</si>
  <si>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</si>
  <si>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</si>
  <si>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</si>
  <si>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</si>
  <si>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</si>
  <si>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</si>
  <si>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</si>
  <si>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</si>
  <si>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</si>
  <si>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</si>
  <si>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</si>
  <si>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</si>
  <si>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</si>
  <si>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</si>
  <si>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</si>
  <si>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</si>
  <si>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</si>
  <si>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</si>
  <si>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</si>
  <si>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</si>
  <si>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</si>
  <si>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</si>
  <si>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</si>
  <si>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</si>
  <si>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</si>
  <si>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</si>
  <si>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</si>
  <si>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</si>
  <si>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</si>
  <si>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</si>
  <si>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</si>
  <si>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</si>
  <si>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</si>
  <si>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</si>
  <si>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</si>
  <si>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</si>
  <si>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</si>
  <si>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</si>
  <si>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</si>
  <si>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</si>
  <si>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</si>
  <si>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</si>
  <si>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</si>
  <si>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</si>
  <si>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</si>
  <si>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</si>
  <si>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</si>
  <si>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</si>
  <si>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</si>
  <si>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</si>
  <si>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</si>
  <si>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</si>
  <si>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</si>
  <si>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</si>
  <si>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</si>
  <si>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</si>
  <si>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</si>
  <si>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</si>
  <si>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</si>
  <si>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</si>
  <si>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</si>
  <si>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</si>
  <si>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</si>
  <si>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</si>
  <si>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</si>
  <si>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</si>
  <si>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</si>
  <si>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</si>
  <si>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</si>
  <si>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</si>
  <si>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</si>
  <si>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</si>
  <si>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</si>
  <si>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</si>
  <si>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</si>
  <si>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</si>
  <si>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</si>
  <si>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</si>
  <si>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</si>
  <si>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</si>
  <si>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</si>
  <si>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</si>
  <si>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</si>
  <si>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</si>
  <si>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</si>
  <si>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</si>
  <si>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</si>
  <si>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</si>
  <si>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</si>
  <si>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</si>
  <si>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</si>
  <si>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</si>
  <si>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</si>
  <si>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</si>
  <si>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</si>
  <si>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</si>
  <si>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</si>
  <si>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</si>
  <si>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</si>
  <si>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</si>
  <si>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</si>
  <si>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</si>
  <si>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</si>
  <si>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</si>
  <si>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</si>
  <si>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</si>
  <si>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</si>
  <si>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</si>
  <si>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</si>
  <si>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</si>
  <si>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</si>
  <si>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</si>
  <si>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</si>
  <si>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</si>
  <si>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</si>
  <si>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</si>
  <si>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</si>
  <si>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</si>
  <si>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</si>
  <si>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</si>
  <si>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</si>
  <si>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</si>
  <si>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</si>
  <si>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</si>
  <si>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</si>
  <si>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</si>
  <si>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</si>
  <si>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</si>
  <si>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</si>
  <si>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</si>
  <si>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</si>
  <si>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</si>
  <si>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</si>
  <si>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</si>
  <si>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</si>
  <si>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</si>
  <si>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</si>
  <si>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</si>
  <si>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</si>
  <si>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</si>
  <si>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</si>
  <si>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</si>
  <si>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</si>
  <si>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</si>
  <si>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</si>
  <si>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</si>
  <si>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</si>
  <si>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</si>
  <si>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</si>
  <si>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</si>
  <si>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</si>
  <si>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</si>
  <si>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</si>
  <si>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</si>
  <si>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</si>
  <si>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</si>
  <si>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</si>
  <si>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</si>
  <si>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</si>
  <si>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</si>
  <si>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</si>
  <si>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</si>
  <si>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</si>
  <si>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</si>
  <si>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</si>
  <si>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</si>
  <si>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</si>
  <si>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</si>
  <si>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</si>
  <si>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</si>
  <si>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</si>
  <si>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</si>
  <si>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</si>
  <si>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</si>
  <si>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</si>
  <si>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</si>
  <si>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</si>
  <si>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</si>
  <si>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</si>
  <si>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</si>
  <si>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</si>
  <si>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</si>
  <si>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</si>
  <si>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</si>
  <si>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</si>
  <si>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</si>
  <si>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</si>
  <si>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</si>
  <si>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</si>
  <si>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</si>
  <si>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</si>
  <si>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</si>
  <si>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</si>
  <si>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</si>
  <si>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</si>
  <si>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</si>
  <si>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</si>
  <si>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</si>
  <si>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</si>
  <si>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</si>
  <si>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</si>
  <si>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</si>
  <si>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</si>
  <si>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</si>
  <si>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</si>
  <si>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</si>
  <si>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</si>
  <si>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</si>
  <si>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</si>
  <si>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</si>
  <si>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</si>
  <si>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</si>
  <si>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</si>
  <si>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</si>
  <si>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</si>
  <si>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</si>
  <si>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</si>
  <si>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</si>
  <si>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</si>
  <si>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</si>
  <si>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</si>
  <si>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</si>
  <si>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</si>
  <si>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</si>
  <si>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</si>
  <si>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</si>
  <si>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</si>
  <si>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</si>
  <si>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</si>
  <si>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</si>
  <si>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</si>
  <si>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</si>
  <si>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</si>
  <si>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</si>
  <si>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</si>
  <si>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</si>
  <si>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</si>
  <si>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</si>
  <si>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</si>
  <si>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</si>
  <si>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</si>
  <si>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</si>
  <si>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</si>
  <si>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</si>
  <si>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</si>
  <si>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</si>
  <si>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</si>
  <si>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</si>
  <si>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</si>
  <si>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</si>
  <si>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</si>
  <si>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</si>
  <si>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</si>
  <si>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</si>
  <si>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</si>
  <si>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</si>
  <si>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</si>
  <si>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</si>
  <si>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</si>
  <si>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</si>
  <si>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</si>
  <si>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</si>
  <si>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</si>
  <si>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</si>
  <si>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</si>
  <si>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</si>
  <si>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</si>
  <si>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</si>
  <si>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</si>
  <si>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</si>
  <si>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</si>
  <si>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</si>
  <si>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</si>
  <si>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</si>
  <si>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</si>
  <si>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</si>
  <si>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</si>
  <si>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</si>
  <si>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</si>
  <si>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</si>
  <si>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</si>
  <si>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</si>
  <si>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</si>
  <si>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</si>
  <si>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</si>
  <si>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</si>
  <si>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</si>
  <si>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</si>
  <si>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</si>
  <si>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</si>
  <si>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</si>
  <si>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</si>
  <si>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</si>
  <si>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</si>
  <si>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</si>
  <si>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</si>
  <si>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</si>
  <si>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</si>
  <si>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</si>
  <si>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</si>
  <si>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</si>
  <si>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</si>
  <si>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</si>
  <si>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</si>
  <si>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</si>
  <si>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</si>
  <si>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</si>
  <si>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</si>
  <si>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</si>
  <si>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</si>
  <si>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</si>
  <si>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</si>
  <si>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</si>
  <si>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</si>
  <si>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</si>
  <si>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</si>
  <si>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</si>
  <si>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</si>
  <si>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</si>
  <si>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</si>
  <si>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</si>
  <si>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</si>
  <si>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</si>
  <si>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</si>
  <si>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</si>
  <si>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</si>
  <si>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</si>
  <si>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</si>
  <si>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</si>
  <si>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</si>
  <si>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</si>
  <si>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</si>
  <si>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</si>
  <si>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</si>
  <si>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</si>
  <si>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</si>
  <si>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</si>
  <si>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</si>
  <si>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</si>
  <si>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</si>
  <si>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</si>
  <si>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</si>
  <si>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</si>
  <si>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</si>
  <si>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</si>
  <si>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</si>
  <si>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</si>
  <si>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</si>
  <si>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</si>
  <si>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</si>
  <si>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</si>
  <si>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</si>
  <si>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</si>
  <si>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</si>
  <si>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</si>
  <si>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</si>
  <si>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</si>
  <si>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</si>
  <si>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</si>
  <si>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</si>
  <si>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</si>
  <si>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</si>
  <si>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</si>
  <si>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</si>
  <si>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</si>
  <si>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</si>
  <si>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</si>
  <si>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</si>
  <si>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</si>
  <si>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</si>
  <si>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</si>
  <si>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</si>
  <si>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</si>
  <si>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</si>
  <si>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</si>
  <si>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</si>
  <si>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</si>
  <si>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</si>
  <si>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</si>
  <si>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</si>
  <si>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</si>
  <si>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</si>
  <si>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</si>
  <si>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</si>
  <si>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</si>
  <si>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</si>
  <si>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</si>
  <si>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</si>
  <si>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</si>
  <si>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</si>
  <si>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</si>
  <si>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</si>
  <si>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</si>
  <si>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</si>
  <si>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</si>
  <si>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</si>
  <si>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</si>
  <si>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</si>
  <si>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</si>
  <si>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</si>
  <si>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</si>
  <si>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</si>
  <si>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</si>
  <si>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</si>
  <si>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</si>
  <si>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</si>
  <si>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</si>
  <si>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</si>
  <si>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</si>
  <si>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</si>
  <si>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</si>
  <si>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</si>
  <si>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</si>
  <si>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</si>
  <si>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</si>
  <si>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</si>
  <si>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</si>
  <si>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</si>
  <si>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</si>
  <si>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</si>
  <si>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</si>
  <si>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</si>
  <si>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</si>
  <si>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</si>
  <si>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</si>
  <si>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</si>
  <si>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</si>
  <si>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</si>
  <si>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</si>
  <si>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</si>
  <si>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</si>
  <si>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</si>
  <si>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</si>
  <si>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</si>
  <si>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</si>
  <si>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</si>
  <si>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</si>
  <si>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</si>
  <si>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</si>
  <si>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</si>
  <si>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</si>
  <si>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</si>
  <si>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</si>
  <si>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</si>
  <si>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</si>
  <si>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</si>
  <si>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</si>
  <si>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</si>
  <si>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</si>
  <si>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</si>
  <si>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</si>
  <si>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</si>
  <si>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</si>
  <si>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</si>
  <si>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</si>
  <si>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</si>
  <si>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</si>
  <si>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</si>
  <si>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</si>
  <si>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</si>
  <si>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</si>
  <si>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</si>
  <si>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</si>
  <si>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</si>
  <si>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</si>
  <si>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</si>
  <si>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</si>
  <si>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</si>
  <si>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</si>
  <si>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</si>
  <si>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</si>
  <si>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</si>
  <si>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</si>
  <si>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</si>
  <si>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</si>
  <si>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</si>
  <si>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</si>
  <si>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</si>
  <si>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</si>
  <si>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</si>
  <si>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</si>
  <si>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</si>
  <si>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</si>
  <si>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</si>
  <si>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</si>
  <si>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</si>
  <si>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</si>
  <si>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</si>
  <si>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</si>
  <si>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</si>
  <si>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</si>
  <si>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</si>
  <si>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</si>
  <si>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</si>
  <si>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</si>
  <si>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</si>
  <si>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</si>
  <si>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</si>
  <si>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</si>
  <si>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</si>
  <si>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</si>
  <si>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</si>
  <si>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</si>
  <si>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</si>
  <si>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</si>
  <si>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</si>
  <si>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</si>
  <si>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</si>
  <si>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</si>
  <si>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</si>
  <si>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</si>
  <si>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</si>
  <si>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</si>
  <si>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</si>
  <si>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</si>
  <si>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</si>
  <si>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</si>
  <si>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</si>
  <si>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</si>
  <si>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</si>
  <si>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</si>
  <si>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</si>
  <si>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</si>
  <si>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</si>
  <si>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</si>
  <si>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</si>
  <si>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</si>
  <si>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</si>
  <si>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</si>
  <si>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</si>
  <si>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</si>
  <si>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</si>
  <si>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</si>
  <si>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</si>
  <si>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</si>
  <si>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</si>
  <si>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</si>
  <si>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</si>
  <si>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</si>
  <si>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</si>
  <si>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</si>
  <si>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</si>
  <si>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</si>
  <si>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</si>
  <si>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</si>
  <si>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</si>
  <si>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</si>
  <si>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</si>
  <si>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</si>
  <si>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</si>
  <si>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</si>
  <si>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</si>
  <si>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</si>
  <si>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</si>
  <si>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</si>
  <si>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</si>
  <si>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</si>
  <si>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</si>
  <si>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</si>
  <si>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</si>
  <si>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</si>
  <si>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</si>
  <si>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</si>
  <si>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</si>
  <si>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</si>
  <si>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</si>
  <si>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</si>
  <si>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</si>
  <si>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</si>
  <si>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</si>
  <si>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</si>
  <si>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</si>
  <si>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</si>
  <si>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</si>
  <si>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</si>
  <si>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</si>
  <si>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</si>
  <si>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</si>
  <si>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</si>
  <si>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</si>
  <si>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</si>
  <si>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</si>
  <si>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</si>
  <si>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</si>
  <si>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</si>
  <si>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</si>
  <si>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</si>
  <si>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</si>
  <si>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</si>
  <si>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</si>
  <si>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</si>
  <si>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</si>
  <si>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</si>
  <si>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</si>
  <si>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</si>
  <si>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</si>
  <si>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</si>
  <si>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</si>
  <si>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</si>
  <si>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</si>
  <si>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</si>
  <si>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</si>
  <si>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</si>
  <si>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</si>
  <si>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</si>
  <si>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</si>
  <si>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</si>
  <si>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</si>
  <si>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</si>
  <si>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</si>
  <si>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</si>
  <si>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</si>
  <si>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</si>
  <si>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</si>
  <si>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</si>
  <si>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</si>
  <si>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</si>
  <si>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</si>
  <si>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</si>
  <si>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</si>
  <si>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</si>
  <si>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</si>
  <si>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</si>
  <si>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</si>
  <si>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</si>
  <si>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</si>
  <si>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</si>
  <si>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</si>
  <si>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</si>
  <si>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</si>
  <si>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</si>
  <si>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</si>
  <si>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</si>
  <si>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</si>
  <si>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</si>
  <si>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</si>
  <si>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</si>
  <si>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</si>
  <si>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</si>
  <si>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</si>
  <si>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</si>
  <si>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</si>
  <si>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</si>
  <si>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</si>
  <si>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</si>
  <si>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</si>
  <si>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</si>
  <si>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</si>
  <si>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</si>
  <si>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</si>
  <si>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</si>
  <si>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</si>
  <si>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</si>
  <si>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</si>
  <si>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</si>
  <si>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</si>
  <si>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</si>
  <si>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</si>
  <si>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</si>
  <si>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</si>
  <si>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</si>
  <si>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</si>
  <si>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</si>
  <si>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</si>
  <si>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</si>
  <si>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</si>
  <si>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</si>
  <si>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</si>
  <si>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</si>
  <si>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</si>
  <si>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</si>
  <si>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</si>
  <si>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</si>
  <si>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</si>
  <si>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</si>
  <si>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</si>
  <si>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</si>
  <si>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</si>
  <si>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</si>
  <si>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</si>
  <si>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</si>
  <si>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</si>
  <si>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</si>
  <si>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</si>
  <si>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</si>
  <si>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</si>
  <si>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</si>
  <si>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</si>
  <si>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</si>
  <si>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</si>
  <si>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</si>
  <si>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</si>
  <si>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</si>
  <si>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</si>
  <si>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</si>
  <si>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</si>
  <si>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</si>
  <si>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</si>
  <si>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</si>
  <si>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</si>
  <si>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</si>
  <si>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</si>
  <si>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</si>
  <si>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</si>
  <si>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</si>
  <si>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</si>
  <si>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</si>
  <si>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</si>
  <si>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</si>
  <si>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</si>
  <si>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</si>
  <si>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</si>
  <si>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</si>
  <si>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</si>
  <si>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</si>
  <si>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</si>
  <si>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</si>
  <si>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</si>
  <si>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</si>
  <si>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</si>
  <si>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</si>
  <si>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</si>
  <si>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</si>
  <si>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</si>
  <si>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</si>
  <si>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</si>
  <si>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</si>
  <si>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</si>
  <si>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</si>
  <si>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</si>
  <si>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</si>
  <si>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</si>
  <si>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</si>
  <si>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</si>
  <si>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</si>
  <si>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</si>
  <si>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</si>
  <si>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</si>
  <si>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</si>
  <si>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</si>
  <si>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</si>
  <si>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</si>
  <si>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</si>
  <si>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</si>
  <si>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</si>
  <si>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</si>
  <si>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</si>
  <si>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</si>
  <si>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</si>
  <si>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</si>
  <si>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</si>
  <si>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</si>
  <si>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</si>
  <si>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</si>
  <si>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</si>
  <si>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</si>
  <si>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</si>
  <si>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</si>
  <si>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</si>
  <si>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</si>
  <si>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</si>
  <si>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</si>
  <si>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</si>
  <si>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</si>
  <si>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</si>
  <si>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</si>
  <si>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</si>
  <si>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</si>
  <si>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</si>
  <si>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</si>
  <si>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</si>
  <si>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</si>
  <si>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</si>
  <si>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</si>
  <si>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</si>
  <si>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</si>
  <si>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</si>
  <si>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</si>
  <si>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</si>
  <si>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</si>
  <si>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</si>
  <si>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</si>
  <si>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</si>
  <si>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</si>
  <si>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</si>
  <si>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</si>
  <si>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</si>
  <si>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</si>
  <si>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</si>
  <si>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</si>
  <si>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</si>
  <si>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</si>
  <si>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</si>
  <si>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</si>
  <si>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</si>
  <si>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</si>
  <si>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</si>
  <si>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</si>
  <si>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</si>
  <si>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</si>
  <si>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</si>
  <si>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</si>
  <si>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</si>
  <si>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</si>
  <si>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</si>
  <si>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</si>
  <si>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</si>
  <si>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</si>
  <si>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</si>
  <si>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</si>
  <si>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</si>
  <si>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</si>
  <si>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</si>
  <si>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</si>
  <si>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</si>
  <si>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</si>
  <si>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</si>
  <si>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</si>
  <si>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</si>
  <si>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</si>
  <si>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</si>
  <si>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</si>
  <si>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</si>
  <si>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</si>
  <si>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</si>
  <si>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</si>
  <si>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</si>
  <si>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</si>
  <si>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</si>
  <si>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</si>
  <si>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</si>
  <si>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</si>
  <si>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</si>
  <si>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</si>
  <si>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</si>
  <si>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</si>
  <si>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</si>
  <si>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</si>
  <si>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</si>
  <si>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</si>
  <si>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</si>
  <si>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</si>
  <si>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</si>
  <si>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</si>
  <si>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</si>
  <si>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</si>
  <si>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</si>
  <si>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</si>
  <si>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</si>
  <si>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</si>
  <si>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</si>
  <si>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</si>
  <si>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</si>
  <si>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</si>
  <si>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</si>
  <si>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</si>
  <si>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</si>
  <si>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</si>
  <si>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</si>
  <si>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</si>
  <si>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</si>
  <si>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</si>
  <si>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</si>
  <si>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</si>
  <si>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</si>
  <si>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</si>
  <si>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</si>
  <si>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</si>
  <si>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</si>
  <si>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</si>
  <si>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</si>
  <si>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</si>
  <si>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</si>
  <si>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</si>
  <si>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</si>
  <si>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</si>
  <si>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</si>
  <si>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</si>
  <si>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</si>
  <si>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</si>
  <si>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</si>
  <si>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</si>
  <si>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</si>
  <si>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</si>
  <si>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</si>
  <si>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</si>
  <si>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</si>
  <si>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</si>
  <si>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</si>
  <si>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</si>
  <si>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</si>
  <si>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</si>
  <si>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</si>
  <si>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</si>
  <si>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</si>
  <si>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</si>
  <si>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</si>
  <si>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</si>
  <si>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</si>
  <si>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</si>
  <si>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</si>
  <si>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</si>
  <si>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</si>
  <si>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</si>
  <si>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</si>
  <si>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</si>
  <si>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</si>
  <si>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</si>
  <si>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</si>
  <si>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</si>
  <si>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</si>
  <si>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</si>
  <si>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</si>
  <si>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</si>
  <si>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</si>
  <si>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</si>
  <si>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</si>
  <si>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</si>
  <si>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</si>
  <si>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</si>
  <si>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</si>
  <si>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</si>
  <si>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</si>
  <si>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</si>
  <si>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</si>
  <si>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</si>
  <si>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</si>
  <si>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</si>
  <si>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</si>
  <si>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</si>
  <si>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</si>
  <si>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</si>
  <si>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</si>
  <si>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</si>
  <si>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</si>
  <si>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</si>
  <si>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</si>
  <si>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</si>
  <si>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</si>
  <si>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</si>
  <si>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</si>
  <si>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</si>
  <si>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</si>
  <si>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</si>
  <si>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</si>
  <si>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</si>
  <si>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</si>
  <si>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</si>
  <si>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</si>
  <si>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</si>
  <si>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</si>
  <si>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</si>
  <si>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</si>
  <si>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</si>
  <si>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</si>
  <si>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</si>
  <si>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</si>
  <si>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</si>
  <si>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</si>
  <si>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</si>
  <si>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</si>
  <si>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</si>
  <si>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</si>
  <si>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</si>
  <si>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</si>
  <si>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</si>
  <si>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</si>
  <si>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</si>
  <si>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</si>
  <si>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</si>
  <si>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</si>
  <si>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</si>
  <si>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</si>
  <si>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</si>
  <si>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</si>
  <si>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</si>
  <si>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</si>
  <si>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</si>
  <si>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</si>
  <si>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</si>
  <si>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</si>
  <si>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</si>
  <si>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</si>
  <si>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</si>
  <si>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</si>
  <si>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</si>
  <si>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</si>
  <si>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</si>
  <si>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</si>
  <si>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</si>
  <si>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</si>
  <si>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</si>
  <si>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</si>
  <si>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</si>
  <si>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</si>
  <si>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</si>
  <si>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</si>
  <si>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</si>
  <si>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</si>
  <si>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</si>
  <si>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</si>
  <si>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</si>
  <si>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</si>
  <si>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</si>
  <si>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</si>
  <si>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</si>
  <si>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</si>
  <si>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</si>
  <si>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</si>
  <si>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</si>
  <si>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</si>
  <si>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</si>
  <si>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</si>
  <si>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</si>
  <si>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</si>
  <si>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</si>
  <si>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</si>
  <si>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</si>
  <si>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</si>
  <si>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</si>
  <si>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</si>
  <si>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</si>
  <si>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</si>
  <si>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</si>
  <si>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</si>
  <si>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</si>
  <si>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</si>
  <si>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</si>
  <si>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</si>
  <si>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</si>
  <si>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</si>
  <si>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</si>
  <si>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</si>
  <si>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</si>
  <si>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</si>
  <si>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</si>
  <si>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</si>
  <si>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</si>
  <si>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</si>
  <si>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</si>
  <si>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</si>
  <si>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</si>
  <si>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</si>
  <si>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</si>
  <si>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</si>
  <si>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</si>
  <si>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</si>
  <si>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</si>
  <si>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</si>
  <si>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</si>
  <si>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</si>
  <si>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</si>
  <si>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</si>
  <si>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</si>
  <si>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</si>
  <si>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</si>
  <si>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</si>
  <si>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</si>
  <si>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</si>
  <si>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</si>
  <si>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</si>
  <si>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</si>
  <si>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</si>
  <si>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</si>
  <si>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</si>
  <si>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</si>
  <si>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</si>
  <si>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</si>
  <si>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</si>
  <si>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</si>
  <si>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</si>
  <si>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</si>
  <si>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</si>
  <si>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</si>
  <si>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</si>
  <si>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</si>
  <si>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</si>
  <si>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</si>
  <si>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</si>
  <si>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</si>
  <si>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</si>
  <si>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</si>
  <si>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</si>
  <si>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</si>
  <si>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</si>
  <si>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</si>
  <si>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</si>
  <si>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</si>
  <si>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</si>
  <si>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</si>
  <si>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</si>
  <si>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</si>
  <si>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</si>
  <si>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</si>
  <si>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</si>
  <si>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</si>
  <si>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</si>
  <si>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</si>
  <si>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</si>
  <si>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</si>
  <si>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</si>
  <si>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</si>
  <si>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</si>
  <si>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</si>
  <si>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</si>
  <si>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</si>
  <si>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</si>
  <si>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</si>
  <si>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</si>
  <si>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</si>
  <si>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</si>
  <si>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</si>
  <si>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</si>
  <si>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</si>
  <si>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</si>
  <si>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</si>
  <si>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</si>
  <si>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</si>
  <si>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</si>
  <si>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</si>
  <si>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</si>
  <si>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</si>
  <si>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</si>
  <si>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</si>
  <si>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</si>
  <si>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</si>
  <si>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</si>
  <si>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</si>
  <si>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</si>
  <si>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</si>
  <si>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</si>
  <si>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</si>
  <si>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</si>
  <si>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</si>
  <si>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</si>
  <si>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</si>
  <si>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</si>
  <si>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</si>
  <si>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</si>
  <si>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</si>
  <si>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</si>
  <si>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</si>
  <si>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</si>
  <si>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</si>
  <si>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</si>
  <si>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</si>
  <si>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</si>
  <si>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</si>
  <si>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</si>
  <si>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</si>
  <si>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</si>
  <si>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</si>
  <si>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</si>
  <si>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</si>
  <si>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</si>
  <si>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</si>
  <si>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</si>
  <si>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</si>
  <si>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</si>
  <si>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</si>
  <si>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</si>
  <si>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</si>
  <si>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</si>
  <si>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</si>
  <si>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</si>
  <si>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</si>
  <si>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</si>
  <si>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</si>
  <si>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</si>
  <si>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</si>
  <si>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</si>
  <si>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</si>
  <si>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</si>
  <si>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</si>
  <si>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</si>
  <si>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</si>
  <si>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</si>
  <si>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</si>
  <si>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</si>
  <si>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</si>
  <si>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</si>
  <si>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</si>
  <si>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</si>
  <si>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</si>
  <si>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</si>
  <si>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</si>
  <si>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</si>
  <si>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</si>
  <si>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</si>
  <si>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</si>
  <si>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</si>
  <si>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</si>
  <si>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</si>
  <si>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</si>
  <si>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</si>
  <si>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</si>
  <si>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</si>
  <si>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</si>
  <si>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</si>
  <si>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</si>
  <si>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</si>
  <si>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</si>
  <si>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</si>
  <si>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</si>
  <si>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</si>
  <si>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</si>
  <si>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</si>
  <si>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</si>
  <si>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</si>
  <si>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</si>
  <si>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</si>
  <si>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</si>
  <si>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</si>
  <si>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</si>
  <si>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</si>
  <si>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</si>
  <si>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</si>
  <si>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</si>
  <si>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</si>
  <si>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</si>
  <si>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</si>
  <si>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</si>
  <si>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</si>
  <si>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</si>
  <si>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</si>
  <si>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</si>
  <si>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</si>
  <si>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</si>
  <si>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</si>
  <si>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</si>
  <si>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</si>
  <si>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</si>
  <si>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</si>
  <si>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</si>
  <si>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</si>
  <si>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</si>
  <si>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</si>
  <si>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</si>
  <si>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</si>
  <si>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</si>
  <si>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</si>
  <si>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</si>
  <si>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</si>
  <si>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</si>
  <si>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</si>
  <si>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</si>
  <si>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</si>
  <si>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</si>
  <si>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</si>
  <si>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</si>
  <si>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</si>
  <si>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</si>
  <si>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</si>
  <si>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</si>
  <si>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</si>
  <si>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</si>
  <si>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</si>
  <si>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</si>
  <si>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</si>
  <si>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</si>
  <si>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</si>
  <si>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</si>
  <si>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</si>
  <si>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</si>
  <si>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</si>
  <si>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</si>
  <si>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</si>
  <si>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</si>
  <si>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</si>
  <si>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</si>
  <si>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</si>
  <si>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</si>
  <si>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</si>
  <si>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</si>
  <si>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</si>
  <si>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</si>
  <si>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</si>
  <si>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</si>
  <si>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</si>
  <si>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</si>
  <si>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</si>
  <si>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</si>
  <si>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</si>
  <si>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</si>
  <si>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</si>
  <si>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</si>
  <si>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</si>
  <si>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</si>
  <si>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</si>
  <si>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</si>
  <si>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</si>
  <si>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</si>
  <si>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</si>
  <si>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</si>
  <si>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</si>
  <si>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</si>
  <si>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</si>
  <si>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</si>
  <si>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</si>
  <si>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</si>
  <si>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</si>
  <si>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</si>
  <si>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</si>
  <si>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</si>
  <si>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</si>
  <si>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</si>
  <si>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</si>
  <si>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</si>
  <si>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</si>
  <si>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</si>
  <si>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</si>
  <si>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</si>
  <si>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</si>
  <si>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</si>
  <si>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</si>
  <si>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</si>
  <si>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</si>
  <si>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</si>
  <si>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</si>
  <si>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</si>
  <si>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</si>
  <si>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</si>
  <si>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</si>
  <si>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</si>
  <si>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</si>
  <si>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</si>
  <si>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</si>
  <si>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</si>
  <si>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</si>
  <si>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</si>
  <si>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</si>
  <si>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</si>
  <si>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</si>
  <si>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</si>
  <si>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</si>
  <si>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</si>
  <si>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</si>
  <si>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</si>
  <si>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</si>
  <si>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</si>
  <si>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</si>
  <si>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</si>
  <si>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</si>
  <si>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</si>
  <si>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</si>
  <si>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</si>
  <si>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</si>
  <si>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</si>
  <si>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</si>
  <si>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</si>
  <si>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</si>
  <si>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</si>
  <si>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</si>
  <si>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</si>
  <si>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</si>
  <si>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</si>
  <si>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</si>
  <si>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</si>
  <si>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</si>
  <si>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</si>
  <si>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</si>
  <si>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</si>
  <si>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</si>
  <si>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</si>
  <si>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</si>
  <si>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</si>
  <si>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</si>
  <si>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</si>
  <si>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</si>
  <si>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</si>
  <si>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</si>
  <si>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</si>
  <si>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</si>
  <si>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</si>
  <si>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</si>
  <si>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</si>
  <si>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</si>
  <si>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</si>
  <si>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</si>
  <si>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</si>
  <si>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</si>
  <si>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</si>
  <si>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</si>
  <si>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</si>
  <si>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</si>
  <si>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</si>
  <si>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</si>
  <si>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</si>
  <si>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</si>
  <si>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</si>
  <si>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</si>
  <si>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</si>
  <si>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</si>
  <si>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</si>
  <si>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</si>
  <si>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</si>
  <si>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</si>
  <si>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</si>
  <si>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</si>
  <si>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</si>
  <si>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</si>
  <si>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</si>
  <si>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</si>
  <si>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</si>
  <si>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</si>
  <si>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</si>
  <si>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</si>
  <si>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</si>
  <si>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</si>
  <si>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</si>
  <si>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</si>
  <si>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</si>
  <si>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</si>
  <si>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</si>
  <si>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</si>
  <si>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</si>
  <si>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</si>
  <si>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</si>
  <si>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</si>
  <si>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</si>
  <si>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</si>
  <si>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</si>
  <si>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</si>
  <si>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</si>
  <si>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</si>
  <si>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</si>
  <si>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</si>
  <si>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</si>
  <si>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</si>
  <si>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</si>
  <si>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</si>
  <si>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</si>
  <si>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</si>
  <si>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</si>
  <si>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</si>
  <si>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</si>
  <si>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</si>
  <si>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</si>
  <si>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</si>
  <si>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</si>
  <si>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</si>
  <si>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</si>
  <si>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</si>
  <si>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</si>
  <si>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</si>
  <si>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</si>
  <si>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</si>
  <si>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</si>
  <si>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</si>
  <si>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</si>
  <si>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</si>
  <si>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</si>
  <si>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</si>
  <si>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</si>
  <si>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</si>
  <si>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</si>
  <si>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</si>
  <si>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</si>
  <si>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</si>
  <si>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</si>
  <si>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</si>
  <si>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</si>
  <si>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</si>
  <si>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</si>
  <si>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</si>
  <si>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</si>
  <si>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</si>
  <si>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</si>
  <si>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</si>
  <si>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</si>
  <si>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</si>
  <si>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</si>
  <si>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</si>
  <si>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</si>
  <si>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</si>
  <si>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</si>
  <si>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</si>
  <si>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</si>
  <si>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</si>
  <si>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</si>
  <si>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</si>
  <si>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</si>
  <si>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</si>
  <si>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</si>
  <si>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</si>
  <si>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</si>
  <si>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</si>
  <si>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</si>
  <si>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</si>
  <si>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</si>
  <si>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</si>
  <si>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</si>
  <si>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</si>
  <si>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</si>
  <si>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</si>
  <si>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</si>
  <si>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</si>
  <si>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</si>
  <si>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</si>
  <si>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</si>
  <si>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</si>
  <si>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</si>
  <si>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</si>
  <si>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</si>
  <si>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</si>
  <si>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</si>
  <si>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</si>
  <si>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</si>
  <si>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</si>
  <si>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</si>
  <si>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</si>
  <si>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</si>
  <si>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</si>
  <si>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</si>
  <si>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</si>
  <si>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</si>
  <si>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</si>
  <si>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</si>
  <si>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</si>
  <si>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</si>
  <si>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</si>
  <si>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</si>
  <si>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</si>
  <si>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</si>
  <si>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</si>
  <si>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</si>
  <si>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</si>
  <si>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</si>
  <si>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</si>
  <si>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</si>
  <si>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</si>
  <si>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</si>
  <si>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</si>
  <si>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</si>
  <si>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</si>
  <si>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</si>
  <si>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</si>
  <si>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</si>
  <si>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</si>
  <si>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</si>
  <si>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</si>
  <si>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</si>
  <si>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</si>
  <si>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</si>
  <si>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</si>
  <si>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</si>
  <si>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</si>
  <si>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</si>
  <si>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</si>
  <si>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</si>
  <si>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</si>
  <si>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</si>
  <si>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</si>
  <si>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</si>
  <si>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</si>
  <si>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</si>
  <si>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</si>
  <si>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</si>
  <si>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</si>
  <si>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</si>
  <si>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</si>
  <si>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</si>
  <si>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</si>
  <si>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</si>
  <si>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</si>
  <si>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</si>
  <si>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</si>
  <si>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</si>
  <si>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</si>
  <si>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</si>
  <si>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</si>
  <si>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</si>
  <si>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</si>
  <si>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</si>
  <si>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</si>
  <si>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</si>
  <si>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</si>
  <si>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</si>
  <si>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</si>
  <si>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</si>
  <si>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</si>
  <si>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</si>
  <si>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</si>
  <si>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</si>
  <si>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</si>
  <si>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</si>
  <si>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</si>
  <si>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</si>
  <si>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</si>
  <si>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</si>
  <si>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</si>
  <si>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</si>
  <si>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</si>
  <si>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</si>
  <si>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</si>
  <si>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</si>
  <si>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</si>
  <si>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</si>
  <si>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</si>
  <si>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</si>
  <si>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</si>
  <si>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</si>
  <si>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</si>
  <si>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</si>
  <si>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</si>
  <si>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</si>
  <si>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</si>
  <si>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</si>
  <si>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</si>
  <si>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</si>
  <si>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</si>
  <si>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</si>
  <si>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</si>
  <si>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</si>
  <si>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</si>
  <si>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</si>
  <si>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</si>
  <si>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</si>
  <si>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</si>
  <si>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</si>
  <si>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</si>
  <si>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</si>
  <si>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</si>
  <si>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</si>
  <si>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</si>
  <si>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</si>
  <si>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</si>
  <si>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</si>
  <si>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</si>
  <si>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</si>
  <si>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</si>
  <si>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</si>
  <si>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</si>
  <si>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</si>
  <si>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</si>
  <si>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</si>
  <si>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</si>
  <si>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</si>
  <si>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</si>
  <si>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</si>
  <si>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</si>
  <si>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</si>
  <si>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</si>
  <si>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</si>
  <si>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</si>
  <si>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</si>
  <si>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</si>
  <si>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</si>
  <si>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</si>
  <si>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</si>
  <si>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</si>
  <si>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</si>
  <si>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</si>
  <si>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</si>
  <si>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</si>
  <si>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</si>
  <si>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</si>
  <si>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</si>
  <si>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</si>
  <si>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</si>
  <si>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</si>
  <si>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</si>
  <si>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</si>
  <si>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</si>
  <si>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</si>
  <si>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</si>
  <si>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</si>
  <si>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</si>
  <si>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</si>
  <si>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</si>
  <si>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</si>
  <si>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</si>
  <si>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</si>
  <si>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</si>
  <si>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</si>
  <si>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</si>
  <si>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</si>
  <si>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</si>
  <si>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</si>
  <si>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</si>
  <si>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</si>
  <si>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</si>
  <si>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</si>
  <si>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</si>
  <si>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</si>
  <si>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</si>
  <si>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</si>
  <si>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</si>
  <si>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</si>
  <si>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</si>
  <si>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</si>
  <si>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</si>
  <si>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</si>
  <si>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</si>
  <si>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</si>
  <si>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</si>
  <si>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</si>
  <si>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</si>
  <si>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</si>
  <si>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</si>
  <si>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</si>
  <si>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</si>
  <si>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</si>
  <si>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</si>
  <si>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</si>
  <si>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</si>
  <si>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</si>
  <si>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</si>
  <si>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</si>
  <si>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</si>
  <si>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</si>
  <si>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</si>
  <si>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</si>
  <si>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</si>
  <si>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</si>
  <si>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</si>
  <si>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</si>
  <si>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</si>
  <si>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</si>
  <si>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</si>
  <si>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</si>
  <si>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</si>
  <si>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</si>
  <si>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</si>
  <si>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</si>
  <si>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</si>
  <si>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</si>
  <si>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</si>
  <si>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</si>
  <si>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</si>
  <si>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</si>
  <si>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</si>
  <si>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</si>
  <si>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</si>
  <si>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</si>
  <si>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</si>
  <si>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</si>
  <si>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</si>
  <si>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</si>
  <si>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</si>
  <si>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</si>
  <si>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</si>
  <si>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</si>
  <si>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</si>
  <si>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</si>
  <si>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</si>
  <si>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</si>
  <si>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</si>
  <si>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</si>
  <si>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</si>
  <si>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</si>
  <si>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</si>
  <si>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</si>
  <si>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</si>
  <si>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</si>
  <si>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</si>
  <si>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</si>
  <si>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</si>
  <si>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</si>
  <si>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</si>
  <si>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</si>
  <si>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</si>
  <si>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</si>
  <si>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</si>
  <si>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</si>
  <si>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</si>
  <si>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</si>
  <si>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</si>
  <si>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</si>
  <si>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</si>
  <si>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</si>
  <si>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</si>
  <si>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</si>
  <si>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</si>
  <si>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</si>
  <si>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</si>
  <si>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</si>
  <si>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</si>
  <si>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</si>
  <si>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</si>
  <si>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</si>
  <si>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</si>
  <si>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</si>
  <si>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</si>
  <si>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</si>
  <si>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</si>
  <si>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</si>
  <si>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</si>
  <si>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</si>
  <si>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</si>
  <si>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</si>
  <si>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</si>
  <si>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</si>
  <si>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</si>
  <si>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</si>
  <si>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</si>
  <si>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</si>
  <si>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</si>
  <si>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</si>
  <si>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</si>
  <si>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</si>
  <si>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</si>
  <si>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</si>
  <si>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</si>
  <si>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</si>
  <si>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</si>
  <si>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</si>
  <si>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</si>
  <si>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</si>
  <si>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</si>
  <si>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</si>
  <si>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</si>
  <si>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</si>
  <si>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</si>
  <si>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</si>
  <si>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</si>
  <si>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</si>
  <si>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</si>
  <si>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</si>
  <si>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</si>
  <si>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</si>
  <si>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</si>
  <si>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</si>
  <si>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</si>
  <si>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</si>
  <si>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</si>
  <si>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</si>
  <si>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</si>
  <si>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</si>
  <si>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</si>
  <si>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</si>
  <si>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</si>
  <si>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</si>
  <si>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</si>
  <si>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</si>
  <si>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</si>
  <si>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</si>
  <si>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</si>
  <si>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</si>
  <si>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</si>
  <si>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</si>
  <si>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</si>
  <si>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</si>
  <si>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</si>
  <si>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</si>
  <si>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</si>
  <si>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</si>
  <si>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</si>
  <si>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</si>
  <si>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</si>
  <si>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</si>
  <si>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</si>
  <si>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</si>
  <si>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</si>
  <si>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</si>
  <si>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</si>
  <si>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</si>
  <si>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</si>
  <si>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</si>
  <si>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</si>
  <si>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</si>
  <si>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</si>
  <si>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</si>
  <si>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</si>
  <si>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</si>
  <si>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</si>
  <si>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</si>
  <si>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</si>
  <si>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</si>
  <si>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</si>
  <si>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</si>
  <si>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</si>
  <si>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</si>
  <si>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</si>
  <si>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</si>
  <si>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</si>
  <si>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</si>
  <si>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</si>
  <si>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</si>
  <si>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</si>
  <si>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</si>
  <si>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</si>
  <si>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</si>
  <si>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</si>
  <si>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</si>
  <si>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</si>
  <si>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</si>
  <si>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</si>
  <si>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</si>
  <si>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</si>
  <si>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</si>
  <si>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</si>
  <si>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</si>
  <si>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</si>
  <si>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</si>
  <si>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</si>
  <si>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</si>
  <si>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</si>
  <si>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</si>
  <si>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</si>
  <si>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</si>
  <si>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</si>
  <si>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</si>
  <si>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</si>
  <si>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</si>
  <si>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</si>
  <si>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</si>
  <si>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</si>
  <si>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</si>
  <si>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</si>
  <si>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</si>
  <si>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</si>
  <si>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</si>
  <si>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</si>
  <si>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</si>
  <si>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</si>
  <si>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</si>
  <si>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</si>
  <si>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</si>
  <si>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</si>
  <si>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</si>
  <si>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</si>
  <si>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</si>
  <si>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</si>
  <si>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</si>
  <si>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</si>
  <si>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</si>
  <si>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</si>
  <si>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</si>
  <si>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</si>
  <si>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</si>
  <si>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</si>
  <si>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</si>
  <si>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</si>
  <si>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</si>
  <si>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</si>
  <si>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</si>
  <si>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</si>
  <si>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</si>
  <si>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</si>
  <si>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</si>
  <si>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</si>
  <si>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</si>
  <si>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</si>
  <si>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</si>
  <si>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</si>
  <si>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</si>
  <si>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</si>
  <si>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</si>
  <si>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</si>
  <si>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</si>
  <si>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</si>
  <si>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</si>
  <si>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</si>
  <si>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</si>
  <si>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</si>
  <si>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</si>
  <si>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</si>
  <si>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</si>
  <si>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</si>
  <si>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</si>
  <si>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</si>
  <si>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</si>
  <si>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</si>
  <si>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</si>
  <si>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</si>
  <si>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</si>
  <si>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</si>
  <si>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</si>
  <si>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</si>
  <si>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</si>
  <si>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</si>
  <si>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</si>
  <si>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</si>
  <si>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</si>
  <si>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</si>
  <si>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</si>
  <si>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</si>
  <si>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</si>
  <si>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</si>
  <si>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</si>
  <si>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</si>
  <si>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</si>
  <si>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</si>
  <si>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</si>
  <si>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</si>
  <si>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</si>
  <si>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</si>
  <si>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</si>
  <si>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</si>
  <si>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</si>
  <si>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</si>
  <si>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</si>
  <si>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</si>
  <si>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</si>
  <si>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</si>
  <si>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</si>
  <si>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</si>
  <si>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</si>
  <si>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</si>
  <si>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</si>
  <si>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</si>
  <si>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</si>
  <si>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</si>
  <si>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</si>
  <si>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</si>
  <si>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</si>
  <si>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</si>
  <si>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</si>
  <si>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</si>
  <si>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</si>
  <si>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</si>
  <si>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</si>
  <si>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</si>
  <si>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</si>
  <si>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</si>
  <si>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</si>
  <si>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</si>
  <si>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</si>
  <si>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</si>
  <si>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</si>
  <si>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</si>
  <si>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</si>
  <si>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</si>
  <si>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</si>
  <si>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</si>
  <si>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</si>
  <si>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</si>
  <si>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</si>
  <si>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</si>
  <si>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</si>
  <si>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</si>
  <si>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</si>
  <si>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</si>
  <si>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</si>
  <si>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</si>
  <si>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</si>
  <si>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</si>
  <si>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</si>
  <si>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</si>
  <si>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</si>
  <si>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</si>
  <si>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</si>
  <si>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</si>
  <si>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</si>
  <si>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</si>
  <si>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</si>
  <si>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</si>
  <si>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</si>
  <si>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</si>
  <si>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</si>
  <si>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</si>
  <si>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</si>
  <si>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</si>
  <si>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</si>
  <si>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</si>
  <si>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</si>
  <si>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</si>
  <si>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</si>
  <si>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</si>
  <si>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</si>
  <si>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</si>
  <si>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</si>
  <si>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</si>
  <si>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</si>
  <si>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</si>
  <si>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</si>
  <si>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</si>
  <si>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</si>
  <si>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</si>
  <si>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</si>
  <si>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</si>
  <si>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</si>
  <si>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</si>
  <si>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</si>
  <si>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</si>
  <si>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</si>
  <si>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</si>
  <si>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</si>
  <si>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</si>
  <si>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</si>
  <si>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</si>
  <si>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</si>
  <si>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</si>
  <si>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</si>
  <si>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</si>
  <si>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</si>
  <si>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</si>
  <si>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</si>
  <si>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</si>
  <si>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</si>
  <si>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</si>
  <si>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</si>
  <si>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</si>
  <si>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</si>
  <si>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</si>
  <si>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</si>
  <si>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</si>
  <si>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</si>
  <si>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</si>
  <si>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</si>
  <si>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</si>
  <si>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</si>
  <si>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</si>
  <si>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</si>
  <si>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</si>
  <si>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</si>
  <si>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</si>
  <si>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</si>
  <si>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</si>
  <si>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</si>
  <si>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</si>
  <si>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</si>
  <si>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</si>
  <si>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</si>
  <si>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</si>
  <si>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</si>
  <si>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</si>
  <si>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</si>
  <si>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</si>
  <si>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</si>
  <si>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</si>
  <si>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</si>
  <si>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</si>
  <si>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</si>
  <si>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</si>
  <si>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</si>
  <si>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</si>
  <si>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</si>
  <si>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</si>
  <si>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</si>
  <si>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</si>
  <si>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</si>
  <si>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</si>
  <si>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</si>
  <si>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</si>
  <si>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</si>
  <si>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</si>
  <si>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</si>
  <si>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</si>
  <si>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</si>
  <si>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</si>
  <si>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</si>
  <si>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</si>
  <si>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</si>
  <si>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</si>
  <si>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</si>
  <si>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</si>
  <si>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</si>
  <si>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</si>
  <si>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</si>
  <si>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</si>
  <si>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</si>
  <si>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</si>
  <si>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</si>
  <si>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</si>
  <si>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</si>
  <si>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</si>
  <si>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</si>
  <si>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</si>
  <si>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</si>
  <si>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</si>
  <si>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</si>
  <si>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</si>
  <si>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</si>
  <si>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</si>
  <si>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</si>
  <si>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</si>
  <si>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</si>
  <si>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</si>
  <si>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</si>
  <si>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</si>
  <si>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</si>
  <si>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</si>
  <si>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</si>
  <si>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</si>
  <si>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</si>
  <si>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</si>
  <si>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</si>
  <si>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</si>
  <si>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</si>
  <si>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</si>
  <si>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</si>
  <si>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</si>
  <si>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</si>
  <si>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</si>
  <si>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</si>
  <si>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</si>
  <si>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</si>
  <si>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</si>
  <si>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</si>
  <si>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</si>
  <si>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</si>
  <si>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</si>
  <si>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</si>
  <si>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</si>
  <si>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</si>
  <si>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</si>
  <si>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</si>
  <si>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</si>
  <si>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</si>
  <si>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</si>
  <si>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</si>
  <si>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</si>
  <si>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</si>
  <si>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</si>
  <si>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</si>
  <si>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</si>
  <si>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</si>
  <si>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</si>
  <si>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</si>
  <si>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</si>
  <si>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</si>
  <si>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</si>
  <si>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</si>
  <si>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</si>
  <si>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</si>
  <si>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</si>
  <si>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</si>
  <si>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</si>
  <si>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</si>
  <si>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</si>
  <si>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</si>
  <si>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</si>
  <si>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</si>
  <si>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</si>
  <si>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</si>
  <si>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</si>
  <si>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</si>
  <si>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</si>
  <si>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</si>
  <si>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</si>
  <si>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</si>
  <si>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</si>
  <si>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</si>
  <si>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</si>
  <si>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</si>
  <si>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</si>
  <si>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</si>
  <si>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</si>
  <si>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</si>
  <si>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</si>
  <si>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</si>
  <si>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</si>
  <si>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</si>
  <si>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</si>
  <si>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</si>
  <si>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</si>
  <si>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</si>
  <si>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</si>
  <si>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</si>
  <si>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</si>
  <si>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</si>
  <si>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</si>
  <si>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</si>
  <si>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</si>
  <si>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</si>
  <si>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</si>
  <si>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</si>
  <si>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</si>
  <si>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</si>
  <si>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</si>
  <si>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</si>
  <si>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</si>
  <si>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</si>
  <si>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</si>
  <si>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</si>
  <si>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</si>
  <si>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</si>
  <si>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</si>
  <si>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</si>
  <si>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</si>
  <si>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</si>
  <si>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</si>
  <si>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</si>
  <si>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</si>
  <si>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</si>
  <si>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</si>
  <si>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</si>
  <si>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</si>
  <si>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</si>
  <si>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</si>
  <si>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</si>
  <si>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</si>
  <si>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</si>
  <si>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</si>
  <si>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</si>
  <si>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</si>
  <si>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</si>
  <si>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</si>
  <si>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</si>
  <si>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</si>
  <si>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</si>
  <si>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</si>
  <si>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</si>
  <si>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</si>
  <si>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</si>
  <si>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</si>
  <si>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</si>
  <si>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</si>
  <si>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</si>
  <si>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</si>
  <si>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</si>
  <si>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</si>
  <si>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</si>
  <si>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</si>
  <si>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</si>
  <si>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</si>
  <si>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</si>
  <si>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</si>
  <si>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</si>
  <si>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</si>
  <si>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</si>
  <si>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</si>
  <si>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</si>
  <si>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</si>
  <si>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</si>
  <si>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</si>
  <si>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</si>
  <si>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</si>
  <si>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</si>
  <si>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</si>
  <si>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</si>
  <si>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</si>
  <si>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</si>
  <si>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</si>
  <si>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</si>
  <si>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</si>
  <si>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</si>
  <si>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</si>
  <si>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</si>
  <si>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</si>
  <si>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</si>
  <si>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</si>
  <si>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</si>
  <si>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</si>
  <si>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</si>
  <si>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</si>
  <si>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</si>
  <si>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</si>
  <si>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</si>
  <si>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</si>
  <si>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</si>
  <si>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</si>
  <si>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</si>
  <si>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</si>
  <si>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</si>
  <si>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</si>
  <si>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</si>
  <si>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</si>
  <si>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</si>
  <si>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</si>
  <si>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</si>
  <si>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</si>
  <si>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</si>
  <si>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</si>
  <si>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</si>
  <si>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</si>
  <si>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</si>
  <si>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</si>
  <si>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</si>
  <si>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</si>
  <si>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</si>
  <si>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</si>
  <si>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</si>
  <si>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</si>
  <si>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</si>
  <si>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</si>
  <si>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</si>
  <si>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</si>
  <si>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</si>
  <si>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</si>
  <si>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</si>
  <si>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</si>
  <si>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</si>
  <si>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</si>
  <si>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</si>
  <si>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</si>
  <si>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</si>
  <si>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</si>
  <si>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</si>
  <si>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</si>
  <si>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</si>
  <si>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</si>
  <si>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</si>
  <si>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</si>
  <si>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</si>
  <si>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</si>
  <si>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</si>
  <si>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</si>
  <si>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</si>
  <si>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</si>
  <si>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</si>
  <si>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</si>
  <si>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</si>
  <si>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</si>
  <si>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</si>
  <si>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</si>
  <si>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</si>
  <si>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</si>
  <si>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</si>
  <si>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</si>
  <si>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</si>
  <si>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</si>
  <si>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</si>
  <si>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</si>
  <si>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</si>
  <si>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</si>
  <si>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</si>
  <si>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</si>
  <si>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</si>
  <si>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</si>
  <si>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</si>
  <si>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</si>
  <si>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</si>
  <si>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</si>
  <si>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</si>
  <si>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</si>
  <si>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</si>
  <si>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</si>
  <si>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</si>
  <si>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</si>
  <si>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</si>
  <si>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</si>
  <si>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</si>
  <si>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</si>
  <si>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</si>
  <si>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</si>
  <si>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</si>
  <si>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</si>
  <si>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</si>
  <si>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</si>
  <si>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</si>
  <si>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</si>
  <si>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</si>
  <si>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</si>
  <si>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</si>
  <si>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</si>
  <si>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</si>
  <si>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</si>
  <si>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</si>
  <si>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</si>
  <si>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</si>
  <si>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</si>
  <si>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</si>
  <si>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</si>
  <si>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</si>
  <si>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</si>
  <si>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</si>
  <si>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</si>
  <si>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</si>
  <si>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</si>
  <si>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</si>
  <si>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</si>
  <si>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</si>
  <si>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</si>
  <si>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</si>
  <si>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</si>
  <si>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</si>
  <si>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</si>
  <si>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</si>
  <si>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</si>
  <si>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</si>
  <si>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</si>
  <si>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</si>
  <si>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</si>
  <si>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</si>
  <si>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</si>
  <si>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</si>
  <si>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</si>
  <si>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</si>
  <si>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</si>
  <si>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</si>
  <si>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</si>
  <si>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</si>
  <si>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</si>
  <si>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</si>
  <si>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</si>
  <si>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</si>
  <si>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</si>
  <si>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</si>
  <si>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</si>
  <si>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</si>
  <si>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</si>
  <si>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</si>
  <si>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</si>
  <si>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</si>
  <si>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</si>
  <si>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</si>
  <si>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</si>
  <si>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</si>
  <si>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</si>
  <si>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</si>
  <si>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</si>
  <si>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</si>
  <si>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</si>
  <si>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</si>
  <si>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</si>
  <si>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</si>
  <si>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</si>
  <si>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</si>
  <si>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</si>
  <si>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</si>
  <si>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</si>
  <si>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</si>
  <si>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</si>
  <si>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</si>
  <si>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</si>
  <si>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</si>
  <si>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</si>
  <si>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</si>
  <si>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</si>
  <si>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</si>
  <si>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</si>
  <si>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</si>
  <si>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</si>
  <si>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</si>
  <si>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</si>
  <si>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</si>
  <si>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</si>
  <si>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</si>
  <si>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</si>
  <si>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</si>
  <si>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</si>
  <si>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</si>
  <si>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</si>
  <si>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</si>
  <si>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</si>
  <si>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</si>
  <si>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</si>
  <si>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</si>
  <si>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</si>
  <si>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</si>
  <si>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</si>
  <si>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</si>
  <si>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</si>
  <si>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</si>
  <si>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</si>
  <si>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</si>
  <si>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</si>
  <si>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</si>
  <si>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</si>
  <si>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</si>
  <si>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</si>
  <si>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</si>
  <si>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</si>
  <si>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</si>
  <si>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</si>
  <si>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</si>
  <si>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</si>
  <si>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</si>
  <si>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</si>
  <si>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</si>
  <si>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</si>
  <si>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</si>
  <si>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</si>
  <si>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</si>
  <si>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</si>
  <si>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</si>
  <si>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</si>
  <si>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</si>
  <si>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</si>
  <si>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</si>
  <si>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</si>
  <si>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</si>
  <si>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</si>
  <si>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</si>
  <si>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</si>
  <si>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</si>
  <si>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</si>
  <si>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</si>
  <si>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</si>
  <si>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</si>
  <si>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</si>
  <si>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</si>
  <si>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</si>
  <si>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</si>
  <si>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</si>
  <si>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</si>
  <si>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</si>
  <si>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</si>
  <si>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</si>
  <si>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</si>
  <si>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</si>
  <si>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</si>
  <si>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</si>
  <si>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</si>
  <si>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</si>
  <si>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</si>
  <si>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</si>
  <si>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</si>
  <si>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</si>
  <si>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</si>
  <si>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</si>
  <si>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</si>
  <si>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</si>
  <si>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</si>
  <si>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</si>
  <si>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</si>
  <si>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</si>
  <si>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</si>
  <si>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</si>
  <si>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</si>
  <si>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</si>
  <si>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</si>
  <si>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</si>
  <si>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</si>
  <si>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</si>
  <si>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</si>
  <si>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</si>
  <si>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</si>
  <si>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</si>
  <si>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</si>
  <si>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</si>
  <si>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</si>
  <si>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</si>
  <si>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</si>
  <si>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</si>
  <si>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</si>
  <si>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</si>
  <si>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</si>
  <si>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</si>
  <si>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</si>
  <si>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</si>
  <si>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</si>
  <si>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</si>
  <si>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</si>
  <si>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</si>
  <si>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</si>
  <si>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</si>
  <si>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</si>
  <si>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</si>
  <si>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</si>
  <si>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</si>
  <si>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</si>
  <si>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</si>
  <si>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</si>
  <si>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</si>
  <si>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</si>
  <si>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</si>
  <si>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</si>
  <si>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</si>
  <si>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</si>
  <si>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</si>
  <si>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</si>
  <si>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</si>
  <si>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</si>
  <si>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</si>
  <si>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</si>
  <si>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</si>
  <si>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</si>
  <si>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</si>
  <si>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</si>
  <si>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</si>
  <si>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</si>
  <si>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</si>
  <si>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</si>
  <si>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</si>
  <si>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</si>
  <si>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</si>
  <si>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</si>
  <si>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</si>
  <si>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</si>
  <si>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</si>
  <si>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</si>
  <si>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</si>
  <si>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</si>
  <si>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</si>
  <si>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</si>
  <si>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</si>
  <si>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</si>
  <si>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</si>
  <si>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</si>
  <si>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</si>
  <si>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</si>
  <si>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</si>
  <si>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</si>
  <si>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</si>
  <si>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</si>
  <si>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</si>
  <si>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</si>
  <si>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</si>
  <si>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</si>
  <si>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</si>
  <si>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</si>
  <si>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</si>
  <si>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</si>
  <si>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</si>
  <si>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</si>
  <si>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</si>
  <si>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</si>
  <si>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</si>
  <si>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</si>
  <si>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</si>
  <si>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</si>
  <si>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</si>
  <si>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</si>
  <si>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</si>
  <si>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</si>
  <si>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</si>
  <si>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</si>
  <si>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</si>
  <si>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</si>
  <si>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</si>
  <si>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</si>
  <si>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</si>
  <si>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</si>
  <si>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</si>
  <si>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</si>
  <si>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</si>
  <si>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</si>
  <si>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</si>
  <si>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</si>
  <si>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</si>
  <si>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</si>
  <si>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</si>
  <si>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</si>
  <si>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</si>
  <si>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</si>
  <si>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</si>
  <si>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</si>
  <si>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</si>
  <si>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</si>
  <si>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</si>
  <si>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</si>
  <si>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</si>
  <si>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</si>
  <si>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</si>
  <si>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</si>
  <si>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</si>
  <si>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</si>
  <si>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</si>
  <si>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</si>
  <si>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</si>
  <si>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</si>
  <si>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</si>
  <si>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</si>
  <si>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</si>
  <si>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</si>
  <si>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</si>
  <si>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</si>
  <si>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</si>
  <si>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</si>
  <si>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</si>
  <si>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</si>
  <si>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</si>
  <si>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</si>
  <si>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</si>
  <si>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</si>
  <si>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</si>
  <si>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</si>
  <si>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</si>
  <si>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</si>
  <si>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</si>
  <si>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</si>
  <si>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</si>
  <si>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</si>
  <si>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</si>
  <si>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</si>
  <si>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</si>
  <si>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</si>
  <si>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</si>
  <si>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</si>
  <si>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</si>
  <si>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</si>
  <si>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</si>
  <si>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</si>
  <si>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</si>
  <si>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</si>
  <si>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</si>
  <si>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</si>
  <si>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</si>
  <si>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</si>
  <si>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</si>
  <si>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</si>
  <si>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</si>
  <si>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</si>
  <si>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</si>
  <si>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</si>
  <si>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</si>
  <si>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</si>
  <si>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</si>
  <si>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</si>
  <si>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</si>
  <si>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</si>
  <si>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</si>
  <si>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</si>
  <si>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</si>
  <si>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</si>
  <si>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</si>
  <si>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</si>
  <si>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</si>
  <si>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</si>
  <si>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</si>
  <si>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</si>
  <si>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</si>
  <si>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</si>
  <si>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</si>
  <si>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</si>
  <si>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</si>
  <si>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</si>
  <si>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</si>
  <si>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</si>
  <si>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</si>
  <si>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</si>
  <si>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</si>
  <si>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</si>
  <si>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</si>
  <si>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</si>
  <si>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</si>
  <si>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</si>
  <si>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</si>
  <si>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</si>
  <si>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</si>
  <si>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</si>
  <si>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</si>
  <si>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</si>
  <si>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</si>
  <si>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</si>
  <si>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</si>
  <si>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</si>
  <si>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</si>
  <si>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</si>
  <si>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</si>
  <si>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</si>
  <si>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</si>
  <si>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</si>
  <si>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</si>
  <si>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</si>
  <si>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</si>
  <si>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</si>
  <si>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</si>
  <si>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</si>
  <si>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</si>
  <si>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</si>
  <si>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</si>
  <si>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</si>
  <si>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</si>
  <si>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</si>
  <si>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</si>
  <si>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</si>
  <si>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</si>
  <si>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</si>
  <si>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</si>
  <si>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</si>
  <si>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</si>
  <si>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</si>
  <si>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</si>
  <si>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</si>
  <si>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</si>
  <si>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</si>
  <si>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</si>
  <si>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</si>
  <si>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</si>
  <si>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</si>
  <si>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</si>
  <si>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</si>
  <si>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</si>
  <si>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</si>
  <si>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</si>
  <si>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</si>
  <si>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</si>
  <si>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</si>
  <si>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</si>
  <si>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</si>
  <si>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</si>
  <si>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</si>
  <si>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</si>
  <si>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</si>
  <si>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</si>
  <si>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</si>
  <si>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</si>
  <si>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</si>
  <si>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</si>
  <si>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</si>
  <si>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</si>
  <si>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</si>
  <si>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</si>
  <si>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</si>
  <si>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</si>
  <si>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</si>
  <si>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</si>
  <si>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</si>
  <si>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</si>
  <si>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</si>
  <si>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</si>
  <si>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</si>
  <si>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</si>
  <si>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</si>
  <si>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</si>
  <si>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</si>
  <si>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</si>
  <si>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</si>
  <si>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</si>
  <si>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</si>
  <si>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</si>
  <si>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</si>
  <si>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</si>
  <si>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</si>
  <si>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</si>
  <si>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</si>
  <si>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</si>
  <si>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</si>
  <si>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</si>
  <si>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</si>
  <si>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</si>
  <si>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</si>
  <si>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</si>
  <si>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</si>
  <si>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</si>
  <si>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</si>
  <si>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</si>
  <si>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</si>
  <si>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</si>
  <si>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</si>
  <si>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</si>
  <si>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</si>
  <si>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</si>
  <si>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</si>
  <si>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</si>
  <si>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</si>
  <si>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</si>
  <si>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</si>
  <si>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</si>
  <si>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</si>
  <si>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</si>
  <si>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</si>
  <si>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</si>
  <si>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</si>
  <si>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</si>
  <si>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</si>
  <si>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</si>
  <si>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</si>
  <si>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</si>
  <si>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</si>
  <si>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</si>
  <si>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</si>
  <si>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</si>
  <si>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</si>
  <si>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</si>
  <si>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</si>
  <si>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</si>
  <si>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</si>
  <si>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</si>
  <si>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</si>
  <si>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</si>
  <si>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</si>
  <si>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</si>
  <si>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</si>
  <si>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</si>
  <si>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</si>
  <si>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</si>
  <si>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</si>
  <si>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</si>
  <si>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</si>
  <si>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</si>
  <si>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</si>
  <si>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</si>
  <si>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</si>
  <si>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</si>
  <si>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</si>
  <si>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</si>
  <si>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</si>
  <si>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</si>
  <si>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</si>
  <si>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</si>
  <si>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</si>
  <si>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</si>
  <si>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</si>
  <si>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</si>
  <si>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</si>
  <si>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</si>
  <si>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</si>
  <si>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</si>
  <si>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</si>
  <si>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</si>
  <si>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</si>
  <si>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</si>
  <si>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</si>
  <si>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</si>
  <si>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</si>
  <si>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</si>
  <si>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</si>
  <si>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</si>
  <si>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</si>
  <si>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</si>
  <si>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</si>
  <si>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</si>
  <si>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</si>
  <si>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</si>
  <si>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</si>
  <si>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</si>
  <si>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</si>
  <si>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</si>
  <si>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</si>
  <si>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</si>
  <si>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</si>
  <si>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</si>
  <si>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</si>
  <si>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</si>
  <si>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</si>
  <si>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</si>
  <si>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</si>
  <si>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</si>
  <si>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</si>
  <si>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</si>
  <si>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</si>
  <si>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</si>
  <si>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</si>
  <si>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</si>
  <si>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</si>
  <si>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</si>
  <si>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</si>
  <si>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</si>
  <si>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</si>
  <si>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</si>
  <si>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</si>
  <si>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</si>
  <si>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</si>
  <si>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</si>
  <si>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</si>
  <si>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</si>
  <si>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</si>
  <si>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</si>
  <si>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</si>
  <si>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</si>
  <si>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</si>
  <si>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</si>
  <si>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</si>
  <si>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</si>
  <si>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</si>
  <si>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</si>
  <si>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</si>
  <si>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</si>
  <si>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</si>
  <si>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</si>
  <si>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</si>
  <si>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</si>
  <si>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</si>
  <si>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</si>
  <si>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</si>
  <si>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</si>
  <si>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</si>
  <si>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</si>
  <si>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</si>
  <si>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</si>
  <si>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</si>
  <si>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</si>
  <si>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</si>
  <si>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</si>
  <si>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</si>
  <si>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</si>
  <si>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</si>
  <si>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</si>
  <si>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</si>
  <si>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</si>
  <si>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</si>
  <si>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</si>
  <si>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</si>
  <si>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</si>
  <si>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</si>
  <si>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</si>
  <si>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</si>
  <si>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</si>
  <si>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</si>
  <si>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</si>
  <si>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</si>
  <si>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</si>
  <si>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</si>
  <si>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</si>
  <si>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</si>
  <si>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</si>
  <si>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</si>
  <si>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</si>
  <si>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</si>
  <si>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</si>
  <si>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</si>
  <si>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</si>
  <si>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</si>
  <si>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</si>
  <si>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</si>
  <si>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</si>
  <si>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</si>
  <si>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</si>
  <si>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</si>
  <si>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</si>
  <si>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</si>
  <si>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</si>
  <si>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</si>
  <si>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</si>
  <si>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</si>
  <si>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</si>
  <si>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</si>
  <si>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</si>
  <si>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</si>
  <si>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</si>
  <si>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</si>
  <si>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</si>
  <si>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</si>
  <si>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</si>
  <si>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</si>
  <si>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</si>
  <si>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</si>
  <si>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</si>
  <si>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</si>
  <si>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</si>
  <si>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</si>
  <si>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</si>
  <si>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</si>
  <si>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</si>
  <si>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</si>
  <si>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</si>
  <si>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</si>
  <si>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</si>
  <si>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</si>
  <si>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</si>
  <si>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</si>
  <si>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</si>
  <si>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</si>
  <si>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</si>
  <si>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</si>
  <si>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</si>
  <si>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</si>
  <si>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</si>
  <si>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</si>
  <si>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</si>
  <si>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</si>
  <si>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</si>
  <si>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</si>
  <si>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</si>
  <si>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</si>
  <si>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</si>
  <si>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</si>
  <si>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</si>
  <si>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</si>
  <si>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</si>
  <si>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</si>
  <si>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</si>
  <si>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</si>
  <si>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</si>
  <si>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</si>
  <si>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</si>
  <si>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</si>
  <si>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</si>
  <si>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</si>
  <si>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</si>
  <si>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</si>
  <si>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</si>
  <si>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</si>
  <si>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</si>
  <si>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</si>
  <si>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</si>
  <si>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</si>
  <si>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</si>
  <si>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</si>
  <si>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</si>
  <si>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</si>
  <si>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</si>
  <si>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</si>
  <si>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</si>
  <si>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</si>
  <si>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</si>
  <si>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</si>
  <si>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</si>
  <si>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</si>
  <si>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</si>
  <si>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</si>
  <si>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</si>
  <si>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</si>
  <si>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</si>
  <si>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</si>
  <si>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</si>
  <si>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</si>
  <si>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</si>
  <si>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</si>
  <si>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</si>
  <si>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</si>
  <si>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</si>
  <si>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</si>
  <si>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</si>
  <si>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</si>
  <si>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</si>
  <si>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</si>
  <si>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</si>
  <si>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</si>
  <si>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</si>
  <si>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</si>
  <si>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</si>
  <si>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</si>
  <si>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</si>
  <si>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</si>
  <si>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</si>
  <si>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</si>
  <si>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</si>
  <si>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</si>
  <si>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</si>
  <si>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</si>
  <si>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</si>
  <si>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</si>
  <si>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</si>
  <si>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</si>
  <si>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</si>
  <si>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</si>
  <si>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</si>
  <si>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</si>
  <si>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</si>
  <si>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</si>
  <si>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</si>
  <si>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</si>
  <si>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</si>
  <si>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</si>
  <si>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</si>
  <si>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</si>
  <si>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</si>
  <si>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</si>
  <si>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</si>
  <si>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</si>
  <si>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</si>
  <si>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</si>
  <si>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</si>
  <si>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</si>
  <si>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</si>
  <si>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</si>
  <si>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</si>
  <si>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</si>
  <si>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</si>
  <si>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</si>
  <si>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</si>
  <si>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</si>
  <si>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</si>
  <si>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</si>
  <si>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</si>
  <si>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</si>
  <si>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</si>
  <si>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</si>
  <si>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</si>
  <si>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</si>
  <si>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</si>
  <si>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</si>
  <si>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</si>
  <si>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</si>
  <si>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</si>
  <si>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</si>
  <si>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</si>
  <si>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</si>
  <si>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</si>
  <si>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</si>
  <si>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</si>
  <si>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</si>
  <si>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</si>
  <si>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</si>
  <si>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</si>
  <si>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</si>
  <si>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</si>
  <si>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</si>
  <si>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</si>
  <si>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</si>
  <si>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</si>
  <si>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</si>
  <si>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</si>
  <si>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</si>
  <si>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</si>
  <si>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</si>
  <si>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</si>
  <si>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</si>
  <si>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</si>
  <si>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</si>
  <si>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</si>
  <si>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</si>
  <si>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</si>
  <si>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</si>
  <si>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</si>
  <si>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</si>
  <si>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</si>
  <si>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</si>
  <si>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</si>
  <si>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</si>
  <si>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</si>
  <si>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</si>
  <si>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</si>
  <si>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</si>
  <si>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</si>
  <si>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</si>
  <si>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</si>
  <si>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</si>
  <si>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</si>
  <si>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</si>
  <si>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</si>
  <si>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</si>
  <si>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</si>
  <si>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</si>
  <si>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</si>
  <si>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</si>
  <si>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</si>
  <si>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</si>
  <si>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</si>
  <si>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</si>
  <si>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</si>
  <si>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</si>
  <si>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</si>
  <si>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</si>
  <si>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</si>
  <si>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</si>
  <si>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</si>
  <si>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</si>
  <si>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</si>
  <si>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</si>
  <si>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</si>
  <si>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</si>
  <si>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</si>
  <si>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</si>
  <si>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</si>
  <si>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</si>
  <si>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</si>
  <si>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</si>
  <si>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</si>
  <si>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</si>
  <si>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</si>
  <si>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</si>
  <si>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</si>
  <si>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</si>
  <si>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</si>
  <si>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</si>
  <si>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</si>
  <si>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</si>
  <si>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</si>
  <si>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</si>
  <si>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</si>
  <si>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</si>
  <si>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</si>
  <si>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</si>
  <si>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</si>
  <si>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</si>
  <si>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</si>
  <si>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</si>
  <si>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</si>
  <si>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</si>
  <si>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</si>
  <si>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</si>
  <si>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</si>
  <si>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</si>
  <si>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</si>
  <si>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</si>
  <si>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</si>
  <si>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</si>
  <si>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</si>
  <si>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</si>
  <si>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</si>
  <si>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</si>
  <si>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</si>
  <si>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</si>
  <si>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</si>
  <si>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</si>
  <si>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</si>
  <si>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</si>
  <si>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</si>
  <si>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</si>
  <si>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</si>
  <si>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</si>
  <si>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</si>
  <si>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</si>
  <si>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</si>
  <si>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</si>
  <si>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</si>
  <si>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</si>
  <si>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</si>
  <si>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</si>
  <si>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</si>
  <si>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</si>
  <si>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</si>
  <si>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</si>
  <si>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</si>
  <si>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</si>
  <si>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</si>
  <si>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</si>
  <si>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</si>
  <si>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</si>
  <si>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</si>
  <si>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</si>
  <si>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</si>
  <si>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</si>
  <si>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</si>
  <si>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</si>
  <si>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</si>
  <si>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</si>
  <si>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</si>
  <si>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</si>
  <si>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</si>
  <si>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</si>
  <si>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</si>
  <si>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</si>
  <si>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</si>
  <si>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</si>
  <si>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</si>
  <si>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</si>
  <si>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</si>
  <si>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</si>
  <si>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</si>
  <si>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</si>
  <si>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</si>
  <si>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</si>
  <si>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</si>
  <si>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</si>
  <si>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</si>
  <si>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</si>
  <si>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</si>
  <si>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</si>
  <si>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</si>
  <si>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</si>
  <si>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</si>
  <si>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</si>
  <si>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</si>
  <si>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</si>
  <si>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</si>
  <si>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</si>
  <si>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</si>
  <si>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</si>
  <si>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</si>
  <si>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</si>
  <si>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</si>
  <si>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</si>
  <si>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</si>
  <si>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</si>
  <si>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</si>
  <si>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</si>
  <si>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</si>
  <si>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</si>
  <si>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</si>
  <si>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</si>
  <si>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</si>
  <si>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</si>
  <si>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</si>
  <si>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</si>
  <si>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</si>
  <si>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</si>
  <si>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</si>
  <si>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</si>
  <si>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</si>
  <si>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</si>
  <si>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</si>
  <si>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</si>
  <si>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</si>
  <si>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</si>
  <si>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</si>
  <si>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</si>
  <si>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</si>
  <si>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</si>
  <si>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</si>
  <si>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</si>
  <si>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</si>
  <si>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</si>
  <si>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</si>
  <si>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</si>
  <si>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</si>
  <si>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</si>
  <si>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</si>
  <si>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</si>
  <si>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</si>
  <si>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</si>
  <si>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</si>
  <si>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</si>
  <si>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</si>
  <si>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</si>
  <si>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</si>
  <si>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</si>
  <si>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</si>
  <si>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</si>
  <si>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</si>
  <si>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</si>
  <si>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</si>
  <si>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</si>
  <si>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</si>
  <si>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</si>
  <si>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</si>
  <si>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</si>
  <si>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</si>
  <si>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</si>
  <si>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</si>
  <si>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</si>
  <si>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</si>
  <si>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</si>
  <si>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</si>
  <si>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</si>
  <si>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</si>
  <si>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</si>
  <si>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</si>
  <si>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</si>
  <si>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</si>
  <si>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</si>
  <si>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</si>
  <si>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</si>
  <si>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</si>
  <si>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</si>
  <si>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</si>
  <si>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</si>
  <si>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</si>
  <si>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</si>
  <si>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</si>
  <si>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</si>
  <si>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</si>
  <si>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</si>
  <si>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</si>
  <si>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</si>
  <si>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</si>
  <si>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</si>
  <si>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</si>
  <si>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</si>
  <si>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</si>
  <si>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</si>
  <si>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</si>
  <si>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</si>
  <si>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</si>
  <si>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</si>
  <si>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</si>
  <si>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</si>
  <si>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</si>
  <si>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</si>
  <si>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</si>
  <si>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</si>
  <si>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</si>
  <si>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</si>
  <si>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</si>
  <si>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</si>
  <si>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</si>
  <si>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</si>
  <si>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</si>
  <si>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</si>
  <si>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</si>
  <si>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</si>
  <si>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</si>
  <si>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</si>
  <si>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</si>
  <si>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</si>
  <si>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</si>
  <si>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</si>
  <si>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</si>
  <si>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</si>
  <si>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</si>
  <si>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</si>
  <si>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</si>
  <si>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</si>
  <si>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</si>
  <si>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</si>
  <si>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</si>
  <si>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</si>
  <si>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</si>
  <si>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</si>
  <si>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</si>
  <si>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</si>
  <si>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</si>
  <si>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</si>
  <si>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</si>
  <si>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</si>
  <si>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</si>
  <si>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</si>
  <si>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</si>
  <si>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</si>
  <si>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</si>
  <si>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</si>
  <si>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</si>
  <si>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</si>
  <si>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</si>
  <si>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</si>
  <si>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</si>
  <si>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</si>
  <si>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</si>
  <si>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</si>
  <si>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</si>
  <si>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</si>
  <si>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</si>
  <si>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</si>
  <si>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</si>
  <si>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</si>
  <si>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</si>
  <si>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</si>
  <si>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</si>
  <si>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</si>
  <si>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</si>
  <si>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</si>
  <si>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</si>
  <si>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</si>
  <si>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</si>
  <si>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</si>
  <si>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</si>
  <si>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</si>
  <si>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</si>
  <si>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</si>
  <si>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</si>
  <si>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</si>
  <si>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</si>
  <si>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</si>
  <si>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</si>
  <si>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</si>
  <si>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</si>
  <si>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</si>
  <si>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</si>
  <si>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</si>
  <si>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</si>
  <si>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</si>
  <si>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</si>
  <si>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</si>
  <si>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</si>
  <si>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</si>
  <si>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</si>
  <si>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</si>
  <si>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</si>
  <si>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</si>
  <si>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</si>
  <si>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</si>
  <si>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</si>
  <si>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</si>
  <si>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</si>
  <si>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</si>
  <si>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</si>
  <si>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</si>
  <si>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</si>
  <si>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</si>
  <si>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</si>
  <si>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</si>
  <si>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</si>
  <si>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</si>
  <si>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</si>
  <si>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</si>
  <si>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</si>
  <si>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</si>
  <si>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</si>
  <si>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</si>
  <si>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</si>
  <si>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</si>
  <si>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</si>
  <si>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</si>
  <si>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</si>
  <si>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</si>
  <si>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</si>
  <si>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</si>
  <si>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</si>
  <si>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</si>
  <si>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</si>
  <si>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</si>
  <si>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</si>
  <si>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</si>
  <si>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</si>
  <si>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</si>
  <si>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</si>
  <si>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</si>
  <si>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</si>
  <si>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</si>
  <si>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</si>
  <si>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</si>
  <si>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</si>
  <si>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</si>
  <si>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</si>
  <si>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</si>
  <si>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</si>
  <si>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</si>
  <si>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</si>
  <si>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</si>
  <si>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</si>
  <si>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</si>
  <si>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</si>
  <si>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</si>
  <si>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</si>
  <si>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</si>
  <si>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</si>
  <si>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</si>
  <si>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</si>
  <si>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</si>
  <si>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</si>
  <si>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</si>
  <si>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</si>
  <si>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</si>
  <si>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</si>
  <si>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</si>
  <si>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</si>
  <si>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</si>
  <si>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</si>
  <si>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</si>
  <si>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</si>
  <si>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</si>
  <si>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</si>
  <si>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</si>
  <si>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</si>
  <si>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</si>
  <si>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</si>
  <si>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</si>
  <si>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</si>
  <si>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</si>
  <si>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</si>
  <si>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</si>
  <si>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</si>
  <si>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</si>
  <si>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</si>
  <si>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</si>
  <si>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</si>
  <si>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</si>
  <si>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</si>
  <si>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</si>
  <si>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</si>
  <si>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</si>
  <si>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</si>
  <si>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</si>
  <si>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</si>
  <si>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</si>
  <si>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</si>
  <si>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</si>
  <si>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</si>
  <si>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</si>
  <si>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</si>
  <si>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</si>
  <si>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</si>
  <si>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</si>
  <si>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</si>
  <si>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</si>
  <si>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</si>
  <si>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</si>
  <si>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</si>
  <si>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</si>
  <si>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</si>
  <si>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</si>
  <si>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</si>
  <si>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</si>
  <si>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</si>
  <si>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</si>
  <si>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</si>
  <si>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</si>
  <si>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</si>
  <si>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</si>
  <si>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</si>
  <si>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</si>
  <si>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</si>
  <si>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</si>
  <si>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</si>
  <si>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</si>
  <si>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</si>
  <si>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</si>
  <si>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</si>
  <si>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</si>
  <si>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</si>
  <si>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</si>
  <si>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</si>
  <si>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</si>
  <si>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</si>
  <si>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</si>
  <si>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</si>
  <si>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</si>
  <si>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</si>
  <si>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</si>
  <si>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</si>
  <si>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</si>
  <si>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</si>
  <si>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</si>
  <si>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</si>
  <si>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</si>
  <si>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</si>
  <si>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</si>
  <si>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</si>
  <si>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</si>
  <si>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</si>
  <si>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</si>
  <si>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</si>
  <si>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</si>
  <si>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</si>
  <si>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</si>
  <si>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</si>
  <si>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</si>
  <si>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</si>
  <si>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</si>
  <si>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</si>
  <si>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</si>
  <si>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</si>
  <si>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</si>
  <si>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</si>
  <si>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</si>
  <si>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</si>
  <si>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</si>
  <si>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</si>
  <si>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</si>
  <si>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</si>
  <si>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</si>
  <si>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</si>
  <si>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</si>
  <si>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</si>
  <si>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</si>
  <si>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</si>
  <si>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</si>
  <si>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</si>
  <si>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</si>
  <si>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</si>
  <si>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</si>
  <si>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</si>
  <si>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</si>
  <si>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</si>
  <si>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</si>
  <si>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</si>
  <si>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</si>
  <si>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</si>
  <si>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</si>
  <si>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</si>
  <si>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</si>
  <si>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</si>
  <si>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</si>
  <si>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</si>
  <si>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</si>
  <si>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</si>
  <si>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</si>
  <si>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</si>
  <si>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</si>
  <si>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</si>
  <si>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</si>
  <si>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</si>
  <si>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</si>
  <si>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</si>
  <si>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</si>
  <si>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</si>
  <si>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</si>
  <si>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</si>
  <si>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</si>
  <si>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</si>
  <si>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</si>
  <si>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</si>
  <si>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</si>
  <si>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</si>
  <si>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</si>
  <si>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</si>
  <si>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</si>
  <si>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</si>
  <si>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</si>
  <si>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</si>
  <si>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</si>
  <si>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</si>
  <si>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</si>
  <si>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</si>
  <si>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</si>
  <si>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</si>
  <si>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</si>
  <si>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</si>
  <si>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</si>
  <si>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</si>
  <si>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</si>
  <si>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</si>
  <si>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</si>
  <si>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</si>
  <si>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</si>
  <si>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</si>
  <si>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</si>
  <si>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</si>
  <si>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</si>
  <si>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</si>
  <si>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</si>
  <si>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</si>
  <si>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</si>
  <si>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</si>
  <si>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</si>
  <si>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</si>
  <si>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</si>
  <si>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</si>
  <si>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</si>
  <si>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</si>
  <si>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</si>
  <si>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</si>
  <si>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</si>
  <si>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</si>
  <si>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</si>
  <si>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</si>
  <si>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</si>
  <si>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</si>
  <si>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</si>
  <si>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</si>
  <si>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</si>
  <si>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</si>
  <si>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</si>
  <si>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</si>
  <si>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</si>
  <si>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</si>
  <si>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</si>
  <si>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</si>
  <si>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</si>
  <si>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</si>
  <si>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</si>
  <si>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</si>
  <si>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</si>
  <si>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</si>
  <si>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</si>
  <si>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</si>
  <si>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</si>
  <si>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</si>
  <si>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</si>
  <si>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</si>
  <si>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</si>
  <si>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</si>
  <si>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</si>
  <si>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</si>
  <si>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</si>
  <si>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</si>
  <si>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</si>
  <si>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</si>
  <si>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</si>
  <si>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</si>
  <si>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</si>
  <si>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</si>
  <si>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</si>
  <si>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</si>
  <si>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</si>
  <si>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</si>
  <si>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</si>
  <si>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</si>
  <si>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</si>
  <si>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</si>
  <si>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</si>
  <si>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</si>
  <si>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</si>
  <si>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</si>
  <si>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</si>
  <si>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</si>
  <si>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</si>
  <si>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</si>
  <si>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</si>
  <si>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</si>
  <si>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</si>
  <si>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</si>
  <si>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</si>
  <si>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</si>
  <si>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</si>
  <si>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</si>
  <si>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</si>
  <si>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</si>
  <si>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</si>
  <si>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</si>
  <si>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</si>
  <si>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</si>
  <si>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</si>
  <si>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</si>
  <si>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</si>
  <si>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</si>
  <si>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</si>
  <si>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</si>
  <si>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</si>
  <si>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</si>
  <si>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</si>
  <si>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</si>
  <si>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</si>
  <si>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</si>
  <si>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</si>
  <si>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</si>
  <si>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</si>
  <si>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</si>
  <si>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</si>
  <si>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</si>
  <si>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</si>
  <si>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</si>
  <si>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</si>
  <si>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</si>
  <si>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</si>
  <si>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</si>
  <si>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</si>
  <si>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</si>
  <si>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</si>
  <si>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</si>
  <si>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</si>
  <si>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</si>
  <si>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</si>
  <si>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</si>
  <si>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</si>
  <si>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</si>
  <si>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</si>
  <si>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</si>
  <si>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</si>
  <si>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</si>
  <si>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</si>
  <si>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</si>
  <si>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</si>
  <si>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</si>
  <si>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</si>
  <si>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</si>
  <si>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</si>
  <si>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</si>
  <si>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</si>
  <si>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</si>
  <si>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</si>
  <si>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</si>
  <si>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</si>
  <si>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</si>
  <si>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</si>
  <si>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</si>
  <si>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</si>
  <si>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</si>
  <si>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</si>
  <si>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</si>
  <si>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</si>
  <si>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</si>
  <si>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</si>
  <si>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</si>
  <si>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</si>
  <si>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</si>
  <si>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</si>
  <si>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</si>
  <si>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</si>
  <si>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</si>
  <si>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</si>
  <si>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</si>
  <si>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</si>
  <si>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</si>
  <si>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</si>
  <si>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</si>
  <si>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</si>
  <si>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</si>
  <si>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</si>
  <si>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</si>
  <si>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</si>
  <si>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</si>
  <si>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</si>
  <si>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</si>
  <si>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</si>
  <si>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</si>
  <si>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</si>
  <si>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</si>
  <si>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</si>
  <si>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</si>
  <si>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</si>
  <si>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</si>
  <si>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</si>
  <si>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</si>
  <si>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</si>
  <si>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</si>
  <si>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</si>
  <si>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</si>
  <si>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</si>
  <si>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</si>
  <si>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</si>
  <si>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</si>
  <si>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</si>
  <si>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</si>
  <si>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</si>
  <si>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</si>
  <si>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</si>
  <si>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</si>
  <si>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</si>
  <si>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</si>
  <si>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</si>
  <si>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</si>
  <si>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</si>
  <si>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</si>
  <si>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</si>
  <si>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</si>
  <si>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</si>
  <si>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</si>
  <si>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</si>
  <si>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</si>
  <si>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</si>
  <si>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</si>
  <si>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</si>
  <si>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</si>
  <si>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</si>
  <si>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</si>
  <si>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</si>
  <si>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</si>
  <si>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</si>
  <si>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</si>
  <si>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</si>
  <si>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</si>
  <si>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</si>
  <si>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</si>
  <si>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</si>
  <si>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</si>
  <si>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</si>
  <si>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</si>
  <si>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</si>
  <si>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</si>
  <si>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</si>
  <si>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</si>
  <si>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</si>
  <si>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</si>
  <si>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</si>
  <si>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</si>
  <si>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</si>
  <si>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</si>
  <si>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</si>
  <si>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</si>
  <si>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</si>
  <si>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</si>
  <si>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</si>
  <si>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</si>
  <si>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</si>
  <si>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</si>
  <si>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</si>
  <si>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</si>
  <si>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</si>
  <si>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</si>
  <si>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</si>
  <si>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</si>
  <si>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</si>
  <si>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</si>
  <si>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</si>
  <si>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</si>
  <si>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</si>
  <si>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</si>
  <si>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</si>
  <si>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</si>
  <si>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</si>
  <si>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</si>
  <si>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</si>
  <si>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</si>
  <si>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</si>
  <si>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</si>
  <si>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</si>
  <si>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</si>
  <si>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</si>
  <si>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</si>
  <si>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</si>
  <si>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</si>
  <si>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</si>
  <si>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</si>
  <si>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</si>
  <si>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</si>
  <si>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</si>
  <si>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</si>
  <si>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</si>
  <si>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</si>
  <si>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</si>
  <si>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</si>
  <si>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</si>
  <si>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</si>
  <si>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</si>
  <si>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</si>
  <si>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</si>
  <si>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</si>
  <si>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</si>
  <si>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</si>
  <si>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</si>
  <si>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</si>
  <si>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</si>
  <si>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</si>
  <si>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</si>
  <si>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</si>
  <si>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</si>
  <si>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</si>
  <si>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</si>
  <si>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</si>
  <si>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</si>
  <si>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</si>
  <si>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</si>
  <si>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</si>
  <si>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</si>
  <si>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</si>
  <si>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</si>
  <si>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</si>
  <si>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</si>
  <si>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</si>
  <si>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</si>
  <si>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</si>
  <si>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</si>
  <si>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</si>
  <si>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</si>
  <si>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</si>
  <si>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</si>
  <si>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</si>
  <si>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</si>
  <si>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</si>
  <si>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</si>
  <si>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</si>
  <si>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</si>
  <si>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</si>
  <si>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</si>
  <si>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</si>
  <si>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</si>
  <si>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</si>
  <si>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</si>
  <si>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</si>
  <si>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</si>
  <si>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</si>
  <si>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</si>
  <si>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</si>
  <si>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</si>
  <si>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</si>
  <si>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</si>
  <si>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</si>
  <si>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</si>
  <si>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</si>
  <si>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</si>
  <si>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</si>
  <si>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</si>
  <si>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</si>
  <si>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</si>
  <si>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</si>
  <si>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</si>
  <si>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</si>
  <si>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</si>
  <si>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</si>
  <si>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</si>
  <si>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</si>
  <si>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</si>
  <si>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</si>
  <si>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</si>
  <si>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</si>
  <si>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</si>
  <si>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</si>
  <si>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</si>
  <si>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</si>
  <si>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</si>
  <si>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</si>
  <si>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</si>
  <si>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</si>
  <si>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</si>
  <si>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</si>
  <si>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</si>
  <si>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</si>
  <si>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</si>
  <si>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</si>
  <si>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</si>
  <si>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</si>
  <si>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</si>
  <si>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</si>
  <si>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</si>
  <si>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</si>
  <si>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</si>
  <si>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</si>
  <si>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</si>
  <si>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</si>
  <si>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</si>
  <si>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</si>
  <si>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</si>
  <si>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</si>
  <si>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</si>
  <si>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</si>
  <si>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</si>
  <si>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</si>
  <si>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</si>
  <si>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</si>
  <si>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</si>
  <si>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</si>
  <si>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</si>
  <si>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</si>
  <si>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</si>
  <si>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</si>
  <si>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</si>
  <si>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</si>
  <si>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</si>
  <si>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</si>
  <si>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</si>
  <si>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</si>
  <si>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</si>
  <si>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</si>
  <si>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</si>
  <si>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</si>
  <si>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</si>
  <si>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</si>
  <si>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</si>
  <si>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</si>
  <si>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</si>
  <si>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</si>
  <si>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</si>
  <si>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</si>
  <si>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</si>
  <si>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</si>
  <si>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</si>
  <si>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</si>
  <si>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</si>
  <si>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</si>
  <si>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</si>
  <si>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</si>
  <si>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</si>
  <si>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</si>
  <si>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</si>
  <si>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</si>
  <si>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</si>
  <si>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</si>
  <si>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</si>
  <si>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</si>
  <si>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</si>
  <si>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</si>
  <si>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</si>
  <si>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</si>
  <si>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</si>
  <si>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</si>
  <si>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</si>
  <si>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</si>
  <si>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</si>
  <si>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</si>
  <si>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</si>
  <si>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</si>
  <si>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</si>
  <si>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</si>
  <si>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</si>
  <si>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</si>
  <si>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</si>
  <si>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</si>
  <si>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</si>
  <si>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</si>
  <si>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</si>
  <si>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</si>
  <si>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</si>
  <si>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</si>
  <si>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</si>
  <si>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</si>
  <si>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</si>
  <si>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</si>
  <si>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</si>
  <si>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</si>
  <si>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</si>
  <si>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</si>
  <si>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</si>
  <si>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</si>
  <si>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</si>
  <si>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</si>
  <si>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</si>
  <si>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</si>
  <si>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</si>
  <si>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</si>
  <si>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</si>
  <si>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</si>
  <si>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</si>
  <si>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</si>
  <si>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</si>
  <si>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</si>
  <si>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</si>
  <si>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</si>
  <si>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</si>
  <si>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</si>
  <si>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</si>
  <si>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</si>
  <si>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</si>
  <si>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</si>
  <si>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</si>
  <si>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</si>
  <si>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</si>
  <si>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</si>
  <si>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</si>
  <si>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</si>
  <si>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</si>
  <si>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</si>
  <si>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</si>
  <si>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</si>
  <si>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</si>
  <si>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</si>
  <si>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</si>
  <si>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</si>
  <si>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</si>
  <si>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</si>
  <si>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</si>
  <si>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</si>
  <si>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</si>
  <si>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</si>
  <si>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</si>
  <si>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</si>
  <si>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</si>
  <si>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</si>
  <si>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</si>
  <si>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</si>
  <si>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</si>
  <si>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</si>
  <si>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</si>
  <si>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</si>
  <si>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</si>
  <si>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</si>
  <si>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</si>
  <si>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</si>
  <si>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</si>
  <si>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</si>
  <si>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</si>
  <si>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</si>
  <si>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</si>
  <si>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</si>
  <si>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</si>
  <si>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</si>
  <si>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</si>
  <si>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</si>
  <si>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</si>
  <si>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</si>
  <si>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</si>
  <si>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</si>
  <si>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</si>
  <si>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</si>
  <si>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</si>
  <si>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</si>
  <si>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</si>
  <si>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</si>
  <si>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</si>
  <si>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</si>
  <si>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</si>
  <si>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</si>
  <si>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</si>
  <si>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</si>
  <si>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</si>
  <si>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</si>
  <si>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</si>
  <si>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</si>
  <si>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</si>
  <si>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</si>
  <si>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</si>
  <si>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</si>
  <si>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</si>
  <si>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</si>
  <si>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</si>
  <si>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</si>
  <si>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</si>
  <si>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</si>
  <si>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</si>
  <si>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</si>
  <si>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</si>
  <si>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</si>
  <si>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</si>
  <si>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</si>
  <si>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</si>
  <si>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</si>
  <si>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</si>
  <si>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</si>
  <si>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</si>
  <si>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</si>
  <si>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</si>
  <si>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</si>
  <si>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</si>
  <si>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</si>
  <si>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</si>
  <si>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</si>
  <si>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</si>
  <si>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</si>
  <si>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</si>
  <si>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</si>
  <si>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</si>
  <si>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</si>
  <si>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</si>
  <si>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</si>
  <si>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</si>
  <si>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</si>
  <si>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</si>
  <si>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</si>
  <si>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</si>
  <si>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</si>
  <si>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</si>
  <si>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</si>
  <si>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</si>
  <si>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</si>
  <si>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</si>
  <si>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</si>
  <si>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</si>
  <si>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</si>
  <si>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</si>
  <si>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</si>
  <si>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</si>
  <si>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</si>
  <si>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</si>
  <si>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</si>
  <si>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</si>
  <si>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</si>
  <si>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</si>
  <si>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</si>
  <si>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</si>
  <si>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</si>
  <si>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</si>
  <si>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</si>
  <si>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</si>
  <si>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</si>
  <si>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</si>
  <si>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</si>
  <si>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</si>
  <si>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</si>
  <si>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</si>
  <si>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</si>
  <si>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</si>
  <si>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</si>
  <si>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</si>
  <si>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</si>
  <si>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</si>
  <si>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</si>
  <si>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</si>
  <si>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</si>
  <si>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</si>
  <si>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</si>
  <si>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</si>
  <si>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</si>
  <si>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</si>
  <si>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</si>
  <si>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</si>
  <si>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</si>
  <si>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</si>
  <si>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</si>
  <si>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</si>
  <si>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</si>
  <si>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</si>
  <si>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</si>
  <si>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</si>
  <si>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</si>
  <si>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</si>
  <si>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</si>
  <si>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</si>
  <si>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</si>
  <si>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</si>
  <si>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</si>
  <si>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</si>
  <si>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</si>
  <si>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</si>
  <si>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</si>
  <si>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</si>
  <si>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</si>
  <si>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</si>
  <si>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</si>
  <si>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</si>
  <si>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</si>
  <si>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</si>
  <si>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</si>
  <si>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</si>
  <si>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</si>
  <si>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</si>
  <si>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</si>
  <si>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</si>
  <si>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</si>
  <si>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</si>
  <si>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</si>
  <si>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</si>
  <si>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</si>
  <si>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</si>
  <si>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</si>
  <si>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</si>
  <si>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</si>
  <si>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</si>
  <si>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</si>
  <si>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</si>
  <si>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</si>
  <si>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</si>
  <si>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</si>
  <si>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</si>
  <si>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</si>
  <si>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</si>
  <si>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</si>
  <si>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</si>
  <si>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</si>
  <si>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</si>
  <si>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</si>
  <si>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</si>
  <si>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</si>
  <si>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</si>
  <si>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</si>
  <si>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</si>
  <si>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</si>
  <si>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</si>
  <si>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</si>
  <si>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</si>
  <si>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</si>
  <si>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</si>
  <si>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</si>
  <si>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</si>
  <si>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</si>
  <si>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</si>
  <si>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</si>
  <si>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</si>
  <si>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</si>
  <si>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</si>
  <si>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</si>
  <si>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</si>
  <si>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</si>
  <si>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</si>
  <si>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</si>
  <si>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</si>
  <si>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</si>
  <si>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</si>
  <si>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</si>
  <si>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</si>
  <si>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</si>
  <si>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</si>
  <si>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</si>
  <si>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</si>
  <si>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</si>
  <si>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</si>
  <si>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</si>
  <si>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</si>
  <si>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</si>
  <si>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</si>
  <si>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</si>
  <si>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</si>
  <si>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</si>
  <si>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</si>
  <si>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</si>
  <si>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</si>
  <si>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</si>
  <si>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</si>
  <si>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</si>
  <si>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</si>
  <si>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</si>
  <si>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</si>
  <si>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</si>
  <si>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</si>
  <si>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</si>
  <si>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</si>
  <si>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</si>
  <si>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</si>
  <si>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</si>
  <si>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</si>
  <si>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</si>
  <si>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</si>
  <si>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</si>
  <si>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</si>
  <si>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</si>
  <si>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</si>
  <si>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</si>
  <si>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</si>
  <si>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</si>
  <si>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</si>
  <si>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</si>
  <si>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</si>
  <si>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</si>
  <si>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</si>
  <si>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</si>
  <si>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</si>
  <si>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</si>
  <si>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</si>
  <si>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</si>
  <si>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</si>
  <si>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</si>
  <si>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</si>
  <si>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</si>
  <si>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</si>
  <si>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</si>
  <si>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</si>
  <si>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</si>
  <si>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</si>
  <si>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</si>
  <si>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</si>
  <si>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</si>
  <si>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</si>
  <si>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</si>
  <si>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</si>
  <si>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</si>
  <si>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</si>
  <si>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</si>
  <si>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</si>
  <si>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</si>
  <si>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</si>
  <si>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</si>
  <si>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</si>
  <si>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</si>
  <si>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</si>
  <si>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</si>
  <si>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</si>
  <si>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</si>
  <si>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</si>
  <si>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</si>
  <si>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</si>
  <si>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</si>
  <si>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</si>
  <si>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</si>
  <si>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</si>
  <si>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</si>
  <si>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</si>
  <si>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</si>
  <si>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</si>
  <si>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</si>
  <si>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</si>
  <si>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</si>
  <si>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</si>
  <si>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</si>
  <si>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</si>
  <si>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</si>
  <si>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</si>
  <si>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</si>
  <si>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</si>
  <si>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</si>
  <si>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</si>
  <si>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</si>
  <si>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</si>
  <si>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</si>
  <si>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</si>
  <si>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</si>
  <si>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</si>
  <si>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</si>
  <si>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</si>
  <si>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</si>
  <si>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</si>
  <si>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</si>
  <si>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</si>
  <si>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</si>
  <si>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</si>
  <si>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</si>
  <si>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</si>
  <si>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</si>
  <si>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</si>
  <si>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</si>
  <si>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</si>
  <si>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</si>
  <si>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</si>
  <si>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</si>
  <si>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</si>
  <si>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</si>
  <si>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</si>
  <si>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</si>
  <si>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</si>
  <si>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</si>
  <si>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</si>
  <si>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</si>
  <si>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</si>
  <si>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</si>
  <si>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</si>
  <si>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</si>
  <si>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</si>
  <si>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</si>
  <si>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</si>
  <si>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</si>
  <si>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</si>
  <si>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</si>
  <si>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</si>
  <si>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</si>
  <si>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</si>
  <si>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</si>
  <si>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</si>
  <si>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</si>
  <si>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</si>
  <si>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</si>
  <si>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</si>
  <si>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</si>
  <si>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</si>
  <si>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</si>
  <si>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</si>
  <si>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</si>
  <si>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</si>
  <si>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</si>
  <si>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</si>
  <si>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</si>
  <si>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</si>
  <si>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</si>
  <si>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</si>
  <si>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</si>
  <si>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</si>
  <si>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</si>
  <si>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</si>
  <si>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</si>
  <si>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</si>
  <si>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</si>
  <si>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</si>
  <si>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</si>
  <si>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</si>
  <si>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</si>
  <si>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</si>
  <si>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</si>
  <si>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</si>
  <si>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</si>
  <si>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</si>
  <si>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</si>
  <si>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</si>
  <si>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</si>
  <si>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</si>
  <si>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</si>
  <si>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</si>
  <si>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</si>
  <si>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</si>
  <si>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</si>
  <si>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</si>
  <si>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</si>
  <si>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</si>
  <si>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</si>
  <si>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</si>
  <si>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</si>
  <si>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</si>
  <si>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</si>
  <si>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</si>
  <si>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</si>
  <si>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</si>
  <si>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</si>
  <si>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</si>
  <si>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</si>
  <si>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</si>
  <si>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</si>
  <si>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</si>
  <si>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</si>
  <si>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</si>
  <si>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</si>
  <si>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</si>
  <si>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</si>
  <si>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</si>
  <si>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</si>
  <si>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</si>
  <si>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</si>
  <si>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</si>
  <si>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</si>
  <si>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</si>
  <si>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</si>
  <si>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</si>
  <si>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</si>
  <si>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</si>
  <si>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</si>
  <si>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</si>
  <si>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</si>
  <si>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</si>
  <si>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</si>
  <si>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</si>
  <si>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</si>
  <si>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</si>
  <si>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</si>
  <si>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</si>
  <si>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</si>
  <si>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</si>
  <si>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</si>
  <si>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</si>
  <si>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</si>
  <si>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</si>
  <si>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</si>
  <si>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</si>
  <si>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</si>
  <si>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</si>
  <si>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</si>
  <si>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</si>
  <si>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</si>
  <si>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</si>
  <si>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</si>
  <si>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</si>
  <si>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</si>
  <si>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</si>
  <si>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</si>
  <si>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</si>
  <si>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</si>
  <si>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</si>
  <si>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</si>
  <si>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</si>
  <si>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</si>
  <si>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</si>
  <si>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</si>
  <si>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</si>
  <si>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</si>
  <si>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</si>
  <si>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</si>
  <si>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</si>
  <si>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</si>
  <si>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</si>
  <si>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</si>
  <si>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</si>
  <si>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</si>
  <si>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</si>
  <si>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</si>
  <si>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</si>
  <si>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</si>
  <si>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</si>
  <si>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</si>
  <si>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</si>
  <si>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</si>
  <si>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</si>
  <si>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</si>
  <si>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</si>
  <si>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</si>
  <si>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</si>
  <si>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</si>
  <si>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</si>
  <si>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</si>
  <si>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</si>
  <si>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</si>
  <si>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</si>
  <si>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</si>
  <si>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</si>
  <si>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</si>
  <si>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</si>
  <si>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</si>
  <si>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</si>
  <si>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</si>
  <si>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</si>
  <si>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</si>
  <si>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</si>
  <si>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</si>
  <si>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</si>
  <si>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</si>
  <si>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</si>
  <si>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</si>
  <si>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</si>
  <si>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</si>
  <si>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</si>
  <si>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</si>
  <si>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</si>
  <si>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</si>
  <si>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</si>
  <si>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</si>
  <si>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</si>
  <si>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</si>
  <si>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</si>
  <si>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</si>
  <si>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</si>
  <si>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</si>
  <si>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</si>
  <si>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</si>
  <si>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</si>
  <si>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</si>
  <si>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</si>
  <si>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</si>
  <si>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</si>
  <si>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</si>
  <si>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</si>
  <si>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</si>
  <si>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</si>
  <si>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</si>
  <si>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</si>
  <si>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</si>
  <si>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</si>
  <si>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</si>
  <si>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</si>
  <si>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</si>
  <si>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</si>
  <si>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</si>
  <si>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</si>
  <si>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</si>
  <si>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</si>
  <si>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</si>
  <si>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</si>
  <si>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</si>
  <si>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</si>
  <si>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</si>
  <si>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</si>
  <si>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</si>
  <si>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</si>
  <si>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</si>
  <si>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</si>
  <si>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</si>
  <si>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</si>
  <si>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</si>
  <si>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</si>
  <si>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</si>
  <si>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</si>
  <si>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</si>
  <si>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</si>
  <si>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</si>
  <si>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</si>
  <si>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</si>
  <si>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</si>
  <si>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</si>
  <si>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</si>
  <si>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</si>
  <si>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</si>
  <si>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</si>
  <si>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</si>
  <si>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</si>
  <si>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</si>
  <si>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</si>
  <si>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</si>
  <si>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</si>
  <si>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</si>
  <si>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</si>
  <si>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</si>
  <si>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</si>
  <si>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</si>
  <si>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</si>
  <si>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</si>
  <si>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</si>
  <si>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</si>
  <si>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</si>
  <si>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</si>
  <si>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</si>
  <si>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</si>
  <si>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</si>
  <si>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</si>
  <si>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</si>
  <si>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</si>
  <si>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</si>
  <si>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</si>
  <si>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</si>
  <si>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</si>
  <si>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</si>
  <si>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</si>
  <si>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</si>
  <si>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</si>
  <si>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</si>
  <si>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</si>
  <si>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</si>
  <si>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</si>
  <si>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</si>
  <si>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</si>
  <si>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</si>
  <si>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</si>
  <si>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</si>
  <si>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</si>
  <si>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</si>
  <si>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</si>
  <si>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</si>
  <si>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</si>
  <si>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</si>
  <si>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</si>
  <si>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</si>
  <si>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</si>
  <si>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</si>
  <si>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</si>
  <si>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</si>
  <si>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</si>
  <si>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</si>
  <si>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</si>
  <si>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</si>
  <si>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</si>
  <si>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</si>
  <si>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</si>
  <si>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</si>
  <si>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</si>
  <si>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</si>
  <si>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</si>
  <si>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</si>
  <si>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</si>
  <si>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</si>
  <si>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</si>
  <si>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</si>
  <si>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</si>
  <si>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</si>
  <si>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</si>
  <si>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</si>
  <si>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</si>
  <si>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</si>
  <si>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</si>
  <si>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</si>
  <si>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</si>
  <si>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</si>
  <si>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</si>
  <si>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</si>
  <si>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</si>
  <si>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</si>
  <si>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</si>
  <si>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</si>
  <si>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</si>
  <si>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</si>
  <si>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</si>
  <si>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</si>
  <si>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</si>
  <si>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</si>
  <si>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</si>
  <si>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</si>
  <si>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</si>
  <si>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</si>
  <si>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</si>
  <si>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</si>
  <si>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</si>
  <si>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</si>
  <si>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</si>
  <si>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</si>
  <si>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</si>
  <si>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</si>
  <si>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</si>
  <si>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</si>
  <si>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</si>
  <si>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</si>
  <si>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</si>
  <si>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</si>
  <si>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</si>
  <si>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</si>
  <si>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</si>
  <si>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</si>
  <si>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</si>
  <si>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</si>
  <si>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</si>
  <si>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</si>
  <si>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</si>
  <si>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</si>
  <si>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</si>
  <si>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</si>
  <si>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</si>
  <si>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</si>
  <si>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</si>
  <si>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</si>
  <si>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</si>
  <si>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</si>
  <si>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</si>
  <si>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</si>
  <si>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</si>
  <si>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</si>
  <si>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</si>
  <si>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</si>
  <si>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</si>
  <si>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</si>
  <si>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</si>
  <si>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</si>
  <si>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</si>
  <si>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</si>
  <si>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</si>
  <si>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</si>
  <si>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</si>
  <si>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</si>
  <si>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</si>
  <si>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</si>
  <si>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</si>
  <si>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</si>
  <si>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</si>
  <si>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</si>
  <si>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</si>
  <si>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</si>
  <si>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</si>
  <si>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</si>
  <si>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</si>
  <si>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</si>
  <si>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</si>
  <si>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</si>
  <si>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</si>
  <si>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</si>
  <si>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</si>
  <si>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</si>
  <si>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</si>
  <si>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</si>
  <si>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</si>
  <si>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</si>
  <si>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</si>
  <si>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</si>
  <si>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</si>
  <si>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</si>
  <si>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</si>
  <si>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</si>
  <si>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</si>
  <si>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</si>
  <si>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</si>
  <si>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</si>
  <si>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</si>
  <si>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</si>
  <si>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</si>
  <si>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</si>
  <si>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</si>
  <si>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</si>
  <si>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</si>
  <si>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</si>
  <si>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</si>
  <si>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</si>
  <si>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</si>
  <si>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</si>
  <si>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</si>
  <si>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</si>
  <si>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</si>
  <si>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</si>
  <si>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</si>
  <si>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</si>
  <si>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</si>
  <si>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</si>
  <si>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</si>
  <si>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</si>
  <si>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</si>
  <si>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</si>
  <si>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</si>
  <si>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</si>
  <si>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</si>
  <si>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</si>
  <si>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</si>
  <si>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</si>
  <si>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</si>
  <si>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</si>
  <si>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</si>
  <si>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</si>
  <si>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</si>
  <si>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</si>
  <si>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</si>
  <si>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</si>
  <si>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</si>
  <si>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</si>
  <si>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</si>
  <si>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</si>
  <si>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</si>
  <si>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</si>
  <si>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</si>
  <si>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</si>
  <si>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</si>
  <si>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</si>
  <si>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</si>
  <si>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</si>
  <si>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</si>
  <si>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</si>
  <si>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</si>
  <si>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</si>
  <si>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</si>
  <si>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</si>
  <si>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</si>
  <si>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</si>
  <si>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</si>
  <si>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</si>
  <si>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</si>
  <si>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</si>
  <si>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</si>
  <si>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</si>
  <si>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</si>
  <si>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</si>
  <si>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</si>
  <si>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</si>
  <si>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</si>
  <si>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</si>
  <si>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</si>
  <si>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</si>
  <si>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</si>
  <si>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</si>
  <si>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</si>
  <si>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</si>
  <si>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</si>
  <si>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</si>
  <si>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</si>
  <si>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</si>
  <si>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</si>
  <si>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</si>
  <si>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</si>
  <si>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</si>
  <si>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</si>
  <si>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</si>
  <si>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</si>
  <si>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</si>
  <si>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</si>
  <si>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</si>
  <si>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</si>
  <si>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</si>
  <si>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</si>
  <si>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</si>
  <si>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</si>
  <si>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</si>
  <si>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</si>
  <si>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</si>
  <si>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</si>
  <si>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</si>
  <si>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</si>
  <si>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</si>
  <si>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</si>
  <si>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</si>
  <si>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</si>
  <si>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</si>
  <si>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</si>
  <si>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</si>
  <si>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</si>
  <si>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</si>
  <si>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</si>
  <si>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</si>
  <si>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</si>
  <si>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</si>
  <si>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</si>
  <si>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</si>
  <si>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</si>
  <si>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</si>
  <si>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</si>
  <si>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</si>
  <si>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</si>
  <si>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</si>
  <si>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</si>
  <si>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</si>
  <si>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</si>
  <si>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</si>
  <si>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</si>
  <si>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</si>
  <si>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</si>
  <si>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</si>
  <si>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</si>
  <si>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</si>
  <si>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</si>
  <si>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</si>
  <si>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</si>
  <si>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</si>
  <si>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</si>
  <si>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</si>
  <si>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</si>
  <si>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</si>
  <si>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</si>
  <si>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</si>
  <si>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</si>
  <si>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</si>
  <si>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</si>
  <si>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</si>
  <si>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</si>
  <si>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</si>
  <si>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</si>
  <si>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</si>
  <si>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</si>
  <si>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</si>
  <si>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</si>
  <si>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</si>
  <si>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</si>
  <si>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</si>
  <si>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</si>
  <si>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</si>
  <si>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</si>
  <si>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</si>
  <si>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</si>
  <si>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</si>
  <si>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</si>
  <si>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</si>
  <si>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</si>
  <si>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</si>
  <si>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</si>
  <si>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</si>
  <si>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</si>
  <si>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</si>
  <si>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</si>
  <si>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</si>
  <si>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</si>
  <si>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</si>
  <si>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</si>
  <si>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</si>
  <si>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</si>
  <si>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</si>
  <si>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</si>
  <si>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</si>
  <si>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</si>
  <si>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</si>
  <si>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</si>
  <si>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</si>
  <si>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</si>
  <si>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</si>
  <si>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</si>
  <si>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</si>
  <si>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</si>
  <si>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</si>
  <si>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</si>
  <si>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</si>
  <si>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</si>
  <si>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</si>
  <si>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</si>
  <si>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</si>
  <si>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</si>
  <si>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</si>
  <si>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</si>
  <si>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</si>
  <si>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</si>
  <si>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</si>
  <si>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</si>
  <si>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</si>
  <si>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</si>
  <si>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</si>
  <si>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</si>
  <si>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</si>
  <si>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</si>
  <si>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</si>
  <si>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</si>
  <si>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</si>
  <si>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</si>
  <si>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</si>
  <si>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</si>
  <si>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</si>
  <si>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</si>
  <si>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</si>
  <si>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</si>
  <si>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</si>
  <si>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</si>
  <si>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</si>
  <si>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</si>
  <si>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</si>
  <si>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</si>
  <si>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</si>
  <si>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</si>
  <si>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</si>
  <si>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</si>
  <si>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</si>
  <si>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</si>
  <si>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</si>
  <si>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</si>
  <si>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</si>
  <si>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</si>
  <si>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</si>
  <si>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</si>
  <si>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</si>
  <si>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</si>
  <si>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</si>
  <si>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</si>
  <si>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</si>
  <si>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</si>
  <si>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</si>
  <si>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</si>
  <si>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</si>
  <si>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</si>
  <si>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</si>
  <si>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</si>
  <si>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</si>
  <si>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</si>
  <si>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</si>
  <si>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</si>
  <si>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</si>
  <si>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</si>
  <si>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</si>
  <si>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</si>
  <si>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</si>
  <si>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</si>
  <si>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</si>
  <si>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</si>
  <si>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</si>
  <si>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</si>
  <si>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</si>
  <si>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</si>
  <si>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</si>
  <si>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</si>
  <si>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</si>
  <si>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</si>
  <si>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</si>
  <si>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</si>
  <si>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</si>
  <si>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</si>
  <si>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</si>
  <si>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</si>
  <si>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</si>
  <si>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</si>
  <si>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</si>
  <si>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</si>
  <si>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</si>
  <si>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</si>
  <si>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</si>
  <si>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</si>
  <si>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</si>
  <si>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</si>
  <si>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</si>
  <si>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</si>
  <si>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</si>
  <si>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</si>
  <si>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</si>
  <si>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</si>
  <si>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</si>
  <si>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</si>
  <si>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</si>
  <si>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</si>
  <si>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</si>
  <si>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</si>
  <si>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</si>
  <si>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</si>
  <si>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</si>
  <si>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</si>
  <si>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</si>
  <si>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</si>
  <si>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</si>
  <si>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</si>
  <si>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</si>
  <si>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</si>
  <si>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</si>
  <si>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</si>
  <si>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</si>
  <si>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</si>
  <si>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</si>
  <si>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</si>
  <si>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</si>
  <si>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</si>
  <si>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</si>
  <si>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</si>
  <si>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</si>
  <si>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</si>
  <si>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</si>
  <si>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</si>
  <si>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</si>
  <si>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</si>
  <si>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</si>
  <si>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</si>
  <si>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</si>
  <si>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</si>
  <si>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</si>
  <si>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</si>
  <si>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</si>
  <si>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</si>
  <si>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</si>
  <si>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</si>
  <si>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</si>
  <si>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</si>
  <si>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</si>
  <si>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</si>
  <si>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</si>
  <si>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</si>
  <si>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</si>
  <si>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</si>
  <si>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</si>
  <si>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</si>
  <si>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</si>
  <si>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</si>
  <si>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</si>
  <si>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</si>
  <si>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</si>
  <si>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</si>
  <si>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</si>
  <si>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</si>
  <si>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</si>
  <si>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</si>
  <si>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</si>
  <si>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</si>
  <si>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</si>
  <si>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</si>
  <si>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</si>
  <si>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</si>
  <si>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</si>
  <si>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</si>
  <si>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</si>
  <si>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</si>
  <si>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</si>
  <si>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</si>
  <si>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</si>
  <si>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</si>
  <si>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</si>
  <si>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</si>
  <si>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</si>
  <si>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</si>
  <si>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</si>
  <si>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</si>
  <si>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</si>
  <si>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</si>
  <si>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</si>
  <si>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</si>
  <si>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</si>
  <si>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</si>
  <si>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</si>
  <si>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</si>
  <si>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</si>
  <si>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</si>
  <si>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</si>
  <si>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</si>
  <si>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</si>
  <si>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</si>
  <si>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</si>
  <si>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</si>
  <si>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</si>
  <si>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</si>
  <si>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</si>
  <si>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</si>
  <si>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</si>
  <si>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</si>
  <si>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</si>
  <si>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</si>
  <si>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</si>
  <si>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</si>
  <si>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</si>
  <si>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</si>
  <si>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</si>
  <si>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</si>
  <si>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</si>
  <si>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</si>
  <si>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</si>
  <si>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</si>
  <si>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</si>
  <si>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</si>
  <si>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</si>
  <si>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</si>
  <si>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</si>
  <si>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</si>
  <si>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</si>
  <si>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</si>
  <si>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</si>
  <si>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</si>
  <si>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</si>
  <si>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</si>
  <si>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</si>
  <si>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</si>
  <si>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</si>
  <si>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</si>
  <si>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</si>
  <si>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</si>
  <si>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</si>
  <si>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</si>
  <si>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</si>
  <si>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</si>
  <si>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</si>
  <si>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</si>
  <si>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</si>
  <si>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</si>
  <si>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</si>
  <si>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</si>
  <si>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</si>
  <si>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</si>
  <si>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</si>
  <si>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</si>
  <si>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</si>
  <si>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</si>
  <si>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</si>
  <si>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</si>
  <si>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</si>
  <si>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</si>
  <si>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</si>
  <si>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</si>
  <si>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</si>
  <si>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</si>
  <si>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</si>
  <si>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</si>
  <si>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</si>
  <si>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</si>
  <si>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</si>
  <si>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</si>
  <si>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</si>
  <si>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</si>
  <si>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</si>
  <si>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</si>
  <si>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</si>
  <si>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</si>
  <si>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</si>
  <si>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</si>
  <si>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</si>
  <si>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</si>
  <si>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</si>
  <si>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</si>
  <si>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</si>
  <si>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</si>
  <si>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</si>
  <si>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</si>
  <si>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</si>
  <si>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</si>
  <si>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</si>
  <si>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</si>
  <si>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</si>
  <si>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</si>
  <si>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</si>
  <si>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</si>
  <si>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</si>
  <si>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</si>
  <si>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</si>
  <si>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</si>
  <si>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</si>
  <si>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</si>
  <si>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</si>
  <si>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</si>
  <si>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</si>
  <si>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</si>
  <si>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</si>
  <si>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</si>
  <si>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</si>
  <si>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</si>
  <si>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</si>
  <si>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</si>
  <si>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</si>
  <si>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</si>
  <si>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</si>
  <si>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</si>
  <si>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</si>
  <si>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</si>
  <si>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</si>
  <si>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</si>
  <si>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</si>
  <si>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</si>
  <si>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</si>
  <si>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</si>
  <si>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</si>
  <si>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</si>
  <si>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</si>
  <si>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</si>
  <si>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</si>
  <si>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</si>
  <si>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</si>
  <si>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</si>
  <si>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</si>
  <si>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</si>
  <si>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</si>
  <si>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</si>
  <si>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</si>
  <si>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</si>
  <si>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</si>
  <si>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</si>
  <si>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</si>
  <si>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</si>
  <si>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</si>
  <si>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</si>
  <si>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</si>
  <si>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</si>
  <si>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</si>
  <si>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</si>
  <si>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</si>
  <si>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</si>
  <si>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</si>
  <si>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</si>
  <si>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</si>
  <si>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</si>
  <si>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</si>
  <si>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</si>
  <si>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</si>
  <si>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</si>
  <si>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</si>
  <si>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</si>
  <si>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</si>
  <si>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</si>
  <si>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</si>
  <si>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</si>
  <si>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</si>
  <si>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</si>
  <si>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</si>
  <si>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</si>
  <si>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</si>
  <si>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</si>
  <si>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</si>
  <si>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</si>
  <si>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</si>
  <si>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</si>
  <si>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</si>
  <si>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</si>
  <si>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</si>
  <si>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</si>
  <si>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</si>
  <si>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</si>
  <si>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</si>
  <si>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</si>
  <si>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</si>
  <si>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</si>
  <si>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</si>
  <si>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</si>
  <si>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</si>
  <si>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</si>
  <si>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</si>
  <si>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</si>
  <si>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</si>
  <si>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</si>
  <si>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</si>
  <si>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</si>
  <si>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</si>
  <si>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</si>
  <si>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</si>
  <si>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</si>
  <si>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</si>
  <si>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</si>
  <si>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</si>
  <si>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</si>
  <si>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</si>
  <si>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</si>
  <si>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</si>
  <si>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</si>
  <si>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</si>
  <si>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</si>
  <si>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</si>
  <si>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</si>
  <si>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</si>
  <si>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</si>
  <si>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</si>
  <si>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</si>
  <si>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</si>
  <si>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</si>
  <si>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</si>
  <si>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</si>
  <si>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</si>
  <si>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</si>
  <si>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</si>
  <si>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</si>
  <si>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</si>
  <si>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</si>
  <si>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</si>
  <si>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</si>
  <si>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</si>
  <si>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</si>
  <si>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</si>
  <si>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</si>
  <si>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</si>
  <si>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</si>
  <si>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</si>
  <si>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</si>
  <si>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</si>
  <si>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</si>
  <si>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</si>
  <si>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</si>
  <si>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</si>
  <si>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</si>
  <si>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</si>
  <si>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</si>
  <si>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</si>
  <si>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</si>
  <si>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</si>
  <si>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</si>
  <si>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</si>
  <si>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</si>
  <si>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</si>
  <si>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</si>
  <si>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</si>
  <si>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</si>
  <si>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</si>
  <si>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</si>
  <si>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</si>
  <si>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</si>
  <si>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</si>
  <si>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</si>
  <si>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</si>
  <si>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</si>
  <si>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</si>
  <si>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</si>
  <si>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</si>
  <si>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</si>
  <si>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</si>
  <si>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</si>
  <si>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</si>
  <si>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</si>
  <si>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</si>
  <si>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</si>
  <si>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</si>
  <si>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</si>
  <si>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</si>
  <si>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</si>
  <si>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</si>
  <si>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</si>
  <si>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</si>
  <si>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</si>
  <si>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</si>
  <si>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</si>
  <si>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</si>
  <si>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</si>
  <si>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</si>
  <si>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</si>
  <si>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</si>
  <si>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</si>
  <si>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</si>
  <si>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</si>
  <si>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</si>
  <si>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</si>
  <si>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</si>
  <si>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</si>
  <si>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</si>
  <si>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</si>
  <si>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</si>
  <si>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</si>
  <si>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</si>
  <si>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</si>
  <si>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</si>
  <si>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</si>
  <si>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</si>
  <si>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</si>
  <si>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</si>
  <si>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</si>
  <si>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</si>
  <si>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</si>
  <si>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</si>
  <si>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</si>
  <si>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</si>
  <si>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</si>
  <si>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</si>
  <si>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</si>
  <si>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</si>
  <si>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</si>
  <si>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</si>
  <si>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</si>
  <si>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</si>
  <si>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</si>
  <si>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</si>
  <si>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</si>
  <si>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</si>
  <si>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</si>
  <si>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</si>
  <si>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</si>
  <si>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</si>
  <si>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</si>
  <si>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</si>
  <si>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</si>
  <si>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</si>
  <si>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</si>
  <si>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</si>
  <si>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</si>
  <si>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</si>
  <si>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</si>
  <si>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</si>
  <si>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</si>
  <si>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</si>
  <si>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</si>
  <si>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</si>
  <si>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</si>
  <si>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</si>
  <si>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</si>
  <si>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</si>
  <si>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</si>
  <si>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</si>
  <si>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</si>
  <si>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</si>
  <si>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</si>
  <si>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</si>
  <si>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</si>
  <si>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</si>
  <si>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</si>
  <si>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</si>
  <si>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</si>
  <si>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</si>
  <si>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</si>
  <si>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</si>
  <si>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</si>
  <si>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</si>
  <si>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</si>
  <si>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</si>
  <si>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</si>
  <si>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</si>
  <si>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</si>
  <si>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</si>
  <si>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</si>
  <si>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</si>
  <si>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</si>
  <si>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</si>
  <si>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</si>
  <si>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</si>
  <si>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</si>
  <si>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</si>
  <si>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</si>
  <si>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</si>
  <si>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</si>
  <si>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</si>
  <si>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</si>
  <si>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</si>
  <si>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</si>
  <si>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</si>
  <si>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</si>
  <si>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</si>
  <si>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</si>
  <si>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</si>
  <si>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</si>
  <si>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</si>
  <si>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</si>
  <si>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</si>
  <si>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</si>
  <si>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</si>
  <si>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</si>
  <si>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</si>
  <si>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</si>
  <si>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</si>
  <si>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</si>
  <si>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</si>
  <si>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</si>
  <si>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</si>
  <si>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</si>
  <si>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</si>
  <si>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</si>
  <si>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</si>
  <si>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</si>
  <si>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</si>
  <si>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</si>
  <si>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</si>
  <si>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</si>
  <si>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</si>
  <si>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</si>
  <si>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</si>
  <si>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</si>
  <si>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</si>
  <si>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</si>
  <si>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</si>
  <si>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</si>
  <si>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</si>
  <si>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</si>
  <si>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</si>
  <si>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</si>
  <si>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</si>
  <si>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</si>
  <si>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</si>
  <si>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</si>
  <si>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</si>
  <si>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</si>
  <si>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</si>
  <si>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</si>
  <si>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</si>
  <si>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</si>
  <si>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</si>
  <si>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</si>
  <si>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</si>
  <si>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</si>
  <si>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</si>
  <si>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</si>
  <si>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</si>
  <si>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</si>
  <si>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</si>
  <si>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</si>
  <si>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</si>
  <si>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</si>
  <si>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</si>
  <si>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</si>
  <si>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</si>
  <si>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</si>
  <si>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</si>
  <si>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</si>
  <si>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</si>
  <si>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</si>
  <si>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</si>
  <si>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</si>
  <si>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</si>
  <si>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</si>
  <si>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</si>
  <si>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</si>
  <si>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</si>
  <si>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</si>
  <si>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</si>
  <si>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</si>
  <si>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</si>
  <si>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</si>
  <si>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</si>
  <si>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</si>
  <si>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</si>
  <si>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</si>
  <si>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</si>
  <si>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</si>
  <si>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</si>
  <si>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</si>
  <si>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</si>
  <si>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</si>
  <si>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</si>
  <si>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</si>
  <si>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</si>
  <si>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</si>
  <si>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</si>
  <si>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</si>
  <si>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</si>
  <si>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</si>
  <si>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</si>
  <si>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</si>
  <si>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</si>
  <si>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</si>
  <si>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</si>
  <si>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</si>
  <si>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</si>
  <si>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</si>
  <si>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</si>
  <si>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</si>
  <si>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</si>
  <si>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</si>
  <si>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</si>
  <si>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</si>
  <si>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</si>
  <si>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</si>
  <si>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</si>
  <si>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</si>
  <si>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</si>
  <si>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</si>
  <si>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</si>
  <si>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</si>
  <si>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</si>
  <si>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</si>
  <si>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</si>
  <si>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</si>
  <si>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</si>
  <si>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</si>
  <si>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</si>
  <si>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</si>
  <si>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</si>
  <si>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</si>
  <si>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</si>
  <si>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</si>
  <si>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</si>
  <si>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</si>
  <si>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</si>
  <si>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</si>
  <si>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</si>
  <si>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</si>
  <si>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</si>
  <si>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</si>
  <si>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</si>
  <si>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</si>
  <si>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</si>
  <si>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</si>
  <si>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</si>
  <si>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</si>
  <si>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</si>
  <si>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</si>
  <si>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</si>
  <si>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</si>
  <si>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</si>
  <si>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</si>
  <si>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</si>
  <si>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</si>
  <si>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</si>
  <si>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</si>
  <si>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</si>
  <si>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</si>
  <si>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</si>
  <si>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</si>
  <si>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</si>
  <si>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</si>
  <si>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</si>
  <si>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</si>
  <si>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</si>
  <si>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</si>
  <si>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</si>
  <si>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</si>
  <si>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</si>
  <si>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</si>
  <si>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</si>
  <si>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</si>
  <si>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</si>
  <si>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</si>
  <si>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</si>
  <si>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</si>
  <si>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</si>
  <si>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</si>
  <si>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</si>
  <si>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</si>
  <si>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</si>
  <si>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</si>
  <si>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</si>
  <si>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</si>
  <si>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</si>
  <si>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</si>
  <si>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</si>
  <si>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</si>
  <si>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</si>
  <si>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</si>
  <si>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</si>
  <si>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</si>
  <si>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</si>
  <si>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</si>
  <si>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</si>
  <si>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</si>
  <si>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</si>
  <si>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</si>
  <si>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</si>
  <si>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</si>
  <si>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</si>
  <si>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</si>
  <si>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</si>
  <si>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</si>
  <si>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</si>
  <si>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</si>
  <si>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</si>
  <si>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</si>
  <si>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</si>
  <si>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</si>
  <si>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</si>
  <si>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</si>
  <si>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</si>
  <si>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</si>
  <si>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</si>
  <si>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</si>
  <si>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</si>
  <si>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</si>
  <si>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</si>
  <si>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</si>
  <si>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</si>
  <si>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</si>
  <si>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</si>
  <si>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</si>
  <si>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</si>
  <si>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</si>
  <si>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彈出視窗點「設定」</t>
    <phoneticPr fontId="2" type="noConversion"/>
  </si>
  <si>
    <t>出現設定後點「兌換碼」</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</si>
  <si>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</si>
  <si>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</si>
  <si>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</si>
  <si>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</si>
  <si>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</si>
  <si>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</si>
  <si>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</si>
  <si>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</si>
  <si>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</si>
  <si>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</si>
  <si>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</si>
  <si>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</si>
  <si>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</si>
  <si>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</si>
  <si>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</si>
  <si>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</si>
  <si>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</si>
  <si>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</si>
  <si>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</si>
  <si>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</si>
  <si>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</si>
  <si>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</si>
  <si>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</si>
  <si>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</si>
  <si>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</si>
  <si>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</si>
  <si>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</si>
  <si>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</si>
  <si>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</si>
  <si>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</si>
  <si>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</si>
  <si>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</si>
  <si>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</si>
  <si>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</si>
  <si>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</si>
  <si>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</si>
  <si>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</si>
  <si>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</si>
  <si>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</si>
  <si>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</si>
  <si>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</si>
  <si>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</si>
  <si>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</si>
  <si>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</si>
  <si>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</si>
  <si>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</si>
  <si>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</si>
  <si>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</si>
  <si>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</si>
  <si>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</si>
  <si>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</si>
  <si>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</si>
  <si>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</si>
  <si>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</si>
  <si>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</si>
  <si>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</si>
  <si>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</si>
  <si>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</si>
  <si>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</si>
  <si>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</si>
  <si>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</si>
  <si>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</si>
  <si>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</si>
  <si>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</si>
  <si>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</si>
  <si>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</si>
  <si>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</si>
  <si>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</si>
  <si>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</si>
  <si>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</si>
  <si>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</si>
  <si>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</si>
  <si>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</si>
  <si>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</si>
  <si>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</si>
  <si>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</si>
  <si>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</si>
  <si>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</si>
  <si>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</si>
  <si>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</si>
  <si>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</si>
  <si>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</si>
  <si>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</si>
  <si>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</si>
  <si>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</si>
  <si>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</si>
  <si>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加總</t>
    <phoneticPr fontId="2" type="noConversion"/>
  </si>
  <si>
    <t>平均值</t>
    <phoneticPr fontId="2" type="noConversion"/>
  </si>
  <si>
    <t>計算加總</t>
    <phoneticPr fontId="2" type="noConversion"/>
  </si>
  <si>
    <t>項目個數</t>
    <phoneticPr fontId="2" type="noConversion"/>
  </si>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</sst>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8">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printerSettings" Target="../printerSettings/printerSettings1.bin"/><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printerSettings" Target="../printerSettings/printerSettings2.bin"/><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487" activePane="bottomRight" state="frozen"/>
      <selection pane="topRight" activeCell="B1" sqref="B1"/>
      <selection pane="bottomLeft" activeCell="A2" sqref="A2"/>
      <selection pane="bottomRight" activeCell="E498" sqref="E498"/>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8823</v>
      </c>
      <c r="M476" s="112">
        <v>2508</v>
      </c>
      <c r="N476" s="111" t="s">
        <v>8824</v>
      </c>
      <c r="O476" s="112">
        <v>1431</v>
      </c>
      <c r="P476" s="111" t="s">
        <v>8825</v>
      </c>
      <c r="Q476" s="112">
        <v>838</v>
      </c>
      <c r="R476" s="111" t="s">
        <v>8826</v>
      </c>
      <c r="S476" s="112">
        <v>279</v>
      </c>
      <c r="T476" s="111" t="s">
        <v>8827</v>
      </c>
      <c r="U476" s="112">
        <v>147</v>
      </c>
      <c r="V476" s="111" t="s">
        <v>8828</v>
      </c>
      <c r="W476" s="112">
        <v>28</v>
      </c>
      <c r="X476" s="111" t="s">
        <v>8829</v>
      </c>
      <c r="Y476" s="112">
        <v>147</v>
      </c>
      <c r="Z476" s="111" t="s">
        <v>8830</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21" t="s">
        <v>5939</v>
      </c>
      <c r="M480" s="22">
        <v>2773</v>
      </c>
      <c r="N480" s="21" t="s">
        <v>5940</v>
      </c>
      <c r="O480" s="22">
        <v>1438</v>
      </c>
      <c r="P480" s="21" t="s">
        <v>5941</v>
      </c>
      <c r="Q480" s="22">
        <v>850</v>
      </c>
      <c r="R480" s="21" t="s">
        <v>5942</v>
      </c>
      <c r="S480" s="22">
        <v>747</v>
      </c>
      <c r="T480" s="21" t="s">
        <v>5943</v>
      </c>
      <c r="U480" s="22">
        <v>575</v>
      </c>
      <c r="V480" s="21" t="s">
        <v>5944</v>
      </c>
      <c r="W480" s="22">
        <v>421</v>
      </c>
      <c r="X480" s="21" t="s">
        <v>8629</v>
      </c>
      <c r="Y480" s="22">
        <v>283</v>
      </c>
      <c r="Z480" s="21" t="s">
        <v>5946</v>
      </c>
      <c r="AA480" s="22">
        <v>146</v>
      </c>
      <c r="AB480" s="21" t="s">
        <v>5947</v>
      </c>
      <c r="AC480" s="22">
        <v>28</v>
      </c>
    </row>
    <row r="481" spans="1:29"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29"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29"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21" t="s">
        <v>5939</v>
      </c>
      <c r="M483" s="22">
        <v>2773</v>
      </c>
      <c r="N483" s="21" t="s">
        <v>5940</v>
      </c>
      <c r="O483" s="22">
        <v>1438</v>
      </c>
      <c r="P483" s="21" t="s">
        <v>5941</v>
      </c>
      <c r="Q483" s="22">
        <v>850</v>
      </c>
      <c r="R483" s="21" t="s">
        <v>5942</v>
      </c>
      <c r="S483" s="22">
        <v>747</v>
      </c>
      <c r="T483" s="21" t="s">
        <v>5943</v>
      </c>
      <c r="U483" s="22">
        <v>575</v>
      </c>
      <c r="V483" s="21" t="s">
        <v>5944</v>
      </c>
      <c r="W483" s="22">
        <v>421</v>
      </c>
      <c r="X483" s="21" t="s">
        <v>8629</v>
      </c>
      <c r="Y483" s="22">
        <v>283</v>
      </c>
      <c r="Z483" s="21" t="s">
        <v>5946</v>
      </c>
      <c r="AA483" s="22">
        <v>146</v>
      </c>
      <c r="AB483" s="21" t="s">
        <v>5947</v>
      </c>
      <c r="AC483" s="22">
        <v>28</v>
      </c>
    </row>
    <row r="484" spans="1:29"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29"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29"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29"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29"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29"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29"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46</v>
      </c>
      <c r="M490" s="112">
        <v>2532</v>
      </c>
      <c r="N490" s="111" t="s">
        <v>1677</v>
      </c>
      <c r="O490" s="112">
        <v>1274</v>
      </c>
      <c r="P490" s="111" t="s">
        <v>151</v>
      </c>
      <c r="Q490" s="112">
        <v>854</v>
      </c>
      <c r="R490" s="111" t="s">
        <v>152</v>
      </c>
      <c r="S490" s="112">
        <v>578</v>
      </c>
      <c r="T490" s="111" t="s">
        <v>153</v>
      </c>
      <c r="U490" s="112">
        <v>423</v>
      </c>
      <c r="V490" s="111" t="s">
        <v>6549</v>
      </c>
      <c r="W490" s="112">
        <v>276</v>
      </c>
      <c r="X490" s="111" t="s">
        <v>6550</v>
      </c>
      <c r="Y490" s="112">
        <v>129</v>
      </c>
      <c r="Z490" s="111" t="s">
        <v>8447</v>
      </c>
      <c r="AA490" s="112">
        <v>86</v>
      </c>
      <c r="AB490" s="111" t="s">
        <v>6553</v>
      </c>
      <c r="AC490" s="112">
        <v>28</v>
      </c>
    </row>
    <row r="491" spans="1:29" ht="28.5" customHeight="1" thickBot="1">
      <c r="A491" s="114" t="s">
        <v>8770</v>
      </c>
      <c r="D491" s="127" t="s">
        <v>8773</v>
      </c>
      <c r="E491" s="9" t="s">
        <v>8772</v>
      </c>
      <c r="F491" s="8" t="str">
        <f t="shared" ref="F491:F554" si="20">IF(A491="", "", "gift-codes.html?game=" &amp; A491)</f>
        <v>gift-codes.html?game=Pond Pals</v>
      </c>
      <c r="G491" s="9" t="s">
        <v>8771</v>
      </c>
      <c r="H491" s="9" t="str">
        <f t="shared" ref="H491:H554" si="21">IF(A491="", "", "https://www.ssbuy.tw/game-detail.html?game="&amp;A491)</f>
        <v>https://www.ssbuy.tw/game-detail.html?game=Pond Pals</v>
      </c>
      <c r="I491" t="s">
        <v>8780</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29" ht="28.5" customHeight="1" thickBot="1">
      <c r="A492" s="114" t="s">
        <v>7822</v>
      </c>
      <c r="D492" s="9" t="s">
        <v>7802</v>
      </c>
      <c r="E492" s="9" t="s">
        <v>8778</v>
      </c>
      <c r="F492" s="8" t="str">
        <f t="shared" si="20"/>
        <v>gift-codes.html?game=永恆迴圈：戰術放置RPG</v>
      </c>
      <c r="G492" s="9" t="s">
        <v>8779</v>
      </c>
      <c r="H492" s="9" t="str">
        <f t="shared" si="21"/>
        <v>https://www.ssbuy.tw/game-detail.html?game=永恆迴圈：戰術放置RPG</v>
      </c>
      <c r="I492" s="10" t="s">
        <v>8781</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29" ht="28.5" customHeight="1" thickBot="1">
      <c r="A493" s="114" t="s">
        <v>8802</v>
      </c>
      <c r="C493" s="8" t="s">
        <v>8807</v>
      </c>
      <c r="D493" s="9" t="s">
        <v>8808</v>
      </c>
      <c r="E493" s="9" t="s">
        <v>8806</v>
      </c>
      <c r="F493" s="8" t="str">
        <f t="shared" si="20"/>
        <v>gift-codes.html?game=嘎嘎奇兵：蛋力來勝</v>
      </c>
      <c r="G493" s="9" t="s">
        <v>8805</v>
      </c>
      <c r="H493" s="9" t="str">
        <f t="shared" si="21"/>
        <v>https://www.ssbuy.tw/game-detail.html?game=嘎嘎奇兵：蛋力來勝</v>
      </c>
      <c r="I493" s="10" t="s">
        <v>8820</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29" ht="28.5" customHeight="1" thickBot="1">
      <c r="A494" s="114" t="s">
        <v>8803</v>
      </c>
      <c r="C494" s="8" t="s">
        <v>8809</v>
      </c>
      <c r="D494" s="9" t="s">
        <v>8811</v>
      </c>
      <c r="E494" s="9" t="s">
        <v>8810</v>
      </c>
      <c r="F494" s="8" t="str">
        <f t="shared" si="20"/>
        <v>gift-codes.html?game=三國異將錄</v>
      </c>
      <c r="G494" s="9" t="s">
        <v>8812</v>
      </c>
      <c r="H494" s="9" t="str">
        <f t="shared" si="21"/>
        <v>https://www.ssbuy.tw/game-detail.html?game=三國異將錄</v>
      </c>
      <c r="I494" s="10" t="s">
        <v>8821</v>
      </c>
      <c r="J494" s="16" t="s">
        <v>5418</v>
      </c>
      <c r="K494" s="39" t="s">
        <v>5446</v>
      </c>
      <c r="L494" s="111" t="s">
        <v>46</v>
      </c>
      <c r="M494" s="112">
        <v>2532</v>
      </c>
      <c r="N494" s="111" t="s">
        <v>1677</v>
      </c>
      <c r="O494" s="112">
        <v>1274</v>
      </c>
      <c r="P494" s="111" t="s">
        <v>151</v>
      </c>
      <c r="Q494" s="112">
        <v>854</v>
      </c>
      <c r="R494" s="111" t="s">
        <v>152</v>
      </c>
      <c r="S494" s="112">
        <v>578</v>
      </c>
      <c r="T494" s="111" t="s">
        <v>153</v>
      </c>
      <c r="U494" s="112">
        <v>423</v>
      </c>
      <c r="V494" s="111" t="s">
        <v>6549</v>
      </c>
      <c r="W494" s="112">
        <v>276</v>
      </c>
      <c r="X494" s="111" t="s">
        <v>6550</v>
      </c>
      <c r="Y494" s="112">
        <v>129</v>
      </c>
      <c r="Z494" s="111" t="s">
        <v>8447</v>
      </c>
      <c r="AA494" s="112">
        <v>86</v>
      </c>
      <c r="AB494" s="111" t="s">
        <v>6553</v>
      </c>
      <c r="AC494" s="112">
        <v>28</v>
      </c>
    </row>
    <row r="495" spans="1:29" ht="28.5" customHeight="1" thickBot="1">
      <c r="A495" s="114" t="s">
        <v>8804</v>
      </c>
      <c r="C495" s="8" t="s">
        <v>8814</v>
      </c>
      <c r="D495" s="9" t="s">
        <v>8813</v>
      </c>
      <c r="E495" s="9" t="s">
        <v>8844</v>
      </c>
      <c r="F495" s="8" t="str">
        <f t="shared" si="20"/>
        <v>gift-codes.html?game=三國志KING</v>
      </c>
      <c r="G495" s="9" t="s">
        <v>8815</v>
      </c>
      <c r="H495" s="9" t="str">
        <f t="shared" si="21"/>
        <v>https://www.ssbuy.tw/game-detail.html?game=三國志KING</v>
      </c>
      <c r="I495" s="10" t="s">
        <v>8822</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29" ht="28.5" customHeight="1" thickBot="1">
      <c r="A496" s="114" t="s">
        <v>8843</v>
      </c>
      <c r="C496" s="8" t="s">
        <v>8834</v>
      </c>
      <c r="D496" s="9" t="s">
        <v>8832</v>
      </c>
      <c r="E496" s="9" t="s">
        <v>8831</v>
      </c>
      <c r="F496" s="8" t="str">
        <f t="shared" si="20"/>
        <v>gift-codes.html?game=骷髏要稱王</v>
      </c>
      <c r="G496" s="9" t="s">
        <v>8833</v>
      </c>
      <c r="H496" s="9" t="str">
        <f t="shared" si="21"/>
        <v>https://www.ssbuy.tw/game-detail.html?game=骷髏要稱王</v>
      </c>
      <c r="I496" t="s">
        <v>8838</v>
      </c>
      <c r="J496" s="16" t="s">
        <v>5418</v>
      </c>
      <c r="K496" s="39" t="s">
        <v>5446</v>
      </c>
      <c r="L496" s="111" t="s">
        <v>8835</v>
      </c>
      <c r="M496" s="112">
        <v>2760</v>
      </c>
      <c r="N496" s="111" t="s">
        <v>8836</v>
      </c>
      <c r="O496" s="112">
        <v>1431</v>
      </c>
      <c r="P496" s="111" t="s">
        <v>8615</v>
      </c>
      <c r="Q496" s="112">
        <v>838</v>
      </c>
      <c r="R496" s="111" t="s">
        <v>8837</v>
      </c>
      <c r="S496" s="112">
        <v>415</v>
      </c>
      <c r="T496" s="111" t="s">
        <v>61</v>
      </c>
      <c r="U496" s="112">
        <v>279</v>
      </c>
      <c r="V496" s="111" t="s">
        <v>62</v>
      </c>
      <c r="W496" s="112">
        <v>147</v>
      </c>
      <c r="X496" s="111" t="s">
        <v>65</v>
      </c>
      <c r="Y496" s="112">
        <v>28</v>
      </c>
      <c r="Z496" s="111"/>
      <c r="AA496" s="112"/>
      <c r="AB496" s="111"/>
      <c r="AC496" s="112"/>
    </row>
    <row r="497" spans="1:29" ht="28.5" customHeight="1" thickBot="1">
      <c r="A497" s="114" t="s">
        <v>8853</v>
      </c>
      <c r="C497" s="8" t="s">
        <v>8845</v>
      </c>
      <c r="D497" s="9" t="s">
        <v>8848</v>
      </c>
      <c r="E497" s="9" t="s">
        <v>8847</v>
      </c>
      <c r="F497" s="8" t="str">
        <f t="shared" si="20"/>
        <v>gift-codes.html?game=丞相請出山：破局</v>
      </c>
      <c r="G497" s="9" t="s">
        <v>8846</v>
      </c>
      <c r="H497" s="9" t="str">
        <f t="shared" si="21"/>
        <v>https://www.ssbuy.tw/game-detail.html?game=丞相請出山：破局</v>
      </c>
      <c r="I497" s="10" t="s">
        <v>8854</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29" ht="28.5" customHeight="1" thickBot="1">
      <c r="A498" s="114" t="s">
        <v>8857</v>
      </c>
      <c r="D498" s="9" t="s">
        <v>8859</v>
      </c>
      <c r="E498" s="9" t="s">
        <v>8864</v>
      </c>
      <c r="F498" s="8" t="str">
        <f t="shared" si="20"/>
        <v>gift-codes.html?game=MLB® The Show™</v>
      </c>
      <c r="G498" s="9" t="s">
        <v>8860</v>
      </c>
      <c r="H498" s="9" t="str">
        <f t="shared" si="21"/>
        <v>https://www.ssbuy.tw/game-detail.html?game=MLB® The Show™</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29" ht="28.5" customHeight="1" thickBot="1">
      <c r="A499" s="114" t="s">
        <v>8858</v>
      </c>
      <c r="C499" s="8" t="s">
        <v>8863</v>
      </c>
      <c r="E499" s="9" t="s">
        <v>8861</v>
      </c>
      <c r="F499" s="8" t="str">
        <f t="shared" si="20"/>
        <v>gift-codes.html?game=龍村3</v>
      </c>
      <c r="G499" s="9" t="s">
        <v>8862</v>
      </c>
      <c r="H499" s="9" t="str">
        <f t="shared" si="21"/>
        <v>https://www.ssbuy.tw/game-detail.html?game=龍村3</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29" ht="28.5" customHeight="1">
      <c r="F500" s="8" t="str">
        <f t="shared" si="20"/>
        <v/>
      </c>
      <c r="H500" s="9" t="str">
        <f t="shared" si="21"/>
        <v/>
      </c>
    </row>
    <row r="501" spans="1:29" ht="28.5" customHeight="1">
      <c r="F501" s="8" t="str">
        <f t="shared" si="20"/>
        <v/>
      </c>
      <c r="H501" s="9" t="str">
        <f t="shared" si="21"/>
        <v/>
      </c>
    </row>
    <row r="502" spans="1:29" ht="28.5" customHeight="1">
      <c r="F502" s="8" t="str">
        <f t="shared" si="20"/>
        <v/>
      </c>
      <c r="H502" s="9" t="str">
        <f t="shared" si="21"/>
        <v/>
      </c>
    </row>
    <row r="503" spans="1:29" ht="28.5" customHeight="1">
      <c r="F503" s="8" t="str">
        <f t="shared" si="20"/>
        <v/>
      </c>
      <c r="H503" s="9" t="str">
        <f t="shared" si="21"/>
        <v/>
      </c>
    </row>
    <row r="504" spans="1:29" ht="28.5" customHeight="1">
      <c r="F504" s="8" t="str">
        <f t="shared" si="20"/>
        <v/>
      </c>
      <c r="H504" s="9" t="str">
        <f t="shared" si="21"/>
        <v/>
      </c>
    </row>
    <row r="505" spans="1:29" ht="28.5" customHeight="1">
      <c r="F505" s="8" t="str">
        <f t="shared" si="20"/>
        <v/>
      </c>
      <c r="H505" s="9" t="str">
        <f t="shared" si="21"/>
        <v/>
      </c>
    </row>
    <row r="506" spans="1:29" ht="28.5" customHeight="1">
      <c r="F506" s="8" t="str">
        <f t="shared" si="20"/>
        <v/>
      </c>
      <c r="H506" s="9" t="str">
        <f t="shared" si="21"/>
        <v/>
      </c>
    </row>
    <row r="507" spans="1:29" ht="28.5" customHeight="1">
      <c r="F507" s="8" t="str">
        <f t="shared" si="20"/>
        <v/>
      </c>
      <c r="H507" s="9" t="str">
        <f t="shared" si="21"/>
        <v/>
      </c>
    </row>
    <row r="508" spans="1:29" ht="28.5" customHeight="1">
      <c r="F508" s="8" t="str">
        <f t="shared" si="20"/>
        <v/>
      </c>
      <c r="H508" s="9" t="str">
        <f t="shared" si="21"/>
        <v/>
      </c>
    </row>
    <row r="509" spans="1:29" ht="28.5" customHeight="1">
      <c r="F509" s="8" t="str">
        <f t="shared" si="20"/>
        <v/>
      </c>
      <c r="H509" s="9" t="str">
        <f t="shared" si="21"/>
        <v/>
      </c>
    </row>
    <row r="510" spans="1:29" ht="28.5" customHeight="1">
      <c r="F510" s="8" t="str">
        <f t="shared" si="20"/>
        <v/>
      </c>
      <c r="H510" s="9" t="str">
        <f t="shared" si="21"/>
        <v/>
      </c>
    </row>
    <row r="511" spans="1:29" ht="28.5" customHeight="1">
      <c r="F511" s="8" t="str">
        <f t="shared" si="20"/>
        <v/>
      </c>
      <c r="H511" s="9" t="str">
        <f t="shared" si="21"/>
        <v/>
      </c>
    </row>
    <row r="512" spans="1:29"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s>
  <pageMargins left="0.7" right="0.7" top="0.75" bottom="0.75" header="0.3" footer="0.3"/>
  <pageSetup paperSize="9" orientation="portrait" r:id="rId34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482" activePane="bottomRight" state="frozen"/>
      <selection pane="topRight" activeCell="B1" sqref="B1"/>
      <selection pane="bottomLeft" activeCell="A2" sqref="A2"/>
      <selection pane="bottomRight" activeCell="C493" sqref="C49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8839</v>
      </c>
      <c r="Z66" s="54" t="s">
        <v>8840</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8842</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8841</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8816</v>
      </c>
      <c r="T478" s="40" t="s">
        <v>8817</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5232</v>
      </c>
      <c r="K480" s="100" t="s">
        <v>5495</v>
      </c>
      <c r="L480" s="51" t="s">
        <v>5496</v>
      </c>
      <c r="M480" s="6" t="s">
        <v>5279</v>
      </c>
      <c r="N480" s="40" t="s">
        <v>8785</v>
      </c>
      <c r="O480" s="6" t="s">
        <v>8783</v>
      </c>
      <c r="P480" s="40" t="s">
        <v>8786</v>
      </c>
      <c r="Q480" s="6" t="s">
        <v>8784</v>
      </c>
      <c r="R480" s="40" t="s">
        <v>8787</v>
      </c>
      <c r="S480" s="6" t="s">
        <v>8727</v>
      </c>
      <c r="T480" s="40" t="s">
        <v>8782</v>
      </c>
      <c r="U480" s="6" t="s">
        <v>8788</v>
      </c>
      <c r="V480" s="40" t="s">
        <v>8790</v>
      </c>
      <c r="W480" s="6" t="s">
        <v>8789</v>
      </c>
      <c r="X480" s="40" t="s">
        <v>8791</v>
      </c>
      <c r="Y480" s="6" t="s">
        <v>8792</v>
      </c>
      <c r="Z480" s="40" t="s">
        <v>8796</v>
      </c>
      <c r="AA480" s="6" t="s">
        <v>8793</v>
      </c>
      <c r="AB480" s="40" t="s">
        <v>8797</v>
      </c>
      <c r="AC480" s="6" t="s">
        <v>8794</v>
      </c>
      <c r="AD480" s="40" t="s">
        <v>8798</v>
      </c>
      <c r="AE480" s="6" t="s">
        <v>8795</v>
      </c>
      <c r="AF480" s="40" t="s">
        <v>8799</v>
      </c>
      <c r="AG480" s="6" t="s">
        <v>2056</v>
      </c>
      <c r="AH480" s="40" t="s">
        <v>8800</v>
      </c>
      <c r="AI480" s="6" t="s">
        <v>1841</v>
      </c>
      <c r="AJ480" s="40" t="s">
        <v>8801</v>
      </c>
    </row>
    <row r="481" spans="1:27"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27"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8761</v>
      </c>
      <c r="H482" s="3" t="s">
        <v>8762</v>
      </c>
      <c r="I482" s="51" t="s">
        <v>6988</v>
      </c>
      <c r="K482" s="100" t="s">
        <v>5495</v>
      </c>
      <c r="L482" s="51" t="s">
        <v>5496</v>
      </c>
    </row>
    <row r="483" spans="1:27"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5232</v>
      </c>
      <c r="K483" s="100" t="s">
        <v>5495</v>
      </c>
      <c r="L483" s="51" t="s">
        <v>5496</v>
      </c>
    </row>
    <row r="484" spans="1:27"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27"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8763</v>
      </c>
      <c r="G485" s="3" t="s">
        <v>8764</v>
      </c>
      <c r="K485" s="100" t="s">
        <v>5495</v>
      </c>
      <c r="L485" s="51" t="s">
        <v>5496</v>
      </c>
    </row>
    <row r="486" spans="1:27"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8774</v>
      </c>
      <c r="Y486" s="6" t="s">
        <v>8775</v>
      </c>
      <c r="AA486" s="6" t="s">
        <v>8776</v>
      </c>
    </row>
    <row r="487" spans="1:27"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27"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8767</v>
      </c>
    </row>
    <row r="489" spans="1:27"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8768</v>
      </c>
      <c r="G489" s="3" t="s">
        <v>8769</v>
      </c>
      <c r="H489" s="51" t="s">
        <v>6988</v>
      </c>
      <c r="K489" s="100" t="s">
        <v>5495</v>
      </c>
      <c r="L489" s="51" t="s">
        <v>5496</v>
      </c>
      <c r="M489" s="6" t="s">
        <v>8765</v>
      </c>
      <c r="O489" s="6" t="s">
        <v>8766</v>
      </c>
      <c r="Q489" s="6" t="s">
        <v>8777</v>
      </c>
    </row>
    <row r="490" spans="1:27"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5495</v>
      </c>
      <c r="L490" s="51" t="s">
        <v>5496</v>
      </c>
    </row>
    <row r="491" spans="1:27"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27"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27"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8855</v>
      </c>
      <c r="G493" s="3" t="s">
        <v>8856</v>
      </c>
      <c r="H493" s="51" t="s">
        <v>6988</v>
      </c>
      <c r="K493" s="100" t="s">
        <v>5495</v>
      </c>
      <c r="L493" s="51" t="s">
        <v>5496</v>
      </c>
      <c r="M493" s="6" t="s">
        <v>8818</v>
      </c>
      <c r="O493" s="6" t="s">
        <v>8819</v>
      </c>
    </row>
    <row r="494" spans="1:27"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5232</v>
      </c>
      <c r="K494" s="100" t="s">
        <v>5495</v>
      </c>
      <c r="L494" s="51" t="s">
        <v>5496</v>
      </c>
    </row>
    <row r="495" spans="1:27"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27"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5232</v>
      </c>
      <c r="K496" s="100" t="s">
        <v>5495</v>
      </c>
      <c r="L496" s="51" t="s">
        <v>5496</v>
      </c>
    </row>
    <row r="497" spans="1:1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row>
    <row r="498" spans="1:1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
      </c>
    </row>
    <row r="499" spans="1:12" ht="28.5" customHeight="1">
      <c r="A499" s="67" t="str">
        <f>IF(games!A499="", "", games!A499)</f>
        <v>龍村3</v>
      </c>
      <c r="C499" s="51" t="str">
        <f t="shared" si="20"/>
        <v>giftcodesbanner/龍村3-禮包碼.jpg</v>
      </c>
      <c r="D499" s="51" t="str">
        <f t="shared" si="21"/>
        <v>https://www.ssbuy.tw/gift-codes.html?game=龍村3</v>
      </c>
      <c r="E499" s="91" t="str">
        <f>IF(games!I499&lt;&gt;"", games!I499, "")</f>
        <v/>
      </c>
    </row>
    <row r="500" spans="1:12" ht="28.5" customHeight="1">
      <c r="A500" s="67" t="str">
        <f>IF(games!A500="", "", games!A500)</f>
        <v/>
      </c>
      <c r="C500" s="51" t="str">
        <f t="shared" si="20"/>
        <v/>
      </c>
      <c r="D500" s="51" t="str">
        <f t="shared" si="21"/>
        <v/>
      </c>
      <c r="E500" s="91" t="str">
        <f>IF(games!I500&lt;&gt;"", games!I500, "")</f>
        <v/>
      </c>
    </row>
    <row r="501" spans="1:12" ht="28.5" customHeight="1">
      <c r="A501" s="67" t="str">
        <f>IF(games!A501="", "", games!A501)</f>
        <v/>
      </c>
      <c r="C501" s="51" t="str">
        <f t="shared" si="20"/>
        <v/>
      </c>
      <c r="D501" s="51" t="str">
        <f t="shared" si="21"/>
        <v/>
      </c>
      <c r="E501" s="91" t="str">
        <f>IF(games!I501&lt;&gt;"", games!I501, "")</f>
        <v/>
      </c>
    </row>
    <row r="502" spans="1:12" ht="28.5" customHeight="1">
      <c r="A502" s="67" t="str">
        <f>IF(games!A502="", "", games!A502)</f>
        <v/>
      </c>
      <c r="C502" s="51" t="str">
        <f t="shared" si="20"/>
        <v/>
      </c>
      <c r="D502" s="51" t="str">
        <f t="shared" si="21"/>
        <v/>
      </c>
      <c r="E502" s="91" t="str">
        <f>IF(games!I502&lt;&gt;"", games!I502, "")</f>
        <v/>
      </c>
    </row>
    <row r="503" spans="1:12" ht="28.5" customHeight="1">
      <c r="A503" s="67" t="str">
        <f>IF(games!A503="", "", games!A503)</f>
        <v/>
      </c>
      <c r="C503" s="51" t="str">
        <f t="shared" si="20"/>
        <v/>
      </c>
      <c r="D503" s="51" t="str">
        <f t="shared" si="21"/>
        <v/>
      </c>
      <c r="E503" s="91" t="str">
        <f>IF(games!I503&lt;&gt;"", games!I503, "")</f>
        <v/>
      </c>
    </row>
    <row r="504" spans="1:12" ht="28.5" customHeight="1">
      <c r="A504" s="67" t="str">
        <f>IF(games!A504="", "", games!A504)</f>
        <v/>
      </c>
      <c r="C504" s="51" t="str">
        <f t="shared" si="20"/>
        <v/>
      </c>
      <c r="D504" s="51" t="str">
        <f t="shared" si="21"/>
        <v/>
      </c>
      <c r="E504" s="91" t="str">
        <f>IF(games!I504&lt;&gt;"", games!I504, "")</f>
        <v/>
      </c>
    </row>
    <row r="505" spans="1:12" ht="28.5" customHeight="1">
      <c r="A505" s="67" t="str">
        <f>IF(games!A505="", "", games!A505)</f>
        <v/>
      </c>
      <c r="C505" s="51" t="str">
        <f t="shared" si="20"/>
        <v/>
      </c>
      <c r="D505" s="51" t="str">
        <f t="shared" si="21"/>
        <v/>
      </c>
      <c r="E505" s="91" t="str">
        <f>IF(games!I505&lt;&gt;"", games!I505, "")</f>
        <v/>
      </c>
    </row>
    <row r="506" spans="1:12" ht="28.5" customHeight="1">
      <c r="A506" s="67" t="str">
        <f>IF(games!A506="", "", games!A506)</f>
        <v/>
      </c>
      <c r="C506" s="51" t="str">
        <f t="shared" si="20"/>
        <v/>
      </c>
      <c r="D506" s="51" t="str">
        <f t="shared" si="21"/>
        <v/>
      </c>
      <c r="E506" s="91" t="str">
        <f>IF(games!I506&lt;&gt;"", games!I506, "")</f>
        <v/>
      </c>
    </row>
    <row r="507" spans="1:12" ht="28.5" customHeight="1">
      <c r="A507" s="67" t="str">
        <f>IF(games!A507="", "", games!A507)</f>
        <v/>
      </c>
      <c r="C507" s="51" t="str">
        <f t="shared" si="20"/>
        <v/>
      </c>
      <c r="D507" s="51" t="str">
        <f t="shared" si="21"/>
        <v/>
      </c>
      <c r="E507" s="91" t="str">
        <f>IF(games!I507&lt;&gt;"", games!I507, "")</f>
        <v/>
      </c>
    </row>
    <row r="508" spans="1:12" ht="28.5" customHeight="1">
      <c r="A508" s="67" t="str">
        <f>IF(games!A508="", "", games!A508)</f>
        <v/>
      </c>
      <c r="C508" s="51" t="str">
        <f t="shared" si="20"/>
        <v/>
      </c>
      <c r="D508" s="51" t="str">
        <f t="shared" si="21"/>
        <v/>
      </c>
      <c r="E508" s="91" t="str">
        <f>IF(games!I508&lt;&gt;"", games!I508, "")</f>
        <v/>
      </c>
    </row>
    <row r="509" spans="1:12" ht="28.5" customHeight="1">
      <c r="A509" s="67" t="str">
        <f>IF(games!A509="", "", games!A509)</f>
        <v/>
      </c>
      <c r="C509" s="51" t="str">
        <f t="shared" si="20"/>
        <v/>
      </c>
      <c r="D509" s="51" t="str">
        <f t="shared" si="21"/>
        <v/>
      </c>
      <c r="E509" s="91" t="str">
        <f>IF(games!I509&lt;&gt;"", games!I509, "")</f>
        <v/>
      </c>
    </row>
    <row r="510" spans="1:12" ht="28.5" customHeight="1">
      <c r="A510" s="67" t="str">
        <f>IF(games!A510="", "", games!A510)</f>
        <v/>
      </c>
      <c r="C510" s="51" t="str">
        <f t="shared" si="20"/>
        <v/>
      </c>
      <c r="D510" s="51" t="str">
        <f t="shared" si="21"/>
        <v/>
      </c>
      <c r="E510" s="91" t="str">
        <f>IF(games!I510&lt;&gt;"", games!I510, "")</f>
        <v/>
      </c>
    </row>
    <row r="511" spans="1:12" ht="28.5" customHeight="1">
      <c r="A511" s="67" t="str">
        <f>IF(games!A511="", "", games!A511)</f>
        <v/>
      </c>
      <c r="C511" s="51" t="str">
        <f t="shared" si="20"/>
        <v/>
      </c>
      <c r="D511" s="51" t="str">
        <f t="shared" si="21"/>
        <v/>
      </c>
      <c r="E511" s="91" t="str">
        <f>IF(games!I511&lt;&gt;"", games!I511, "")</f>
        <v/>
      </c>
    </row>
    <row r="512" spans="1:12"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s>
  <pageMargins left="0.7" right="0.7" top="0.75" bottom="0.75" header="0.3" footer="0.3"/>
  <pageSetup paperSize="9" orientation="portrait" r:id="rId23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2026-05-25T10:16:05Z</dcterms:modified>
</cp:coreProperties>
</file>