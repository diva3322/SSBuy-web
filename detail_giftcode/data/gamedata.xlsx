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D548" i="3" s="1"/>
  <c r="A549" i="3"/>
  <c r="C549" i="3" s="1"/>
  <c r="A550" i="3"/>
  <c r="D550" i="3" s="1"/>
  <c r="A551" i="3"/>
  <c r="C551" i="3" s="1"/>
  <c r="A552" i="3"/>
  <c r="C552" i="3" s="1"/>
  <c r="A553" i="3"/>
  <c r="C553" i="3" s="1"/>
  <c r="A554" i="3"/>
  <c r="C554" i="3" s="1"/>
  <c r="A555" i="3"/>
  <c r="C555" i="3" s="1"/>
  <c r="A556" i="3"/>
  <c r="C556" i="3" s="1"/>
  <c r="A557" i="3"/>
  <c r="C557" i="3" s="1"/>
  <c r="A558" i="3"/>
  <c r="C558" i="3" s="1"/>
  <c r="A559" i="3"/>
  <c r="D559" i="3" s="1"/>
  <c r="A560" i="3"/>
  <c r="D560" i="3" s="1"/>
  <c r="A561" i="3"/>
  <c r="C561" i="3" s="1"/>
  <c r="A562" i="3"/>
  <c r="C562" i="3" s="1"/>
  <c r="A563" i="3"/>
  <c r="C563" i="3" s="1"/>
  <c r="A564" i="3"/>
  <c r="D564" i="3" s="1"/>
  <c r="A565" i="3"/>
  <c r="C565" i="3" s="1"/>
  <c r="A566" i="3"/>
  <c r="D566" i="3" s="1"/>
  <c r="A567" i="3"/>
  <c r="C567" i="3" s="1"/>
  <c r="A568" i="3"/>
  <c r="C568" i="3" s="1"/>
  <c r="A569" i="3"/>
  <c r="C569" i="3" s="1"/>
  <c r="A570" i="3"/>
  <c r="C570" i="3" s="1"/>
  <c r="A571" i="3"/>
  <c r="C571" i="3" s="1"/>
  <c r="A572" i="3"/>
  <c r="C572" i="3" s="1"/>
  <c r="A573" i="3"/>
  <c r="C573" i="3" s="1"/>
  <c r="A574" i="3"/>
  <c r="C574" i="3" s="1"/>
  <c r="A575" i="3"/>
  <c r="D575" i="3" s="1"/>
  <c r="A576" i="3"/>
  <c r="C576" i="3" s="1"/>
  <c r="A577" i="3"/>
  <c r="C577" i="3" s="1"/>
  <c r="A578" i="3"/>
  <c r="C578" i="3" s="1"/>
  <c r="A579" i="3"/>
  <c r="C579" i="3" s="1"/>
  <c r="A580" i="3"/>
  <c r="A581" i="3"/>
  <c r="D540" i="3" l="1"/>
  <c r="D490" i="3"/>
  <c r="D563" i="3"/>
  <c r="C532" i="3"/>
  <c r="C465" i="3"/>
  <c r="C575" i="3"/>
  <c r="D475" i="3"/>
  <c r="D572" i="3"/>
  <c r="D555" i="3"/>
  <c r="C512" i="3"/>
  <c r="C559" i="3"/>
  <c r="C496" i="3"/>
  <c r="D553" i="3"/>
  <c r="C480" i="3"/>
  <c r="C508" i="3"/>
  <c r="D556" i="3"/>
  <c r="D524" i="3"/>
  <c r="D469" i="3"/>
  <c r="D445" i="3"/>
  <c r="C501" i="3"/>
  <c r="C533" i="3"/>
  <c r="D500" i="3"/>
  <c r="C544" i="3"/>
  <c r="D522" i="3"/>
  <c r="C454" i="3"/>
  <c r="D429" i="3"/>
  <c r="C564" i="3"/>
  <c r="D477" i="3"/>
  <c r="D453" i="3"/>
  <c r="D571" i="3"/>
  <c r="C517" i="3"/>
  <c r="D484" i="3"/>
  <c r="D437" i="3"/>
  <c r="C438" i="3"/>
  <c r="C528" i="3"/>
  <c r="D506" i="3"/>
  <c r="D461" i="3"/>
  <c r="C485" i="3"/>
  <c r="C548" i="3"/>
  <c r="D516" i="3"/>
  <c r="D538" i="3"/>
  <c r="D579" i="3"/>
  <c r="D569" i="3"/>
  <c r="D492" i="3"/>
  <c r="C470" i="3"/>
  <c r="D459" i="3"/>
  <c r="C519" i="3"/>
  <c r="C456" i="3"/>
  <c r="C440" i="3"/>
  <c r="D565" i="3"/>
  <c r="C560" i="3"/>
  <c r="D549" i="3"/>
  <c r="C513" i="3"/>
  <c r="C481" i="3"/>
  <c r="D471" i="3"/>
  <c r="C450" i="3"/>
  <c r="C434" i="3"/>
  <c r="D570" i="3"/>
  <c r="D554" i="3"/>
  <c r="D539" i="3"/>
  <c r="C534" i="3"/>
  <c r="D523" i="3"/>
  <c r="C518" i="3"/>
  <c r="D507" i="3"/>
  <c r="C502" i="3"/>
  <c r="D491" i="3"/>
  <c r="C486" i="3"/>
  <c r="D476" i="3"/>
  <c r="D460" i="3"/>
  <c r="C455" i="3"/>
  <c r="D444" i="3"/>
  <c r="C439" i="3"/>
  <c r="D428" i="3"/>
  <c r="C423" i="3"/>
  <c r="C503" i="3"/>
  <c r="D449" i="3"/>
  <c r="D433" i="3"/>
  <c r="C566" i="3"/>
  <c r="D422" i="3"/>
  <c r="D443" i="3"/>
  <c r="D427" i="3"/>
  <c r="D574" i="3"/>
  <c r="D558" i="3"/>
  <c r="D543" i="3"/>
  <c r="D527" i="3"/>
  <c r="D511" i="3"/>
  <c r="D495" i="3"/>
  <c r="D479" i="3"/>
  <c r="D464" i="3"/>
  <c r="D448" i="3"/>
  <c r="D432" i="3"/>
  <c r="D421" i="3"/>
  <c r="D552" i="3"/>
  <c r="D521" i="3"/>
  <c r="D505" i="3"/>
  <c r="D489" i="3"/>
  <c r="D474" i="3"/>
  <c r="D458" i="3"/>
  <c r="D442" i="3"/>
  <c r="D426" i="3"/>
  <c r="D568" i="3"/>
  <c r="D573" i="3"/>
  <c r="D557" i="3"/>
  <c r="D542" i="3"/>
  <c r="C537" i="3"/>
  <c r="D526" i="3"/>
  <c r="D510" i="3"/>
  <c r="D494" i="3"/>
  <c r="D463" i="3"/>
  <c r="D447" i="3"/>
  <c r="D431" i="3"/>
  <c r="C535" i="3"/>
  <c r="D578" i="3"/>
  <c r="D562" i="3"/>
  <c r="D547" i="3"/>
  <c r="D531" i="3"/>
  <c r="D515" i="3"/>
  <c r="D499" i="3"/>
  <c r="D483" i="3"/>
  <c r="D468" i="3"/>
  <c r="D452" i="3"/>
  <c r="D436" i="3"/>
  <c r="D420" i="3"/>
  <c r="D567" i="3"/>
  <c r="D551" i="3"/>
  <c r="D536" i="3"/>
  <c r="D520" i="3"/>
  <c r="D504" i="3"/>
  <c r="D488" i="3"/>
  <c r="D473" i="3"/>
  <c r="D457" i="3"/>
  <c r="D441" i="3"/>
  <c r="D425" i="3"/>
  <c r="C550" i="3"/>
  <c r="D541" i="3"/>
  <c r="D525" i="3"/>
  <c r="D509" i="3"/>
  <c r="D493" i="3"/>
  <c r="D478" i="3"/>
  <c r="D462" i="3"/>
  <c r="D446" i="3"/>
  <c r="D430" i="3"/>
  <c r="D577" i="3"/>
  <c r="D561" i="3"/>
  <c r="D546" i="3"/>
  <c r="D530" i="3"/>
  <c r="D514" i="3"/>
  <c r="D498" i="3"/>
  <c r="D482" i="3"/>
  <c r="D467" i="3"/>
  <c r="D451" i="3"/>
  <c r="D435" i="3"/>
  <c r="D419" i="3"/>
  <c r="D487" i="3"/>
  <c r="D472" i="3"/>
  <c r="D424" i="3"/>
  <c r="D576"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<sst xmlns="http://schemas.openxmlformats.org/spreadsheetml/2006/main" count="14694" uniqueCount="9430">
  <si>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</si>
  <si>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</si>
  <si>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</si>
  <si>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</si>
  <si>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</si>
  <si>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</si>
  <si>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</si>
  <si>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</si>
  <si>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</si>
  <si>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</si>
  <si>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</si>
  <si>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</si>
  <si>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</si>
  <si>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</si>
  <si>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</si>
  <si>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</si>
  <si>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</si>
  <si>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</si>
  <si>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</si>
  <si>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</si>
  <si>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</si>
  <si>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</si>
  <si>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</si>
  <si>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</si>
  <si>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</si>
  <si>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</si>
  <si>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</si>
  <si>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</si>
  <si>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</si>
  <si>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</si>
  <si>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</si>
  <si>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</si>
  <si>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</si>
  <si>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</si>
  <si>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</si>
  <si>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</si>
  <si>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</si>
  <si>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</si>
  <si>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</si>
  <si>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</si>
  <si>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</si>
  <si>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</si>
  <si>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</si>
  <si>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</si>
  <si>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</si>
  <si>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</si>
  <si>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</si>
  <si>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</si>
  <si>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</si>
  <si>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</si>
  <si>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</si>
  <si>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</si>
  <si>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</si>
  <si>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</si>
  <si>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</si>
  <si>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</si>
  <si>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</si>
  <si>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</si>
  <si>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</si>
  <si>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</si>
  <si>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</si>
  <si>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</si>
  <si>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</si>
  <si>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</si>
  <si>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</si>
  <si>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</si>
  <si>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</si>
  <si>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</si>
  <si>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</si>
  <si>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</si>
  <si>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</si>
  <si>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</si>
  <si>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</si>
  <si>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</si>
  <si>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</si>
  <si>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</si>
  <si>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</si>
  <si>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</si>
  <si>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</si>
  <si>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</si>
  <si>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</si>
  <si>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</si>
  <si>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</si>
  <si>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</si>
  <si>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</si>
  <si>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</si>
  <si>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</si>
  <si>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</si>
  <si>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</si>
  <si>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</si>
  <si>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</si>
  <si>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</si>
  <si>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</si>
  <si>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</si>
  <si>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</si>
  <si>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</si>
  <si>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</si>
  <si>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</si>
  <si>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</si>
  <si>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</si>
  <si>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</si>
  <si>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</si>
  <si>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</si>
  <si>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</si>
  <si>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</si>
  <si>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</si>
  <si>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</si>
  <si>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</si>
  <si>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</si>
  <si>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</si>
  <si>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</si>
  <si>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</si>
  <si>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</si>
  <si>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</si>
  <si>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</si>
  <si>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</si>
  <si>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</si>
  <si>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</si>
  <si>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</si>
  <si>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</si>
  <si>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</si>
  <si>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</si>
  <si>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</si>
  <si>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</si>
  <si>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</si>
  <si>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</si>
  <si>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</si>
  <si>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</si>
  <si>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</si>
  <si>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</si>
  <si>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</si>
  <si>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</si>
  <si>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</si>
  <si>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</si>
  <si>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</si>
  <si>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</si>
  <si>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</si>
  <si>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</si>
  <si>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</si>
  <si>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</si>
  <si>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</si>
  <si>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</si>
  <si>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</si>
  <si>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</si>
  <si>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</si>
  <si>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</si>
  <si>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</si>
  <si>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</si>
  <si>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</si>
  <si>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</si>
  <si>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</si>
  <si>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</si>
  <si>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</si>
  <si>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</si>
  <si>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</si>
  <si>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</si>
  <si>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</si>
  <si>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</si>
  <si>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</si>
  <si>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</si>
  <si>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</si>
  <si>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</si>
  <si>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</si>
  <si>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</si>
  <si>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</si>
  <si>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</si>
  <si>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</si>
  <si>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</si>
  <si>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</si>
  <si>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</si>
  <si>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</si>
  <si>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</si>
  <si>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</si>
  <si>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</si>
  <si>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</si>
  <si>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</si>
  <si>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</si>
  <si>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</si>
  <si>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</si>
  <si>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</si>
  <si>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</si>
  <si>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</si>
  <si>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</si>
  <si>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</si>
  <si>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</si>
  <si>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</si>
  <si>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</si>
  <si>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</si>
  <si>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</si>
  <si>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</si>
  <si>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</si>
  <si>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</si>
  <si>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</si>
  <si>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</si>
  <si>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</si>
  <si>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</si>
  <si>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</si>
  <si>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</si>
  <si>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</si>
  <si>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</si>
  <si>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</si>
  <si>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</si>
  <si>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</si>
  <si>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</si>
  <si>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</si>
  <si>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</si>
  <si>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</si>
  <si>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</si>
  <si>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</si>
  <si>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</si>
  <si>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</si>
  <si>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</si>
  <si>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</si>
  <si>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</si>
  <si>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</si>
  <si>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</si>
  <si>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</si>
  <si>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</si>
  <si>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</si>
  <si>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</si>
  <si>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</si>
  <si>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</si>
  <si>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</si>
  <si>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</si>
  <si>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</si>
  <si>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</si>
  <si>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</si>
  <si>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</si>
  <si>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</si>
  <si>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</si>
  <si>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</si>
  <si>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</si>
  <si>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</si>
  <si>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</si>
  <si>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</si>
  <si>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</si>
  <si>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</si>
  <si>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</si>
  <si>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</si>
  <si>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</si>
  <si>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</si>
  <si>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</si>
  <si>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</si>
  <si>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</si>
  <si>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</si>
  <si>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</si>
  <si>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</si>
  <si>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</si>
  <si>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</si>
  <si>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</si>
  <si>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</si>
  <si>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</si>
  <si>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</si>
  <si>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</si>
  <si>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</si>
  <si>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</si>
  <si>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</si>
  <si>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</si>
  <si>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</si>
  <si>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</si>
  <si>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</si>
  <si>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</si>
  <si>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</si>
  <si>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</si>
  <si>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</si>
  <si>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</si>
  <si>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</si>
  <si>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</si>
  <si>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</si>
  <si>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</si>
  <si>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</si>
  <si>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</si>
  <si>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</si>
  <si>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</si>
  <si>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</si>
  <si>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</si>
  <si>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</si>
  <si>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</si>
  <si>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</si>
  <si>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</si>
  <si>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</si>
  <si>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</si>
  <si>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</si>
  <si>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</si>
  <si>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</si>
  <si>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</si>
  <si>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</si>
  <si>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</si>
  <si>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</si>
  <si>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</si>
  <si>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</si>
  <si>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</si>
  <si>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</si>
  <si>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</si>
  <si>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</si>
  <si>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</si>
  <si>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</si>
  <si>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</si>
  <si>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</si>
  <si>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</si>
  <si>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</si>
  <si>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</si>
  <si>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</si>
  <si>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</si>
  <si>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</si>
  <si>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</si>
  <si>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</si>
  <si>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</si>
  <si>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</si>
  <si>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</si>
  <si>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</si>
  <si>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</si>
  <si>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</si>
  <si>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</si>
  <si>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</si>
  <si>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</si>
  <si>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</si>
  <si>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</si>
  <si>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</si>
  <si>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</si>
  <si>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</si>
  <si>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</si>
  <si>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</si>
  <si>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</si>
  <si>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</si>
  <si>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</si>
  <si>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</si>
  <si>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</si>
  <si>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</si>
  <si>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</si>
  <si>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</si>
  <si>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</si>
  <si>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</si>
  <si>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</si>
  <si>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</si>
  <si>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</si>
  <si>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</si>
  <si>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</si>
  <si>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</si>
  <si>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</si>
  <si>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</si>
  <si>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</si>
  <si>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</si>
  <si>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</si>
  <si>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</si>
  <si>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</si>
  <si>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</si>
  <si>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</si>
  <si>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</si>
  <si>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</si>
  <si>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</si>
  <si>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</si>
  <si>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</si>
  <si>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</si>
  <si>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</si>
  <si>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</si>
  <si>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</si>
  <si>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</si>
  <si>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</si>
  <si>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</si>
  <si>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</si>
  <si>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</si>
  <si>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</si>
  <si>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</si>
  <si>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</si>
  <si>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</si>
  <si>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</si>
  <si>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</si>
  <si>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</si>
  <si>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</si>
  <si>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</si>
  <si>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</si>
  <si>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</si>
  <si>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</si>
  <si>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</si>
  <si>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</si>
  <si>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</si>
  <si>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</si>
  <si>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</si>
  <si>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</si>
  <si>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</si>
  <si>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</si>
  <si>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</si>
  <si>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</si>
  <si>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</si>
  <si>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</si>
  <si>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</si>
  <si>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</si>
  <si>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</si>
  <si>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</si>
  <si>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</si>
  <si>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</si>
  <si>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</si>
  <si>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</si>
  <si>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</si>
  <si>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</si>
  <si>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</si>
  <si>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</si>
  <si>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</si>
  <si>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</si>
  <si>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</si>
  <si>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</si>
  <si>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</si>
  <si>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</si>
  <si>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</si>
  <si>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</si>
  <si>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</si>
  <si>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</si>
  <si>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</si>
  <si>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</si>
  <si>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</si>
  <si>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</si>
  <si>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</si>
  <si>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</si>
  <si>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</si>
  <si>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</si>
  <si>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</si>
  <si>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</si>
  <si>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</si>
  <si>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</si>
  <si>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</si>
  <si>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</si>
  <si>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</si>
  <si>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</si>
  <si>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</si>
  <si>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</si>
  <si>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</si>
  <si>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</si>
  <si>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</si>
  <si>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</si>
  <si>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</si>
  <si>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</si>
  <si>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</si>
  <si>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</si>
  <si>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</si>
  <si>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</si>
  <si>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</si>
  <si>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</si>
  <si>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</si>
  <si>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</si>
  <si>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</si>
  <si>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</si>
  <si>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</si>
  <si>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</si>
  <si>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</si>
  <si>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</si>
  <si>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</si>
  <si>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</si>
  <si>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</si>
  <si>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</si>
  <si>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</si>
  <si>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</si>
  <si>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</si>
  <si>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</si>
  <si>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</si>
  <si>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</si>
  <si>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</si>
  <si>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</si>
  <si>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</si>
  <si>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</si>
  <si>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</si>
  <si>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</si>
  <si>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</si>
  <si>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</si>
  <si>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</si>
  <si>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</si>
  <si>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</si>
  <si>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</si>
  <si>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</si>
  <si>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</si>
  <si>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</si>
  <si>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</si>
  <si>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</si>
  <si>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</si>
  <si>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</si>
  <si>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</si>
  <si>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</si>
  <si>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</si>
  <si>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</si>
  <si>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</si>
  <si>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</si>
  <si>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</si>
  <si>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</si>
  <si>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</si>
  <si>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</si>
  <si>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</si>
  <si>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</si>
  <si>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</si>
  <si>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</si>
  <si>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</si>
  <si>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</si>
  <si>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</si>
  <si>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</si>
  <si>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</si>
  <si>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</si>
  <si>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</si>
  <si>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</si>
  <si>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</si>
  <si>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</si>
  <si>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</si>
  <si>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</si>
  <si>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</si>
  <si>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</si>
  <si>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</si>
  <si>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</si>
  <si>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</si>
  <si>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</si>
  <si>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</si>
  <si>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</si>
  <si>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</si>
  <si>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</si>
  <si>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</si>
  <si>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</si>
  <si>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</si>
  <si>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</si>
  <si>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</si>
  <si>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</si>
  <si>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</si>
  <si>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</si>
  <si>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</si>
  <si>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</si>
  <si>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</si>
  <si>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</si>
  <si>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</si>
  <si>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</si>
  <si>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</si>
  <si>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</si>
  <si>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</si>
  <si>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</si>
  <si>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</si>
  <si>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</si>
  <si>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</si>
  <si>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</si>
  <si>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</si>
  <si>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</si>
  <si>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</si>
  <si>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</si>
  <si>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</si>
  <si>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</si>
  <si>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</si>
  <si>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</si>
  <si>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</si>
  <si>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</si>
  <si>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</si>
  <si>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</si>
  <si>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</si>
  <si>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</si>
  <si>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</si>
  <si>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</si>
  <si>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</si>
  <si>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</si>
  <si>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</si>
  <si>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</si>
  <si>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</si>
  <si>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</si>
  <si>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</si>
  <si>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</si>
  <si>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</si>
  <si>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</si>
  <si>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</si>
  <si>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</si>
  <si>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</si>
  <si>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</si>
  <si>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</si>
  <si>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</si>
  <si>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</si>
  <si>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</si>
  <si>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</si>
  <si>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</si>
  <si>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</si>
  <si>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</si>
  <si>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</si>
  <si>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</si>
  <si>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</si>
  <si>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</si>
  <si>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</si>
  <si>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</si>
  <si>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</si>
  <si>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</si>
  <si>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</si>
  <si>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</si>
  <si>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</si>
  <si>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</si>
  <si>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</si>
  <si>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</si>
  <si>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</si>
  <si>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</si>
  <si>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</si>
  <si>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</si>
  <si>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</si>
  <si>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</si>
  <si>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</si>
  <si>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</si>
  <si>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</si>
  <si>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</si>
  <si>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</si>
  <si>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</si>
  <si>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</si>
  <si>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</si>
  <si>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</si>
  <si>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</si>
  <si>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</si>
  <si>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</si>
  <si>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</si>
  <si>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</si>
  <si>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</si>
  <si>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</si>
  <si>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</si>
  <si>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</si>
  <si>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</si>
  <si>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</si>
  <si>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</si>
  <si>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</si>
  <si>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</si>
  <si>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</si>
  <si>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</si>
  <si>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</si>
  <si>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</si>
  <si>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</si>
  <si>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</si>
  <si>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</si>
  <si>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</si>
  <si>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</si>
  <si>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</si>
  <si>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</si>
  <si>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</si>
  <si>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</si>
  <si>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</si>
  <si>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</si>
  <si>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</si>
  <si>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</si>
  <si>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</si>
  <si>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</si>
  <si>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</si>
  <si>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</si>
  <si>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</si>
  <si>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</si>
  <si>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</si>
  <si>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</si>
  <si>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</si>
  <si>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</si>
  <si>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</si>
  <si>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</si>
  <si>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</si>
  <si>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</si>
  <si>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</si>
  <si>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</si>
  <si>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</si>
  <si>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</si>
  <si>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</si>
  <si>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</si>
  <si>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</si>
  <si>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</si>
  <si>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</si>
  <si>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</si>
  <si>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</si>
  <si>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</si>
  <si>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</si>
  <si>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</si>
  <si>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</si>
  <si>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</si>
  <si>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</si>
  <si>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</si>
  <si>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</si>
  <si>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</si>
  <si>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</si>
  <si>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</si>
  <si>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</si>
  <si>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</si>
  <si>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</si>
  <si>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</si>
  <si>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</si>
  <si>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</si>
  <si>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</si>
  <si>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</si>
  <si>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</si>
  <si>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</si>
  <si>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</si>
  <si>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</si>
  <si>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</si>
  <si>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</si>
  <si>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</si>
  <si>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</si>
  <si>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</si>
  <si>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</si>
  <si>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</si>
  <si>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</si>
  <si>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</si>
  <si>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</si>
  <si>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</si>
  <si>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</si>
  <si>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</si>
  <si>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</si>
  <si>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</si>
  <si>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</si>
  <si>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</si>
  <si>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</si>
  <si>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</si>
  <si>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</si>
  <si>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</si>
  <si>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</si>
  <si>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</si>
  <si>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</si>
  <si>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</si>
  <si>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</si>
  <si>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</si>
  <si>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</si>
  <si>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</si>
  <si>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</si>
  <si>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</si>
  <si>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</si>
  <si>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</si>
  <si>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</si>
  <si>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</si>
  <si>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</si>
  <si>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</si>
  <si>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</si>
  <si>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</si>
  <si>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</si>
  <si>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</si>
  <si>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</si>
  <si>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</si>
  <si>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</si>
  <si>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</si>
  <si>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</si>
  <si>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</si>
  <si>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</si>
  <si>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</si>
  <si>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</si>
  <si>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</si>
  <si>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</si>
  <si>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</si>
  <si>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</si>
  <si>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</si>
  <si>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</si>
  <si>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</si>
  <si>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</si>
  <si>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</si>
  <si>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</si>
  <si>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</si>
  <si>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</si>
  <si>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</si>
  <si>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</si>
  <si>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</si>
  <si>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</si>
  <si>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</si>
  <si>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</si>
  <si>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</si>
  <si>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</si>
  <si>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</si>
  <si>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</si>
  <si>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</si>
  <si>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</si>
  <si>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</si>
  <si>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</si>
  <si>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</si>
  <si>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</si>
  <si>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</si>
  <si>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</si>
  <si>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</si>
  <si>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</si>
  <si>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</si>
  <si>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</si>
  <si>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</si>
  <si>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</si>
  <si>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</si>
  <si>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</si>
  <si>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</si>
  <si>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</si>
  <si>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</si>
  <si>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</si>
  <si>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</si>
  <si>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</si>
  <si>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</si>
  <si>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</si>
  <si>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</si>
  <si>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</si>
  <si>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</si>
  <si>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</si>
  <si>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</si>
  <si>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</si>
  <si>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</si>
  <si>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</si>
  <si>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</si>
  <si>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</si>
  <si>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</si>
  <si>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</si>
  <si>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</si>
  <si>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</si>
  <si>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</si>
  <si>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</si>
  <si>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</si>
  <si>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</si>
  <si>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</si>
  <si>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</si>
  <si>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</si>
  <si>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</si>
  <si>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</si>
  <si>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</si>
  <si>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</si>
  <si>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</si>
  <si>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</si>
  <si>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</si>
  <si>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</si>
  <si>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</si>
  <si>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</si>
  <si>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</si>
  <si>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</si>
  <si>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</si>
  <si>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</si>
  <si>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</si>
  <si>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</si>
  <si>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</si>
  <si>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</si>
  <si>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</si>
  <si>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</si>
  <si>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</si>
  <si>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</si>
  <si>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</si>
  <si>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</si>
  <si>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</si>
  <si>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</si>
  <si>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</si>
  <si>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</si>
  <si>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</si>
  <si>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</si>
  <si>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</si>
  <si>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</si>
  <si>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</si>
  <si>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</si>
  <si>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</si>
  <si>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</si>
  <si>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</si>
  <si>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</si>
  <si>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</si>
  <si>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</si>
  <si>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</si>
  <si>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</si>
  <si>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</si>
  <si>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</si>
  <si>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</si>
  <si>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</si>
  <si>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</si>
  <si>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</si>
  <si>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</si>
  <si>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</si>
  <si>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</si>
  <si>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</si>
  <si>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</si>
  <si>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</si>
  <si>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</si>
  <si>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</si>
  <si>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</si>
  <si>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</si>
  <si>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</si>
  <si>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</si>
  <si>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</si>
  <si>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</si>
  <si>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</si>
  <si>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</si>
  <si>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</si>
  <si>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</si>
  <si>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</si>
  <si>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</si>
  <si>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</si>
  <si>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</si>
  <si>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</si>
  <si>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</si>
  <si>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</si>
  <si>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</si>
  <si>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</si>
  <si>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</si>
  <si>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</si>
  <si>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</si>
  <si>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</si>
  <si>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</si>
  <si>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</si>
  <si>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</si>
  <si>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</si>
  <si>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</si>
  <si>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</si>
  <si>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</si>
  <si>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</si>
  <si>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</si>
  <si>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</si>
  <si>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</si>
  <si>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</si>
  <si>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</si>
  <si>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</si>
  <si>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</si>
  <si>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</si>
  <si>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</si>
  <si>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</si>
  <si>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</si>
  <si>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</si>
  <si>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</si>
  <si>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</si>
  <si>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</si>
  <si>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</si>
  <si>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</si>
  <si>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</si>
  <si>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</si>
  <si>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</si>
  <si>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</si>
  <si>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</si>
  <si>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</si>
  <si>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</si>
  <si>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</si>
  <si>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</si>
  <si>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</si>
  <si>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</si>
  <si>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</si>
  <si>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</si>
  <si>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</si>
  <si>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</si>
  <si>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</si>
  <si>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</si>
  <si>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</si>
  <si>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</si>
  <si>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</si>
  <si>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</si>
  <si>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</si>
  <si>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</si>
  <si>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</si>
  <si>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</si>
  <si>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</si>
  <si>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</si>
  <si>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</si>
  <si>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</si>
  <si>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</si>
  <si>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</si>
  <si>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</si>
  <si>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</si>
  <si>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</si>
  <si>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</si>
  <si>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</si>
  <si>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</si>
  <si>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</si>
  <si>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</si>
  <si>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</si>
  <si>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</si>
  <si>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</si>
  <si>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</si>
  <si>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</si>
  <si>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</si>
  <si>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</si>
  <si>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</si>
  <si>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</si>
  <si>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</si>
  <si>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</si>
  <si>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</si>
  <si>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</si>
  <si>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</si>
  <si>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</si>
  <si>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</si>
  <si>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</si>
  <si>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</si>
  <si>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</si>
  <si>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</si>
  <si>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</si>
  <si>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</si>
  <si>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</si>
  <si>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</si>
  <si>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</si>
  <si>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</si>
  <si>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</si>
  <si>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</si>
  <si>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</si>
  <si>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</si>
  <si>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</si>
  <si>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</si>
  <si>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</si>
  <si>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</si>
  <si>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</si>
  <si>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</si>
  <si>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</si>
  <si>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</si>
  <si>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</si>
  <si>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</si>
  <si>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</si>
  <si>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</si>
  <si>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</si>
  <si>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</si>
  <si>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</si>
  <si>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</si>
  <si>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</si>
  <si>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</si>
  <si>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</si>
  <si>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</si>
  <si>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</si>
  <si>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</si>
  <si>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</si>
  <si>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</si>
  <si>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</si>
  <si>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</si>
  <si>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</si>
  <si>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</si>
  <si>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</si>
  <si>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</si>
  <si>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</si>
  <si>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</si>
  <si>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</si>
  <si>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</si>
  <si>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</si>
  <si>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</si>
  <si>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</si>
  <si>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</si>
  <si>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</si>
  <si>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</si>
  <si>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</si>
  <si>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</si>
  <si>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</si>
  <si>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</si>
  <si>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</si>
  <si>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</si>
  <si>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</si>
  <si>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</si>
  <si>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</si>
  <si>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</si>
  <si>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</si>
  <si>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</si>
  <si>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</si>
  <si>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</si>
  <si>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</si>
  <si>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</si>
  <si>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</si>
  <si>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</si>
  <si>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</si>
  <si>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</si>
  <si>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</si>
  <si>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</si>
  <si>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</si>
  <si>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</si>
  <si>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</si>
  <si>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</si>
  <si>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</si>
  <si>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</si>
  <si>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</si>
  <si>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</si>
  <si>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</si>
  <si>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</si>
  <si>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</si>
  <si>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</si>
  <si>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</si>
  <si>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</si>
  <si>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</si>
  <si>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</si>
  <si>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</si>
  <si>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</si>
  <si>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</si>
  <si>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</si>
  <si>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</si>
  <si>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</si>
  <si>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</si>
  <si>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</si>
  <si>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</si>
  <si>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</si>
  <si>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</si>
  <si>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</si>
  <si>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</si>
  <si>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</si>
  <si>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</si>
  <si>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</si>
  <si>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</si>
  <si>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</si>
  <si>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</si>
  <si>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</si>
  <si>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</si>
  <si>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</si>
  <si>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</si>
  <si>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</si>
  <si>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</si>
  <si>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</si>
  <si>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</si>
  <si>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</si>
  <si>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</si>
  <si>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</si>
  <si>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</si>
  <si>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</si>
  <si>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</si>
  <si>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</si>
  <si>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</si>
  <si>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</si>
  <si>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</si>
  <si>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</si>
  <si>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</si>
  <si>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</si>
  <si>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</si>
  <si>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</si>
  <si>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</si>
  <si>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</si>
  <si>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</si>
  <si>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</si>
  <si>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</si>
  <si>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</si>
  <si>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</si>
  <si>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</si>
  <si>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</si>
  <si>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</si>
  <si>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</si>
  <si>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</si>
  <si>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</si>
  <si>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</si>
  <si>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</si>
  <si>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</si>
  <si>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</si>
  <si>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</si>
  <si>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</si>
  <si>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</si>
  <si>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</si>
  <si>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</si>
  <si>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</si>
  <si>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</si>
  <si>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</si>
  <si>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</si>
  <si>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</si>
  <si>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</si>
  <si>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</si>
  <si>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</si>
  <si>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</si>
  <si>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</si>
  <si>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</si>
  <si>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</si>
  <si>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</si>
  <si>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</si>
  <si>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</si>
  <si>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</si>
  <si>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</si>
  <si>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</si>
  <si>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</si>
  <si>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</si>
  <si>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</si>
  <si>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</si>
  <si>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</si>
  <si>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</si>
  <si>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</si>
  <si>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</si>
  <si>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</si>
  <si>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</si>
  <si>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</si>
  <si>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</si>
  <si>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</si>
  <si>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</si>
  <si>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</si>
  <si>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</si>
  <si>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</si>
  <si>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</si>
  <si>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</si>
  <si>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</si>
  <si>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</si>
  <si>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</si>
  <si>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</si>
  <si>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</si>
  <si>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</si>
  <si>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</si>
  <si>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</si>
  <si>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</si>
  <si>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</si>
  <si>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</si>
  <si>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</si>
  <si>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</si>
  <si>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</si>
  <si>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</si>
  <si>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</si>
  <si>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</si>
  <si>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</si>
  <si>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</si>
  <si>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</si>
  <si>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</si>
  <si>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</si>
  <si>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</si>
  <si>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</si>
  <si>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</si>
  <si>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</si>
  <si>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</si>
  <si>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</si>
  <si>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</si>
  <si>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</si>
  <si>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</si>
  <si>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</si>
  <si>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</si>
  <si>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</si>
  <si>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</si>
  <si>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</si>
  <si>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</si>
  <si>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</si>
  <si>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</si>
  <si>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</si>
  <si>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</si>
  <si>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</si>
  <si>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</si>
  <si>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</si>
  <si>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</si>
  <si>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</si>
  <si>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</si>
  <si>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</si>
  <si>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</si>
  <si>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</si>
  <si>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</si>
  <si>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</si>
  <si>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</si>
  <si>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</si>
  <si>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</si>
  <si>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</si>
  <si>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</si>
  <si>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</si>
  <si>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</si>
  <si>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</si>
  <si>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</si>
  <si>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</si>
  <si>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</si>
  <si>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</si>
  <si>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</si>
  <si>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</si>
  <si>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</si>
  <si>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</si>
  <si>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</si>
  <si>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</si>
  <si>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</si>
  <si>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</si>
  <si>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</si>
  <si>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</si>
  <si>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</si>
  <si>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</si>
  <si>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</si>
  <si>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</si>
  <si>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</si>
  <si>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</si>
  <si>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</si>
  <si>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</si>
  <si>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</si>
  <si>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</si>
  <si>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</si>
  <si>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</si>
  <si>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</si>
  <si>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</si>
  <si>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</si>
  <si>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</si>
  <si>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</si>
  <si>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</si>
  <si>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</si>
  <si>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</si>
  <si>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</si>
  <si>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</si>
  <si>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</si>
  <si>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</si>
  <si>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</si>
  <si>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</si>
  <si>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</si>
  <si>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</si>
  <si>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</si>
  <si>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</si>
  <si>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</si>
  <si>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</si>
  <si>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</si>
  <si>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</si>
  <si>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</si>
  <si>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</si>
  <si>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</si>
  <si>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</si>
  <si>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</si>
  <si>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</si>
  <si>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</si>
  <si>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</si>
  <si>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</si>
  <si>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</si>
  <si>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</si>
  <si>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</si>
  <si>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</si>
  <si>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</si>
  <si>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</si>
  <si>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</si>
  <si>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</si>
  <si>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</si>
  <si>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</si>
  <si>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</si>
  <si>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</si>
  <si>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</si>
  <si>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</si>
  <si>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</si>
  <si>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</si>
  <si>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</si>
  <si>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</si>
  <si>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</si>
  <si>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</si>
  <si>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</si>
  <si>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</si>
  <si>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</si>
  <si>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</si>
  <si>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</si>
  <si>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</si>
  <si>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</si>
  <si>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</si>
  <si>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</si>
  <si>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</si>
  <si>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</si>
  <si>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</si>
  <si>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</si>
  <si>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</si>
  <si>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</si>
  <si>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</si>
  <si>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</si>
  <si>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</si>
  <si>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</si>
  <si>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</si>
  <si>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</si>
  <si>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</si>
  <si>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</si>
  <si>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</si>
  <si>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</si>
  <si>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</si>
  <si>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</si>
  <si>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</si>
  <si>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</si>
  <si>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</si>
  <si>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</si>
  <si>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</si>
  <si>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</si>
  <si>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</si>
  <si>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</si>
  <si>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</si>
  <si>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</si>
  <si>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</si>
  <si>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</si>
  <si>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</si>
  <si>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</si>
  <si>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</si>
  <si>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</si>
  <si>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</si>
  <si>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</si>
  <si>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</si>
  <si>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</si>
  <si>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</si>
  <si>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</si>
  <si>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</si>
  <si>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</si>
  <si>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</si>
  <si>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</si>
  <si>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</si>
  <si>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</si>
  <si>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</si>
  <si>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</si>
  <si>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</si>
  <si>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</si>
  <si>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</si>
  <si>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</si>
  <si>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</si>
  <si>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</si>
  <si>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</si>
  <si>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</si>
  <si>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</si>
  <si>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</si>
  <si>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</si>
  <si>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</si>
  <si>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</si>
  <si>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</si>
  <si>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</si>
  <si>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</si>
  <si>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</si>
  <si>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</si>
  <si>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</si>
  <si>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</si>
  <si>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</si>
  <si>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</si>
  <si>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</si>
  <si>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</si>
  <si>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</si>
  <si>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</si>
  <si>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</si>
  <si>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</si>
  <si>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</si>
  <si>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</si>
  <si>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</si>
  <si>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</si>
  <si>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</si>
  <si>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</si>
  <si>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</si>
  <si>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</si>
  <si>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</si>
  <si>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</si>
  <si>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</si>
  <si>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</si>
  <si>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</si>
  <si>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</si>
  <si>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</si>
  <si>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</si>
  <si>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</si>
  <si>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</si>
  <si>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</si>
  <si>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</si>
  <si>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</si>
  <si>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</si>
  <si>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</si>
  <si>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</si>
  <si>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</si>
  <si>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</si>
  <si>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</si>
  <si>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</si>
  <si>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</si>
  <si>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</si>
  <si>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</si>
  <si>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</si>
  <si>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</si>
  <si>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</si>
  <si>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</si>
  <si>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</si>
  <si>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</si>
  <si>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</si>
  <si>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</si>
  <si>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</si>
  <si>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</si>
  <si>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</si>
  <si>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</si>
  <si>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</si>
  <si>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</si>
  <si>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</si>
  <si>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</si>
  <si>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</si>
  <si>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</si>
  <si>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</si>
  <si>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</si>
  <si>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</si>
  <si>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</si>
  <si>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</si>
  <si>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</si>
  <si>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</si>
  <si>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</si>
  <si>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</si>
  <si>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</si>
  <si>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</si>
  <si>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</si>
  <si>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</si>
  <si>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</si>
  <si>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</si>
  <si>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</si>
  <si>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</si>
  <si>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</si>
  <si>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</si>
  <si>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</si>
  <si>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</si>
  <si>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</si>
  <si>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</si>
  <si>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</si>
  <si>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</si>
  <si>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</si>
  <si>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</si>
  <si>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</si>
  <si>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</si>
  <si>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</si>
  <si>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</si>
  <si>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</si>
  <si>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</si>
  <si>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</si>
  <si>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</si>
  <si>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</si>
  <si>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</si>
  <si>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</si>
  <si>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</si>
  <si>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</si>
  <si>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</si>
  <si>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</si>
  <si>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</si>
  <si>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</si>
  <si>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</si>
  <si>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</si>
  <si>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</si>
  <si>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</si>
  <si>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</si>
  <si>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</si>
  <si>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</si>
  <si>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</si>
  <si>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</si>
  <si>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</si>
  <si>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</si>
  <si>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</si>
  <si>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</si>
  <si>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</si>
  <si>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</si>
  <si>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</si>
  <si>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</si>
  <si>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</si>
  <si>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</si>
  <si>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</si>
  <si>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</si>
  <si>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</si>
  <si>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</si>
  <si>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</si>
  <si>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</si>
  <si>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</si>
  <si>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</si>
  <si>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</si>
  <si>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</si>
  <si>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</si>
  <si>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</si>
  <si>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</si>
  <si>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</si>
  <si>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</si>
  <si>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</si>
  <si>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</si>
  <si>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</si>
  <si>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</si>
  <si>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</si>
  <si>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</si>
  <si>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</si>
  <si>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</si>
  <si>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</si>
  <si>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</si>
  <si>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</si>
  <si>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</si>
  <si>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</si>
  <si>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</si>
  <si>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</si>
  <si>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</si>
  <si>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</si>
  <si>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</si>
  <si>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</si>
  <si>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</si>
  <si>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</si>
  <si>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</si>
  <si>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</si>
  <si>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</si>
  <si>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</si>
  <si>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</si>
  <si>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</si>
  <si>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</si>
  <si>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</si>
  <si>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</si>
  <si>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</si>
  <si>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</si>
  <si>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</si>
  <si>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</si>
  <si>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</si>
  <si>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</si>
  <si>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</si>
  <si>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</si>
  <si>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</si>
  <si>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</si>
  <si>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</si>
  <si>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</si>
  <si>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</si>
  <si>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</si>
  <si>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</si>
  <si>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</si>
  <si>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</si>
  <si>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</si>
  <si>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</si>
  <si>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</si>
  <si>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</si>
  <si>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</si>
  <si>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</si>
  <si>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</si>
  <si>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</si>
  <si>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</si>
  <si>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</si>
  <si>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</si>
  <si>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</si>
  <si>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</si>
  <si>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</si>
  <si>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</si>
  <si>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</si>
  <si>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</si>
  <si>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</si>
  <si>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</si>
  <si>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</si>
  <si>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</si>
  <si>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</si>
  <si>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</si>
  <si>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</si>
  <si>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</si>
  <si>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</si>
  <si>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</si>
  <si>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</si>
  <si>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</si>
  <si>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</si>
  <si>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</si>
  <si>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</si>
  <si>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</si>
  <si>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</si>
  <si>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</si>
  <si>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</si>
  <si>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</si>
  <si>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</si>
  <si>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</si>
  <si>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</si>
  <si>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</si>
  <si>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</si>
  <si>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</si>
  <si>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</si>
  <si>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</si>
  <si>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</si>
  <si>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</si>
  <si>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</si>
  <si>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</si>
  <si>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</si>
  <si>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</si>
  <si>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</si>
  <si>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</si>
  <si>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</si>
  <si>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</si>
  <si>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</si>
  <si>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</si>
  <si>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</si>
  <si>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</si>
  <si>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</si>
  <si>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</si>
  <si>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</si>
  <si>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</si>
  <si>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</si>
  <si>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</si>
  <si>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</si>
  <si>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</si>
  <si>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</si>
  <si>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</si>
  <si>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</si>
  <si>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</si>
  <si>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</si>
  <si>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</si>
  <si>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</si>
  <si>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</si>
  <si>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</si>
  <si>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</si>
  <si>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</si>
  <si>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</si>
  <si>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</si>
  <si>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</si>
  <si>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</si>
  <si>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</si>
  <si>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</si>
  <si>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</si>
  <si>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</si>
  <si>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</si>
  <si>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</si>
  <si>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</si>
  <si>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</si>
  <si>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</si>
  <si>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</si>
  <si>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</si>
  <si>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</si>
  <si>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</si>
  <si>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</si>
  <si>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</si>
  <si>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</si>
  <si>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</si>
  <si>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</si>
  <si>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</si>
  <si>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</si>
  <si>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</si>
  <si>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</si>
  <si>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</si>
  <si>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</si>
  <si>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</si>
  <si>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</si>
  <si>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</si>
  <si>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</si>
  <si>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</si>
  <si>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</si>
  <si>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</si>
  <si>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</si>
  <si>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</si>
  <si>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</si>
  <si>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</si>
  <si>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</si>
  <si>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</si>
  <si>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</si>
  <si>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</si>
  <si>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</si>
  <si>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</si>
  <si>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</si>
  <si>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</si>
  <si>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</si>
  <si>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</si>
  <si>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</si>
  <si>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</si>
  <si>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</si>
  <si>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</si>
  <si>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</si>
  <si>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</si>
  <si>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</si>
  <si>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</si>
  <si>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</si>
  <si>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</si>
  <si>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</si>
  <si>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</si>
  <si>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</si>
  <si>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</si>
  <si>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</si>
  <si>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</si>
  <si>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</si>
  <si>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</si>
  <si>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</si>
  <si>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</si>
  <si>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</si>
  <si>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</si>
  <si>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</si>
  <si>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</si>
  <si>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</si>
  <si>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</si>
  <si>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</si>
  <si>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</si>
  <si>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</si>
  <si>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</si>
  <si>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</si>
  <si>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</si>
  <si>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</si>
  <si>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</si>
  <si>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</si>
  <si>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</si>
  <si>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</si>
  <si>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</si>
  <si>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</si>
  <si>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</si>
  <si>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</si>
  <si>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</si>
  <si>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</si>
  <si>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</si>
  <si>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</si>
  <si>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</si>
  <si>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</si>
  <si>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</si>
  <si>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</si>
  <si>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</si>
  <si>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</si>
  <si>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</si>
  <si>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</si>
  <si>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</si>
  <si>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</si>
  <si>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</si>
  <si>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</si>
  <si>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</si>
  <si>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</si>
  <si>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</si>
  <si>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</si>
  <si>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</si>
  <si>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</si>
  <si>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</si>
  <si>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</si>
  <si>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</si>
  <si>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</si>
  <si>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</si>
  <si>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</si>
  <si>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</si>
  <si>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</si>
  <si>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</si>
  <si>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</si>
  <si>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</si>
  <si>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</si>
  <si>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</si>
  <si>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</si>
  <si>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</si>
  <si>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</si>
  <si>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</si>
  <si>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</si>
  <si>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</si>
  <si>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</si>
  <si>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</si>
  <si>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</si>
  <si>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</si>
  <si>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</si>
  <si>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</si>
  <si>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</si>
  <si>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</si>
  <si>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</si>
  <si>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</si>
  <si>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</si>
  <si>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</si>
  <si>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</si>
  <si>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</si>
  <si>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</si>
  <si>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</si>
  <si>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</si>
  <si>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</si>
  <si>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</si>
  <si>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</si>
  <si>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</si>
  <si>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</si>
  <si>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</si>
  <si>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</si>
  <si>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</si>
  <si>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</si>
  <si>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</si>
  <si>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</si>
  <si>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</si>
  <si>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</si>
  <si>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</si>
  <si>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</si>
  <si>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</si>
  <si>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</si>
  <si>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</si>
  <si>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</si>
  <si>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</si>
  <si>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</si>
  <si>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</si>
  <si>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</si>
  <si>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</si>
  <si>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</si>
  <si>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</si>
  <si>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</si>
  <si>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</si>
  <si>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</si>
  <si>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</si>
  <si>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</si>
  <si>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</si>
  <si>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</si>
  <si>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</si>
  <si>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</si>
  <si>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</si>
  <si>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</si>
  <si>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</si>
  <si>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</si>
  <si>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</si>
  <si>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</si>
  <si>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</si>
  <si>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</si>
  <si>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</si>
  <si>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</si>
  <si>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</si>
  <si>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</si>
  <si>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</si>
  <si>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</si>
  <si>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</si>
  <si>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</si>
  <si>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</si>
  <si>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</si>
  <si>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</si>
  <si>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</si>
  <si>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</si>
  <si>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</si>
  <si>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</si>
  <si>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</si>
  <si>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</si>
  <si>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</si>
  <si>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</si>
  <si>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</si>
  <si>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</si>
  <si>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</si>
  <si>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</si>
  <si>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</si>
  <si>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</si>
  <si>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</si>
  <si>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</si>
  <si>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</si>
  <si>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</si>
  <si>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</si>
  <si>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</si>
  <si>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</si>
  <si>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</si>
  <si>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</si>
  <si>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</si>
  <si>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</si>
  <si>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</si>
  <si>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</si>
  <si>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</si>
  <si>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</si>
  <si>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</si>
  <si>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</si>
  <si>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</si>
  <si>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</si>
  <si>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</si>
  <si>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</si>
  <si>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</si>
  <si>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</si>
  <si>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</si>
  <si>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</si>
  <si>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</si>
  <si>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</si>
  <si>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</si>
  <si>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</si>
  <si>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</si>
  <si>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</si>
  <si>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</si>
  <si>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</si>
  <si>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</si>
  <si>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</si>
  <si>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</si>
  <si>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</si>
  <si>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</si>
  <si>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</si>
  <si>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</si>
  <si>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</si>
  <si>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</si>
  <si>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</si>
  <si>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</si>
  <si>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</si>
  <si>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</si>
  <si>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</si>
  <si>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</si>
  <si>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</si>
  <si>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</si>
  <si>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</si>
  <si>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</si>
  <si>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</si>
  <si>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</si>
  <si>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</si>
  <si>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</si>
  <si>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</si>
  <si>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</si>
  <si>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</si>
  <si>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</si>
  <si>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</si>
  <si>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</si>
  <si>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</si>
  <si>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</si>
  <si>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</si>
  <si>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</si>
  <si>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</si>
  <si>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</si>
  <si>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</si>
  <si>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</si>
  <si>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</si>
  <si>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</si>
  <si>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</si>
  <si>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</si>
  <si>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</si>
  <si>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</si>
  <si>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</si>
  <si>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</si>
  <si>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</si>
  <si>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</si>
  <si>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</si>
  <si>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</si>
  <si>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</si>
  <si>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</si>
  <si>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</si>
  <si>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</si>
  <si>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</si>
  <si>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</si>
  <si>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</si>
  <si>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</si>
  <si>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</si>
  <si>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</si>
  <si>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</si>
  <si>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</si>
  <si>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</si>
  <si>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</si>
  <si>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</si>
  <si>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</si>
  <si>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</si>
  <si>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</si>
  <si>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</si>
  <si>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</si>
  <si>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</si>
  <si>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</si>
  <si>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</si>
  <si>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</si>
  <si>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</si>
  <si>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</si>
  <si>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</si>
  <si>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</si>
  <si>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</si>
  <si>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</si>
  <si>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</si>
  <si>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</si>
  <si>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</si>
  <si>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</si>
  <si>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</si>
  <si>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</si>
  <si>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</si>
  <si>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</si>
  <si>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</si>
  <si>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</si>
  <si>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</si>
  <si>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</si>
  <si>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</si>
  <si>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</si>
  <si>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</si>
  <si>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</si>
  <si>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</si>
  <si>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</si>
  <si>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</si>
  <si>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</si>
  <si>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</si>
  <si>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</si>
  <si>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</si>
  <si>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</si>
  <si>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</si>
  <si>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</si>
  <si>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</si>
  <si>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</si>
  <si>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</si>
  <si>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</si>
  <si>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</si>
  <si>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</si>
  <si>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</si>
  <si>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</si>
  <si>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</si>
  <si>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</si>
  <si>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</si>
  <si>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</si>
  <si>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</si>
  <si>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</si>
  <si>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</si>
  <si>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</si>
  <si>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</si>
  <si>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</si>
  <si>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</si>
  <si>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</si>
  <si>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</si>
  <si>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</si>
  <si>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</si>
  <si>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</si>
  <si>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</si>
  <si>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</si>
  <si>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</si>
  <si>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</si>
  <si>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</si>
  <si>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</si>
  <si>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</si>
  <si>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</si>
  <si>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</si>
  <si>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</si>
  <si>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</si>
  <si>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</si>
  <si>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</si>
  <si>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</si>
  <si>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</si>
  <si>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</si>
  <si>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</si>
  <si>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</si>
  <si>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</si>
  <si>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</si>
  <si>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</si>
  <si>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</si>
  <si>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</si>
  <si>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</si>
  <si>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</si>
  <si>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</si>
  <si>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</si>
  <si>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</si>
  <si>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</si>
  <si>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</si>
  <si>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</si>
  <si>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</si>
  <si>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</si>
  <si>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</si>
  <si>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</si>
  <si>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</si>
  <si>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</si>
  <si>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</si>
  <si>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</si>
  <si>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</si>
  <si>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</si>
  <si>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</si>
  <si>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</si>
  <si>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</si>
  <si>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</si>
  <si>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</si>
  <si>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</si>
  <si>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</si>
  <si>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</si>
  <si>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</si>
  <si>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</si>
  <si>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</si>
  <si>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</si>
  <si>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</si>
  <si>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</si>
  <si>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</si>
  <si>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</si>
  <si>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</si>
  <si>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</si>
  <si>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</si>
  <si>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</si>
  <si>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</si>
  <si>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</si>
  <si>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</si>
  <si>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</si>
  <si>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</si>
  <si>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</si>
  <si>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</si>
  <si>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</si>
  <si>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</si>
  <si>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</si>
  <si>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</si>
  <si>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</si>
  <si>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</si>
  <si>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</si>
  <si>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</si>
  <si>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</si>
  <si>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</si>
  <si>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</si>
  <si>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</si>
  <si>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</si>
  <si>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</si>
  <si>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</si>
  <si>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</si>
  <si>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</si>
  <si>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</si>
  <si>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</si>
  <si>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</si>
  <si>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</si>
  <si>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</si>
  <si>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</si>
  <si>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</si>
  <si>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</si>
  <si>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</si>
  <si>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</si>
  <si>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</si>
  <si>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</si>
  <si>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</si>
  <si>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</si>
  <si>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</si>
  <si>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</si>
  <si>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</si>
  <si>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</si>
  <si>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</si>
  <si>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</si>
  <si>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</si>
  <si>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</si>
  <si>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</si>
  <si>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</si>
  <si>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</si>
  <si>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</si>
  <si>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</si>
  <si>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</si>
  <si>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</si>
  <si>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</si>
  <si>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</si>
  <si>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</si>
  <si>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</si>
  <si>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</si>
  <si>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</si>
  <si>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</si>
  <si>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</si>
  <si>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</si>
  <si>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</si>
  <si>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</si>
  <si>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</si>
  <si>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</si>
  <si>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</si>
  <si>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</si>
  <si>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</si>
  <si>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</si>
  <si>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</si>
  <si>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</si>
  <si>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</si>
  <si>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</si>
  <si>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</si>
  <si>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</si>
  <si>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</si>
  <si>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</si>
  <si>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</si>
  <si>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</si>
  <si>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</si>
  <si>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</si>
  <si>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</si>
  <si>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</si>
  <si>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</si>
  <si>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</si>
  <si>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</si>
  <si>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</si>
  <si>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</si>
  <si>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</si>
  <si>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</si>
  <si>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</si>
  <si>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</si>
  <si>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</si>
  <si>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</si>
  <si>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</si>
  <si>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</si>
  <si>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</si>
  <si>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</si>
  <si>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</si>
  <si>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</si>
  <si>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</si>
  <si>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</si>
  <si>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</si>
  <si>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</si>
  <si>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</si>
  <si>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</si>
  <si>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</si>
  <si>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</si>
  <si>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</si>
  <si>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</si>
  <si>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</si>
  <si>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</si>
  <si>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</si>
  <si>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</si>
  <si>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</si>
  <si>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</si>
  <si>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</si>
  <si>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</si>
  <si>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</si>
  <si>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</si>
  <si>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</si>
  <si>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</si>
  <si>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</si>
  <si>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</si>
  <si>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</si>
  <si>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</si>
  <si>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</si>
  <si>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</si>
  <si>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</si>
  <si>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</si>
  <si>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</si>
  <si>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</si>
  <si>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</si>
  <si>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</si>
  <si>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</si>
  <si>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</si>
  <si>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</si>
  <si>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</si>
  <si>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</si>
  <si>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</si>
  <si>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</si>
  <si>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</si>
  <si>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</si>
  <si>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</si>
  <si>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</si>
  <si>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</si>
  <si>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</si>
  <si>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</si>
  <si>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</si>
  <si>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</si>
  <si>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</si>
  <si>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</si>
  <si>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</si>
  <si>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</si>
  <si>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</si>
  <si>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</si>
  <si>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</si>
  <si>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</si>
  <si>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</si>
  <si>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</si>
  <si>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</si>
  <si>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</si>
  <si>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</si>
  <si>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</si>
  <si>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</si>
  <si>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</si>
  <si>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</si>
  <si>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</si>
  <si>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</si>
  <si>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</si>
  <si>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</si>
  <si>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</si>
  <si>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</si>
  <si>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</si>
  <si>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</si>
  <si>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</si>
  <si>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</si>
  <si>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</si>
  <si>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</si>
  <si>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</si>
  <si>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</si>
  <si>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</si>
  <si>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</si>
  <si>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</si>
  <si>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</si>
  <si>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</si>
  <si>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</si>
  <si>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</si>
  <si>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</si>
  <si>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</si>
  <si>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</si>
  <si>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</si>
  <si>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</si>
  <si>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</si>
  <si>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</si>
  <si>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</si>
  <si>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</si>
  <si>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</si>
  <si>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</si>
  <si>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</si>
  <si>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</si>
  <si>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</si>
  <si>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</si>
  <si>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</si>
  <si>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</si>
  <si>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</si>
  <si>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</si>
  <si>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</si>
  <si>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</si>
  <si>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</si>
  <si>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</si>
  <si>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</si>
  <si>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</si>
  <si>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</si>
  <si>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</si>
  <si>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</si>
  <si>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</si>
  <si>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</si>
  <si>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</si>
  <si>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</si>
  <si>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</si>
  <si>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</si>
  <si>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</si>
  <si>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</si>
  <si>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</si>
  <si>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</si>
  <si>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</si>
  <si>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</si>
  <si>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</si>
  <si>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</si>
  <si>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</si>
  <si>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</si>
  <si>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</si>
  <si>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</si>
  <si>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</si>
  <si>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</si>
  <si>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</si>
  <si>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</si>
  <si>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</si>
  <si>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</si>
  <si>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</si>
  <si>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</si>
  <si>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</si>
  <si>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</si>
  <si>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</si>
  <si>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</si>
  <si>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</si>
  <si>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</si>
  <si>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</si>
  <si>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</si>
  <si>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</si>
  <si>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</si>
  <si>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</si>
  <si>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</si>
  <si>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</si>
  <si>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</si>
  <si>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</si>
  <si>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</si>
  <si>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</si>
  <si>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</si>
  <si>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</si>
  <si>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</si>
  <si>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</si>
  <si>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</si>
  <si>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</si>
  <si>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</si>
  <si>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</si>
  <si>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</si>
  <si>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</si>
  <si>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</si>
  <si>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</si>
  <si>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</si>
  <si>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</si>
  <si>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</si>
  <si>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</si>
  <si>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</si>
  <si>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</si>
  <si>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</si>
  <si>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</si>
  <si>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</si>
  <si>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</si>
  <si>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</si>
  <si>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</si>
  <si>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</si>
  <si>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</si>
  <si>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</si>
  <si>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</si>
  <si>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</si>
  <si>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</si>
  <si>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</si>
  <si>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</si>
  <si>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</si>
  <si>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</si>
  <si>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</si>
  <si>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</si>
  <si>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</si>
  <si>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</si>
  <si>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</si>
  <si>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</si>
  <si>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</si>
  <si>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</si>
  <si>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</si>
  <si>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</si>
  <si>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</si>
  <si>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</si>
  <si>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</si>
  <si>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</si>
  <si>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</si>
  <si>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</si>
  <si>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</si>
  <si>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</si>
  <si>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</si>
  <si>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</si>
  <si>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</si>
  <si>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</si>
  <si>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</si>
  <si>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</si>
  <si>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</si>
  <si>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</si>
  <si>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</si>
  <si>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</si>
  <si>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</si>
  <si>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</si>
  <si>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</si>
  <si>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</si>
  <si>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</si>
  <si>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</si>
  <si>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</si>
  <si>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</si>
  <si>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</si>
  <si>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</si>
  <si>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</si>
  <si>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</si>
  <si>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</si>
  <si>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</si>
  <si>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</si>
  <si>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</si>
  <si>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</si>
  <si>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</si>
  <si>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</si>
  <si>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</si>
  <si>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</si>
  <si>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</si>
  <si>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</si>
  <si>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</si>
  <si>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</si>
  <si>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</si>
  <si>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</si>
  <si>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</si>
  <si>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</si>
  <si>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</si>
  <si>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</si>
  <si>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</si>
  <si>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</si>
  <si>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</si>
  <si>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</si>
  <si>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</si>
  <si>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</si>
  <si>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</si>
  <si>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</si>
  <si>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</si>
  <si>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</si>
  <si>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</si>
  <si>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</si>
  <si>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</si>
  <si>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</si>
  <si>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</si>
  <si>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</si>
  <si>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</si>
  <si>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</si>
  <si>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</si>
  <si>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</si>
  <si>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</si>
  <si>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</si>
  <si>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</si>
  <si>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</si>
  <si>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</si>
  <si>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</si>
  <si>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</si>
  <si>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</si>
  <si>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</si>
  <si>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</si>
  <si>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</si>
  <si>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</si>
  <si>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</si>
  <si>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</si>
  <si>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</si>
  <si>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</si>
  <si>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</si>
  <si>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</si>
  <si>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</si>
  <si>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</si>
  <si>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</si>
  <si>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</si>
  <si>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</si>
  <si>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</si>
  <si>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</si>
  <si>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</si>
  <si>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</si>
  <si>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</si>
  <si>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</si>
  <si>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</si>
  <si>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</si>
  <si>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</si>
  <si>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</si>
  <si>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</si>
  <si>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</si>
  <si>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</si>
  <si>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</si>
  <si>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</si>
  <si>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</si>
  <si>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</si>
  <si>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</si>
  <si>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</si>
  <si>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</si>
  <si>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</si>
  <si>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</si>
  <si>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</si>
  <si>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</si>
  <si>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</si>
  <si>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</si>
  <si>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</si>
  <si>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</si>
  <si>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</si>
  <si>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</si>
  <si>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</si>
  <si>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</si>
  <si>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</si>
  <si>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</si>
  <si>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</si>
  <si>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</si>
  <si>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</si>
  <si>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</si>
  <si>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</si>
  <si>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</si>
  <si>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</si>
  <si>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</si>
  <si>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</si>
  <si>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</si>
  <si>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</si>
  <si>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</si>
  <si>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</si>
  <si>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</si>
  <si>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</si>
  <si>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</si>
  <si>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</si>
  <si>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</si>
  <si>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</si>
  <si>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</si>
  <si>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</si>
  <si>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</si>
  <si>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</si>
  <si>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</si>
  <si>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</si>
  <si>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</si>
  <si>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</si>
  <si>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</si>
  <si>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</si>
  <si>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</si>
  <si>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</si>
  <si>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</si>
  <si>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</si>
  <si>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</si>
  <si>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</si>
  <si>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</si>
  <si>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</si>
  <si>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</si>
  <si>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</si>
  <si>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</si>
  <si>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</si>
  <si>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</si>
  <si>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</si>
  <si>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</si>
  <si>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</si>
  <si>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</si>
  <si>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</si>
  <si>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</si>
  <si>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</si>
  <si>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</si>
  <si>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</si>
  <si>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</si>
  <si>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</si>
  <si>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</si>
  <si>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</si>
  <si>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</si>
  <si>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</si>
  <si>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</si>
  <si>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</si>
  <si>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</si>
  <si>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</si>
  <si>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</si>
  <si>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</si>
  <si>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</si>
  <si>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</si>
  <si>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</si>
  <si>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</si>
  <si>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</si>
  <si>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</si>
  <si>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</si>
  <si>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</si>
  <si>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</si>
  <si>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</si>
  <si>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</si>
  <si>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</si>
  <si>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</si>
  <si>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</si>
  <si>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</si>
  <si>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</si>
  <si>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</si>
  <si>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</si>
  <si>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</si>
  <si>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</si>
  <si>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</si>
  <si>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</si>
  <si>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</si>
  <si>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</si>
  <si>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</si>
  <si>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</si>
  <si>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</si>
  <si>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</si>
  <si>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</si>
  <si>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</si>
  <si>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</si>
  <si>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</si>
  <si>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</si>
  <si>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</si>
  <si>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</si>
  <si>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</si>
  <si>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</si>
  <si>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</si>
  <si>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</si>
  <si>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</si>
  <si>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</si>
  <si>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</si>
  <si>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</si>
  <si>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</si>
  <si>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</si>
  <si>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</si>
  <si>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</si>
  <si>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</si>
  <si>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</si>
  <si>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</si>
  <si>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</si>
  <si>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</si>
  <si>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</si>
  <si>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</si>
  <si>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</si>
  <si>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</si>
  <si>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</si>
  <si>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</si>
  <si>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</si>
  <si>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</si>
  <si>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</si>
  <si>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</si>
  <si>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</si>
  <si>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</si>
  <si>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</si>
  <si>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</si>
  <si>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</si>
  <si>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</si>
  <si>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</si>
  <si>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</si>
  <si>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</si>
  <si>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</si>
  <si>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</si>
  <si>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</si>
  <si>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</si>
  <si>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</si>
  <si>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</si>
  <si>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</si>
  <si>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</si>
  <si>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</si>
  <si>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</si>
  <si>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</si>
  <si>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</si>
  <si>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</si>
  <si>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</si>
  <si>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</si>
  <si>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</si>
  <si>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</si>
  <si>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</si>
  <si>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</si>
  <si>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</si>
  <si>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</si>
  <si>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</si>
  <si>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</si>
  <si>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</si>
  <si>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</si>
  <si>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</si>
  <si>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</si>
  <si>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</si>
  <si>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</si>
  <si>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</si>
  <si>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</si>
  <si>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</si>
  <si>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</si>
  <si>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</si>
  <si>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</si>
  <si>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</si>
  <si>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</si>
  <si>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</si>
  <si>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</si>
  <si>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</si>
  <si>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</si>
  <si>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</si>
  <si>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</si>
  <si>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</si>
  <si>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</si>
  <si>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</si>
  <si>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</si>
  <si>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</si>
  <si>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</si>
  <si>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</si>
  <si>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</si>
  <si>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</si>
  <si>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</si>
  <si>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</si>
  <si>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</si>
  <si>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</si>
  <si>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</si>
  <si>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</si>
  <si>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</si>
  <si>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</si>
  <si>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</si>
  <si>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</si>
  <si>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</si>
  <si>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</si>
  <si>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</si>
  <si>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</si>
  <si>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</si>
  <si>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</si>
  <si>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</si>
  <si>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</si>
  <si>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</si>
  <si>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</si>
  <si>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</si>
  <si>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</si>
  <si>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</si>
  <si>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</si>
  <si>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</si>
  <si>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</si>
  <si>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</si>
  <si>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</si>
  <si>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</si>
  <si>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</si>
  <si>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</si>
  <si>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</si>
  <si>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</si>
  <si>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</si>
  <si>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</si>
  <si>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</si>
  <si>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</si>
  <si>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</si>
  <si>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</si>
  <si>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</si>
  <si>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</si>
  <si>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</si>
  <si>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</si>
  <si>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</si>
  <si>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</si>
  <si>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</si>
  <si>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</si>
  <si>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</si>
  <si>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</si>
  <si>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</si>
  <si>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</si>
  <si>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</si>
  <si>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</si>
  <si>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</si>
  <si>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</si>
  <si>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</si>
  <si>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</si>
  <si>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</si>
  <si>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</si>
  <si>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</si>
  <si>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</si>
  <si>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</si>
  <si>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</si>
  <si>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</si>
  <si>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</si>
  <si>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</si>
  <si>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</si>
  <si>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</si>
  <si>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</si>
  <si>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</si>
  <si>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</si>
  <si>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</si>
  <si>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</si>
  <si>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</si>
  <si>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</si>
  <si>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</si>
  <si>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</si>
  <si>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</si>
  <si>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</si>
  <si>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</si>
  <si>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</si>
  <si>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</si>
  <si>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</si>
  <si>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</si>
  <si>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</si>
  <si>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</si>
  <si>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</si>
  <si>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</si>
  <si>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</si>
  <si>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</si>
  <si>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</si>
  <si>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</si>
  <si>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</si>
  <si>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</si>
  <si>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</si>
  <si>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</si>
  <si>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</si>
  <si>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</si>
  <si>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</si>
  <si>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</si>
  <si>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</si>
  <si>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</si>
  <si>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</si>
  <si>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</si>
  <si>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</si>
  <si>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</si>
  <si>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</si>
  <si>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</si>
  <si>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</si>
  <si>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</si>
  <si>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</si>
  <si>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</si>
  <si>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</si>
  <si>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</si>
  <si>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</si>
  <si>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</si>
  <si>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</si>
  <si>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</si>
  <si>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</si>
  <si>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</si>
  <si>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</si>
  <si>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</si>
  <si>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</si>
  <si>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</si>
  <si>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</si>
  <si>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</si>
  <si>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</si>
  <si>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</si>
  <si>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</si>
  <si>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</si>
  <si>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</si>
  <si>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</si>
  <si>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</si>
  <si>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</si>
  <si>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</si>
  <si>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</si>
  <si>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</si>
  <si>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</si>
  <si>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</si>
  <si>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</si>
  <si>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</si>
  <si>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</si>
  <si>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</si>
  <si>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</si>
  <si>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</si>
  <si>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</si>
  <si>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</si>
  <si>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</si>
  <si>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</si>
  <si>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</si>
  <si>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</si>
  <si>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</si>
  <si>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</si>
  <si>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</si>
  <si>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</si>
  <si>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</si>
  <si>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</si>
  <si>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</si>
  <si>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</si>
  <si>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</si>
  <si>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</si>
  <si>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</si>
  <si>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</si>
  <si>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</si>
  <si>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</si>
  <si>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</si>
  <si>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</si>
  <si>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</si>
  <si>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</si>
  <si>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</si>
  <si>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</si>
  <si>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</si>
  <si>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</si>
  <si>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</si>
  <si>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</si>
  <si>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</si>
  <si>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</si>
  <si>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</si>
  <si>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</si>
  <si>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</si>
  <si>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</si>
  <si>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</si>
  <si>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</si>
  <si>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</si>
  <si>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</si>
  <si>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</si>
  <si>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</si>
  <si>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</si>
  <si>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</si>
  <si>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</si>
  <si>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</si>
  <si>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</si>
  <si>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</si>
  <si>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</si>
  <si>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</si>
  <si>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</si>
  <si>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</si>
  <si>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</si>
  <si>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</si>
  <si>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</si>
  <si>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</si>
  <si>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</si>
  <si>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</si>
  <si>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</si>
  <si>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</si>
  <si>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</si>
  <si>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</si>
  <si>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</si>
  <si>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</si>
  <si>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</si>
  <si>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</si>
  <si>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</si>
  <si>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</si>
  <si>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</si>
  <si>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</si>
  <si>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</si>
  <si>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</si>
  <si>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</si>
  <si>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</si>
  <si>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</si>
  <si>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</si>
  <si>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</si>
  <si>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</si>
  <si>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</si>
  <si>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</si>
  <si>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</si>
  <si>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</si>
  <si>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</si>
  <si>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</si>
  <si>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</si>
  <si>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</si>
  <si>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</si>
  <si>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</si>
  <si>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</si>
  <si>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</si>
  <si>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</si>
  <si>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</si>
  <si>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</si>
  <si>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</si>
  <si>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</si>
  <si>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</si>
  <si>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</si>
  <si>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</si>
  <si>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</si>
  <si>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</si>
  <si>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</si>
  <si>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</si>
  <si>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</si>
  <si>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</si>
  <si>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</si>
  <si>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</si>
  <si>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</si>
  <si>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</si>
  <si>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</si>
  <si>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</si>
  <si>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</si>
  <si>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</si>
  <si>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</si>
  <si>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</si>
  <si>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</si>
  <si>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</si>
  <si>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</si>
  <si>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</si>
  <si>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</si>
  <si>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</si>
  <si>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</si>
  <si>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</si>
  <si>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</si>
  <si>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</si>
  <si>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</si>
  <si>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</si>
  <si>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</si>
  <si>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</si>
  <si>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</si>
  <si>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</si>
  <si>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</si>
  <si>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</si>
  <si>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</si>
  <si>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</si>
  <si>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</si>
  <si>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</si>
  <si>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</si>
  <si>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</si>
  <si>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</si>
  <si>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</si>
  <si>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</si>
  <si>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</si>
  <si>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</si>
  <si>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</si>
  <si>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</si>
  <si>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</si>
  <si>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</si>
  <si>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</si>
  <si>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</si>
  <si>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</si>
  <si>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</si>
  <si>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</si>
  <si>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</si>
  <si>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</si>
  <si>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</si>
  <si>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</si>
  <si>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</si>
  <si>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</si>
  <si>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</si>
  <si>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</si>
  <si>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</si>
  <si>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</si>
  <si>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</si>
  <si>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</si>
  <si>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</si>
  <si>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</si>
  <si>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</si>
  <si>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</si>
  <si>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</si>
  <si>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</si>
  <si>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</si>
  <si>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</si>
  <si>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</si>
  <si>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</si>
  <si>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</si>
  <si>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</si>
  <si>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</si>
  <si>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</si>
  <si>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</si>
  <si>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</si>
  <si>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</si>
  <si>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</si>
  <si>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</si>
  <si>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</si>
  <si>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</si>
  <si>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</si>
  <si>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</si>
  <si>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</si>
  <si>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</si>
  <si>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</si>
  <si>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</si>
  <si>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</si>
  <si>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</si>
  <si>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</si>
  <si>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</si>
  <si>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</si>
  <si>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</si>
  <si>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</si>
  <si>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</si>
  <si>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</si>
  <si>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</si>
  <si>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</si>
  <si>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</si>
  <si>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</si>
  <si>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</si>
  <si>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</si>
  <si>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</si>
  <si>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</si>
  <si>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</si>
  <si>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</si>
  <si>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</si>
  <si>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</si>
  <si>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</si>
  <si>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</si>
  <si>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</si>
  <si>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</si>
  <si>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</si>
  <si>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</si>
  <si>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</si>
  <si>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</si>
  <si>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</si>
  <si>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</si>
  <si>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</si>
  <si>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</si>
  <si>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</si>
  <si>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</si>
  <si>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</si>
  <si>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</si>
  <si>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</si>
  <si>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</si>
  <si>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</si>
  <si>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</si>
  <si>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</si>
  <si>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</si>
  <si>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</si>
  <si>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</si>
  <si>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</si>
  <si>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</si>
  <si>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</si>
  <si>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</si>
  <si>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</si>
  <si>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</si>
  <si>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</si>
  <si>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</si>
  <si>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</si>
  <si>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</si>
  <si>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</si>
  <si>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</si>
  <si>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</si>
  <si>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</si>
  <si>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</si>
  <si>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</si>
  <si>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</si>
  <si>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</si>
  <si>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</si>
  <si>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</si>
  <si>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</si>
  <si>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</si>
  <si>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</si>
  <si>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</si>
  <si>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</si>
  <si>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</si>
  <si>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</si>
  <si>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</si>
  <si>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</si>
  <si>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</si>
  <si>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</si>
  <si>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</si>
  <si>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</si>
  <si>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</si>
  <si>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</si>
  <si>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</si>
  <si>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</si>
  <si>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</si>
  <si>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</si>
  <si>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</si>
  <si>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</si>
  <si>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</si>
  <si>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</si>
  <si>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</si>
  <si>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</si>
  <si>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</si>
  <si>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</si>
  <si>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</si>
  <si>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</si>
  <si>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</si>
  <si>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</si>
  <si>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</si>
  <si>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</si>
  <si>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</si>
  <si>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</si>
  <si>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</si>
  <si>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</si>
  <si>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</si>
  <si>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</si>
  <si>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</si>
  <si>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</si>
  <si>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</si>
  <si>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</si>
  <si>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</si>
  <si>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</si>
  <si>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</si>
  <si>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</si>
  <si>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</si>
  <si>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</si>
  <si>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</si>
  <si>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</si>
  <si>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</si>
  <si>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</si>
  <si>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</si>
  <si>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</si>
  <si>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</si>
  <si>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</si>
  <si>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</si>
  <si>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</si>
  <si>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</si>
  <si>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</si>
  <si>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</si>
  <si>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</si>
  <si>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</si>
  <si>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</si>
  <si>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</si>
  <si>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</si>
  <si>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</si>
  <si>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</si>
  <si>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</si>
  <si>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</si>
  <si>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</si>
  <si>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</si>
  <si>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</si>
  <si>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</si>
  <si>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</si>
  <si>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</si>
  <si>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</si>
  <si>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</si>
  <si>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</si>
  <si>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</si>
  <si>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</si>
  <si>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</si>
  <si>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</si>
  <si>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</si>
  <si>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</si>
  <si>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</si>
  <si>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</si>
  <si>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</si>
  <si>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</si>
  <si>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</si>
  <si>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</si>
  <si>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</si>
  <si>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</si>
  <si>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</si>
  <si>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</si>
  <si>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</si>
  <si>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</si>
  <si>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</si>
  <si>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</si>
  <si>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</si>
  <si>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</si>
  <si>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</si>
  <si>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</si>
  <si>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</si>
  <si>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</si>
  <si>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</si>
  <si>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</si>
  <si>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</si>
  <si>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</si>
  <si>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</si>
  <si>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</si>
  <si>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</si>
  <si>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</si>
  <si>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</si>
  <si>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</si>
  <si>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</si>
  <si>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</si>
  <si>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</si>
  <si>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</si>
  <si>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</si>
  <si>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</si>
  <si>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</si>
  <si>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</si>
  <si>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</si>
  <si>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</si>
  <si>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</si>
  <si>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</si>
  <si>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</si>
  <si>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</si>
  <si>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</si>
  <si>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</si>
  <si>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</si>
  <si>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</si>
  <si>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</si>
  <si>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</si>
  <si>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</si>
  <si>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</si>
  <si>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</si>
  <si>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</si>
  <si>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</si>
  <si>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</si>
  <si>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</si>
  <si>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</si>
  <si>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</si>
  <si>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</si>
  <si>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</si>
  <si>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</si>
  <si>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</si>
  <si>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</si>
  <si>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</si>
  <si>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</si>
  <si>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</si>
  <si>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</si>
  <si>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</si>
  <si>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</si>
  <si>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</si>
  <si>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</si>
  <si>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</si>
  <si>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</si>
  <si>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</si>
  <si>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</si>
  <si>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</si>
  <si>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</si>
  <si>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</si>
  <si>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</si>
  <si>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</si>
  <si>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</si>
  <si>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</si>
  <si>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</si>
  <si>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</si>
  <si>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</si>
  <si>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</si>
  <si>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</si>
  <si>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</si>
  <si>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</si>
  <si>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</si>
  <si>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</si>
  <si>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</si>
  <si>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</si>
  <si>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</si>
  <si>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</si>
  <si>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</si>
  <si>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</si>
  <si>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</si>
  <si>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</si>
  <si>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</si>
  <si>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</si>
  <si>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</si>
  <si>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</si>
  <si>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</si>
  <si>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</si>
  <si>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</si>
  <si>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</si>
  <si>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</si>
  <si>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</si>
  <si>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</si>
  <si>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</si>
  <si>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</si>
  <si>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</si>
  <si>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</si>
  <si>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</si>
  <si>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</si>
  <si>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</si>
  <si>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</si>
  <si>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</si>
  <si>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</si>
  <si>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</si>
  <si>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</si>
  <si>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</si>
  <si>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</si>
  <si>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</si>
  <si>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</si>
  <si>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</si>
  <si>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</si>
  <si>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</si>
  <si>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</si>
  <si>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</si>
  <si>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</si>
  <si>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</si>
  <si>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</si>
  <si>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</si>
  <si>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</si>
  <si>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</si>
  <si>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</si>
  <si>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</si>
  <si>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</si>
  <si>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</si>
  <si>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</si>
  <si>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</si>
  <si>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</si>
  <si>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</si>
  <si>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</si>
  <si>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</si>
  <si>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</si>
  <si>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</si>
  <si>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</si>
  <si>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</si>
  <si>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</si>
  <si>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</si>
  <si>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</si>
  <si>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</si>
  <si>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</si>
  <si>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</si>
  <si>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</si>
  <si>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</si>
  <si>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</si>
  <si>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</si>
  <si>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</si>
  <si>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</si>
  <si>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</si>
  <si>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</si>
  <si>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</si>
  <si>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</si>
  <si>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</si>
  <si>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</si>
  <si>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</si>
  <si>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</si>
  <si>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</si>
  <si>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</si>
  <si>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</si>
  <si>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</si>
  <si>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</si>
  <si>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</si>
  <si>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</si>
  <si>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</si>
  <si>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</si>
  <si>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</si>
  <si>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</si>
  <si>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</si>
  <si>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</si>
  <si>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</si>
  <si>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</si>
  <si>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</si>
  <si>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</si>
  <si>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</si>
  <si>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</si>
  <si>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</si>
  <si>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</si>
  <si>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</si>
  <si>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</si>
  <si>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</si>
  <si>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</si>
  <si>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</si>
  <si>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</si>
  <si>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</si>
  <si>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</si>
  <si>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</si>
  <si>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</si>
  <si>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</si>
  <si>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</si>
  <si>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</si>
  <si>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</si>
  <si>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</si>
  <si>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</si>
  <si>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</si>
  <si>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</si>
  <si>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</si>
  <si>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</si>
  <si>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</si>
  <si>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</si>
  <si>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</si>
  <si>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</si>
  <si>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</si>
  <si>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</si>
  <si>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</si>
  <si>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</si>
  <si>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</si>
  <si>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</si>
  <si>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</si>
  <si>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</si>
  <si>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</si>
  <si>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</si>
  <si>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</si>
  <si>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</si>
  <si>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</si>
  <si>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</si>
  <si>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</si>
  <si>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</si>
  <si>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</si>
  <si>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</si>
  <si>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</si>
  <si>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</si>
  <si>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</si>
  <si>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</si>
  <si>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</si>
  <si>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</si>
  <si>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</si>
  <si>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</si>
  <si>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</si>
  <si>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</si>
  <si>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</si>
  <si>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</si>
  <si>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</si>
  <si>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</si>
  <si>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</si>
  <si>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</si>
  <si>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</si>
  <si>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</si>
  <si>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</si>
  <si>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</si>
  <si>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</si>
  <si>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</si>
  <si>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</si>
  <si>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</si>
  <si>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</si>
  <si>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</si>
  <si>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</si>
  <si>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</si>
  <si>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</si>
  <si>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</si>
  <si>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</si>
  <si>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</si>
  <si>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</si>
  <si>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</si>
  <si>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</si>
  <si>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</si>
  <si>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</si>
  <si>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</si>
  <si>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</si>
  <si>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</si>
  <si>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</si>
  <si>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</si>
  <si>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</si>
  <si>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</si>
  <si>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</si>
  <si>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</si>
  <si>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</si>
  <si>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</si>
  <si>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</si>
  <si>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</si>
  <si>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</si>
  <si>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</si>
  <si>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</si>
  <si>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</si>
  <si>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</si>
  <si>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</si>
  <si>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</si>
  <si>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</si>
  <si>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</si>
  <si>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</si>
  <si>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</si>
  <si>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</si>
  <si>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</si>
  <si>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</si>
  <si>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</si>
  <si>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</si>
  <si>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</si>
  <si>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</si>
  <si>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</si>
  <si>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</si>
  <si>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</si>
  <si>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</si>
  <si>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</si>
  <si>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</si>
  <si>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</si>
  <si>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</si>
  <si>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</si>
  <si>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</si>
  <si>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</si>
  <si>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</si>
  <si>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</si>
  <si>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</si>
  <si>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</si>
  <si>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</si>
  <si>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</si>
  <si>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</si>
  <si>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</si>
  <si>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</si>
  <si>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</si>
  <si>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</si>
  <si>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</si>
  <si>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</si>
  <si>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</si>
  <si>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</si>
  <si>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</si>
  <si>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</si>
  <si>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</si>
  <si>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</si>
  <si>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</si>
  <si>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</si>
  <si>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</si>
  <si>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</si>
  <si>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</si>
  <si>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</si>
  <si>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</si>
  <si>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</si>
  <si>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</si>
  <si>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</si>
  <si>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</si>
  <si>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</si>
  <si>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</si>
  <si>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</si>
  <si>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</si>
  <si>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</si>
  <si>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</si>
  <si>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</si>
  <si>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</si>
  <si>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</si>
  <si>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</si>
  <si>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</si>
  <si>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</si>
  <si>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</si>
  <si>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</si>
  <si>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</si>
  <si>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</si>
  <si>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</si>
  <si>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</si>
  <si>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</si>
  <si>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</si>
  <si>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</si>
  <si>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</si>
  <si>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</si>
  <si>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</si>
  <si>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</si>
  <si>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</si>
  <si>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</si>
  <si>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</si>
  <si>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</si>
  <si>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</si>
  <si>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</si>
  <si>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</si>
  <si>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</si>
  <si>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</si>
  <si>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</si>
  <si>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</si>
  <si>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</si>
  <si>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</si>
  <si>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</si>
  <si>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</si>
  <si>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</si>
  <si>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</si>
  <si>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</si>
  <si>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</si>
  <si>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</si>
  <si>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</si>
  <si>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</si>
  <si>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</si>
  <si>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</si>
  <si>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</si>
  <si>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</si>
  <si>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</si>
  <si>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</si>
  <si>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</si>
  <si>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</si>
  <si>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</si>
  <si>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</si>
  <si>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</si>
  <si>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</si>
  <si>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</si>
  <si>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</si>
  <si>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</si>
  <si>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</si>
  <si>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</si>
  <si>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</si>
  <si>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</si>
  <si>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</si>
  <si>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</si>
  <si>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</si>
  <si>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</si>
  <si>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</si>
  <si>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</si>
  <si>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</si>
  <si>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</si>
  <si>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</si>
  <si>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</si>
  <si>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</si>
  <si>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</si>
  <si>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</si>
  <si>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</si>
  <si>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</si>
  <si>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</si>
  <si>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</si>
  <si>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</si>
  <si>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</si>
  <si>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</si>
  <si>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</si>
  <si>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</si>
  <si>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</si>
  <si>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</si>
  <si>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</si>
  <si>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</si>
  <si>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</si>
  <si>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</si>
  <si>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</si>
  <si>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</si>
  <si>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</si>
  <si>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</si>
  <si>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</si>
  <si>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</si>
  <si>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</si>
  <si>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</si>
  <si>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</si>
  <si>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</si>
  <si>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</si>
  <si>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</si>
  <si>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</si>
  <si>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</si>
  <si>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</si>
  <si>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</si>
  <si>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</si>
  <si>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</si>
  <si>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</si>
  <si>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</si>
  <si>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</si>
  <si>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</si>
  <si>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</si>
  <si>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</si>
  <si>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</si>
  <si>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</si>
  <si>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</si>
  <si>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</si>
  <si>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</si>
  <si>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</si>
  <si>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</si>
  <si>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</si>
  <si>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</si>
  <si>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</si>
  <si>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</si>
  <si>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</si>
  <si>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</si>
  <si>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</si>
  <si>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</si>
  <si>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</si>
  <si>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</si>
  <si>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</si>
  <si>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</si>
  <si>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</si>
  <si>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</si>
  <si>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</si>
  <si>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</si>
  <si>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</si>
  <si>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</si>
  <si>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</si>
  <si>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</si>
  <si>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</si>
  <si>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</si>
  <si>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</si>
  <si>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</si>
  <si>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</si>
  <si>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</si>
  <si>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</si>
  <si>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</si>
  <si>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</si>
  <si>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</si>
  <si>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</si>
  <si>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</si>
  <si>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</si>
  <si>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</si>
  <si>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</si>
  <si>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</si>
  <si>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</si>
  <si>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</si>
  <si>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</si>
  <si>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</si>
  <si>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</si>
  <si>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</si>
  <si>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</si>
  <si>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</si>
  <si>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</si>
  <si>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</si>
  <si>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</si>
  <si>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</si>
  <si>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</si>
  <si>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</si>
  <si>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</si>
  <si>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</si>
  <si>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</si>
  <si>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</si>
  <si>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</si>
  <si>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</si>
  <si>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</si>
  <si>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</si>
  <si>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</si>
  <si>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</si>
  <si>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</si>
  <si>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</si>
  <si>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</si>
  <si>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</si>
  <si>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</si>
  <si>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</si>
  <si>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</si>
  <si>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</si>
  <si>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</si>
  <si>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</si>
  <si>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</si>
  <si>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</si>
  <si>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</si>
  <si>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</si>
  <si>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</si>
  <si>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</si>
  <si>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</si>
  <si>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</si>
  <si>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</si>
  <si>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</si>
  <si>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</si>
  <si>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</si>
  <si>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</si>
  <si>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</si>
  <si>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</si>
  <si>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</si>
  <si>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</si>
  <si>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</si>
  <si>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</si>
  <si>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</si>
  <si>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</si>
  <si>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</si>
  <si>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</si>
  <si>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</si>
  <si>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</si>
  <si>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</si>
  <si>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</si>
  <si>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</si>
  <si>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</si>
  <si>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</si>
  <si>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</si>
  <si>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</si>
  <si>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</si>
  <si>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</si>
  <si>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</si>
  <si>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</si>
  <si>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</si>
  <si>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</si>
  <si>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</si>
  <si>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</si>
  <si>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</si>
  <si>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</si>
  <si>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</si>
  <si>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</si>
  <si>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</si>
  <si>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</si>
  <si>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</si>
  <si>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</si>
  <si>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</si>
  <si>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</si>
  <si>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</si>
  <si>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</si>
  <si>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</si>
  <si>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</si>
  <si>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</si>
  <si>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</si>
  <si>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</si>
  <si>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</si>
  <si>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</si>
  <si>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</si>
  <si>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</si>
  <si>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</si>
  <si>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</si>
  <si>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</si>
  <si>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</si>
  <si>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</si>
  <si>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</si>
  <si>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</si>
  <si>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</si>
  <si>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</si>
  <si>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</si>
  <si>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</si>
  <si>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</si>
  <si>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</si>
  <si>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</si>
  <si>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</si>
  <si>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</si>
  <si>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</si>
  <si>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</si>
  <si>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</si>
  <si>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</si>
  <si>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</si>
  <si>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</si>
  <si>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</si>
  <si>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</si>
  <si>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</si>
  <si>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</si>
  <si>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</si>
  <si>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</si>
  <si>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</si>
  <si>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</si>
  <si>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</si>
  <si>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</si>
  <si>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</si>
  <si>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</si>
  <si>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</si>
  <si>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</si>
  <si>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</si>
  <si>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</si>
  <si>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</si>
  <si>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</si>
  <si>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</si>
  <si>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</si>
  <si>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</si>
  <si>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</si>
  <si>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</si>
  <si>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</si>
  <si>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</si>
  <si>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</si>
  <si>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</si>
  <si>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</si>
  <si>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</si>
  <si>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</si>
  <si>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</si>
  <si>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</si>
  <si>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</si>
  <si>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</si>
  <si>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</si>
  <si>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</si>
  <si>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</si>
  <si>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</si>
  <si>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</si>
  <si>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</si>
  <si>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</si>
  <si>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</si>
  <si>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</si>
  <si>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</si>
  <si>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</si>
  <si>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</si>
  <si>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</si>
  <si>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</si>
  <si>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</si>
  <si>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</si>
  <si>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</si>
  <si>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</si>
  <si>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</si>
  <si>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</si>
  <si>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</si>
  <si>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</si>
  <si>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</si>
  <si>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</si>
  <si>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</si>
  <si>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</si>
  <si>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</si>
  <si>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</si>
  <si>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</si>
  <si>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</si>
  <si>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</si>
  <si>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</si>
  <si>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</si>
  <si>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</si>
  <si>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</si>
  <si>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</si>
  <si>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</si>
  <si>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</si>
  <si>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</si>
  <si>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</si>
  <si>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</si>
  <si>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</si>
  <si>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</si>
  <si>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</si>
  <si>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</si>
  <si>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</si>
  <si>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</si>
  <si>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</si>
  <si>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</si>
  <si>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</si>
  <si>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</si>
  <si>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</si>
  <si>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</si>
  <si>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</si>
  <si>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</si>
  <si>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</si>
  <si>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</si>
  <si>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</si>
  <si>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</si>
  <si>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</si>
  <si>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</si>
  <si>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</si>
  <si>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</si>
  <si>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</si>
  <si>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</si>
  <si>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</si>
  <si>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</si>
  <si>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</si>
  <si>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</si>
  <si>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</si>
  <si>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</si>
  <si>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</si>
  <si>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</si>
  <si>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</si>
  <si>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</si>
  <si>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</si>
  <si>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</si>
  <si>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</si>
  <si>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</si>
  <si>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</si>
  <si>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</si>
  <si>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</si>
  <si>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</si>
  <si>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</si>
  <si>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</si>
  <si>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</si>
  <si>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</si>
  <si>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</si>
  <si>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</si>
  <si>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</si>
  <si>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</si>
  <si>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</si>
  <si>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</si>
  <si>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</si>
  <si>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</si>
  <si>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</si>
  <si>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</si>
  <si>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</si>
  <si>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</si>
  <si>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</si>
  <si>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</si>
  <si>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</si>
  <si>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</si>
  <si>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</si>
  <si>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</si>
  <si>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</si>
  <si>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</si>
  <si>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</si>
  <si>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</si>
  <si>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</si>
  <si>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</si>
  <si>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</si>
  <si>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</si>
  <si>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</si>
  <si>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</si>
  <si>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</si>
  <si>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</si>
  <si>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</si>
  <si>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</si>
  <si>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</si>
  <si>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</si>
  <si>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</si>
  <si>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</si>
  <si>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</si>
  <si>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</si>
  <si>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</si>
  <si>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</si>
  <si>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</si>
  <si>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</si>
  <si>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</si>
  <si>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</si>
  <si>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</si>
  <si>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</si>
  <si>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</si>
  <si>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</si>
  <si>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</si>
  <si>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</si>
  <si>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</si>
  <si>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</si>
  <si>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</si>
  <si>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</si>
  <si>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</si>
  <si>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</si>
  <si>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</si>
  <si>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</si>
  <si>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</si>
  <si>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</si>
  <si>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</si>
  <si>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</si>
  <si>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</si>
  <si>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</si>
  <si>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</si>
  <si>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</si>
  <si>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</si>
  <si>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</si>
  <si>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</si>
  <si>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</si>
  <si>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</si>
  <si>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</si>
  <si>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</si>
  <si>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</si>
  <si>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</si>
  <si>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</si>
  <si>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</si>
  <si>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</si>
  <si>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</si>
  <si>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</si>
  <si>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</si>
  <si>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</si>
  <si>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</si>
  <si>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</si>
  <si>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</si>
  <si>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</si>
  <si>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</si>
  <si>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</si>
  <si>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</si>
  <si>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</si>
  <si>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</si>
  <si>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</si>
  <si>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</si>
  <si>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</si>
  <si>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</si>
  <si>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</si>
  <si>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</si>
  <si>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</si>
  <si>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</si>
  <si>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</si>
  <si>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</si>
  <si>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</si>
  <si>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</si>
  <si>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</si>
  <si>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</si>
  <si>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</si>
  <si>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</si>
  <si>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</si>
  <si>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</si>
  <si>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</si>
  <si>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</si>
  <si>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</si>
  <si>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</si>
  <si>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</si>
  <si>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</si>
  <si>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</si>
  <si>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</si>
  <si>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</si>
  <si>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</si>
  <si>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</si>
  <si>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</si>
  <si>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</si>
  <si>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</si>
  <si>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</si>
  <si>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</si>
  <si>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</si>
  <si>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</si>
  <si>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</si>
  <si>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</si>
  <si>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</si>
  <si>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</si>
  <si>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</si>
  <si>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</si>
  <si>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</si>
  <si>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</si>
  <si>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</si>
  <si>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</si>
  <si>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</si>
  <si>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</si>
  <si>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</si>
  <si>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</si>
  <si>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</si>
  <si>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</si>
  <si>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</si>
  <si>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</si>
  <si>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</si>
  <si>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</si>
  <si>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</si>
  <si>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</si>
  <si>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</si>
  <si>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</si>
  <si>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</si>
  <si>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</si>
  <si>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</si>
  <si>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</si>
  <si>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</si>
  <si>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</si>
  <si>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</si>
  <si>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</si>
  <si>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</si>
  <si>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</si>
  <si>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</si>
  <si>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</si>
  <si>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</si>
  <si>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</si>
  <si>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</si>
  <si>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</si>
  <si>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</si>
  <si>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</si>
  <si>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</si>
  <si>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</si>
  <si>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</si>
  <si>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</si>
  <si>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</si>
  <si>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</si>
  <si>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</si>
  <si>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</si>
  <si>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</si>
  <si>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</si>
  <si>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</si>
  <si>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</si>
  <si>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</si>
  <si>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</si>
  <si>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</si>
  <si>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</si>
  <si>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</si>
  <si>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</si>
  <si>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</si>
  <si>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</si>
  <si>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</si>
  <si>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</si>
  <si>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</si>
  <si>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</si>
  <si>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</si>
  <si>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</si>
  <si>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</si>
  <si>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</si>
  <si>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</si>
  <si>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</si>
  <si>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</si>
  <si>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</si>
  <si>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</si>
  <si>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</si>
  <si>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</si>
  <si>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</si>
  <si>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</si>
  <si>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</si>
  <si>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</si>
  <si>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</si>
  <si>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</si>
  <si>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</si>
  <si>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</si>
  <si>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</si>
  <si>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</si>
  <si>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</si>
  <si>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</si>
  <si>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</si>
  <si>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</si>
  <si>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</si>
  <si>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</si>
  <si>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</si>
  <si>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</si>
  <si>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</si>
  <si>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</si>
  <si>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</si>
  <si>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</si>
  <si>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</si>
  <si>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</si>
  <si>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</si>
  <si>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</si>
  <si>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</si>
  <si>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</si>
  <si>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</si>
  <si>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</si>
  <si>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</si>
  <si>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</si>
  <si>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</si>
  <si>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</si>
  <si>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</si>
  <si>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</si>
  <si>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</si>
  <si>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</si>
  <si>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</si>
  <si>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</si>
  <si>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</si>
  <si>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</si>
  <si>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</si>
  <si>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</si>
  <si>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</si>
  <si>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</si>
  <si>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</si>
  <si>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</si>
  <si>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</si>
  <si>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</si>
  <si>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</si>
  <si>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</si>
  <si>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</si>
  <si>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</si>
  <si>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</si>
  <si>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</si>
  <si>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</si>
  <si>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</si>
  <si>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</si>
  <si>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</si>
  <si>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</si>
  <si>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</si>
  <si>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</si>
  <si>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</si>
  <si>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</si>
  <si>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</si>
  <si>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</si>
  <si>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</si>
  <si>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</si>
  <si>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</si>
  <si>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</si>
  <si>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</si>
  <si>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</si>
  <si>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</si>
  <si>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</si>
  <si>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</si>
  <si>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</si>
  <si>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</si>
  <si>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</si>
  <si>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</si>
  <si>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</si>
  <si>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</si>
  <si>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</si>
  <si>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</si>
  <si>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</si>
  <si>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</si>
  <si>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</si>
  <si>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</si>
  <si>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</si>
  <si>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</si>
  <si>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</si>
  <si>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</si>
  <si>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</si>
  <si>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</si>
  <si>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</si>
  <si>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</si>
  <si>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</si>
  <si>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</si>
  <si>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</si>
  <si>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</si>
  <si>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</si>
  <si>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</si>
  <si>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</si>
  <si>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</si>
  <si>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</si>
  <si>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</si>
  <si>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</si>
  <si>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</si>
  <si>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</si>
  <si>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</si>
  <si>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</si>
  <si>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</si>
  <si>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</si>
  <si>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</si>
  <si>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</si>
  <si>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</si>
  <si>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</si>
  <si>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</si>
  <si>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</si>
  <si>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</si>
  <si>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</si>
  <si>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</si>
  <si>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</si>
  <si>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</si>
  <si>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</si>
  <si>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</si>
  <si>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</si>
  <si>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</si>
  <si>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</si>
  <si>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</si>
  <si>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</si>
  <si>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</si>
  <si>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</si>
  <si>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</si>
  <si>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</si>
  <si>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</si>
  <si>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</si>
  <si>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</si>
  <si>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</si>
  <si>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</si>
  <si>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</si>
  <si>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</si>
  <si>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</si>
  <si>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</si>
  <si>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</si>
  <si>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</si>
  <si>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</si>
  <si>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</si>
  <si>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</si>
  <si>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</si>
  <si>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</si>
  <si>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</si>
  <si>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</si>
  <si>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</si>
  <si>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</si>
  <si>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</si>
  <si>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</si>
  <si>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</si>
  <si>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</si>
  <si>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</si>
  <si>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</si>
  <si>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</si>
  <si>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</si>
  <si>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</si>
  <si>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</si>
  <si>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</si>
  <si>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</si>
  <si>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</si>
  <si>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</si>
  <si>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</si>
  <si>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</si>
  <si>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</si>
  <si>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</si>
  <si>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</si>
  <si>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</si>
  <si>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</si>
  <si>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</si>
  <si>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</si>
  <si>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</si>
  <si>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</si>
  <si>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</si>
  <si>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</si>
  <si>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</si>
  <si>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</si>
  <si>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</si>
  <si>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</si>
  <si>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</si>
  <si>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</si>
  <si>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</si>
  <si>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</si>
  <si>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</si>
  <si>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</si>
  <si>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</si>
  <si>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</si>
  <si>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</si>
  <si>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</si>
  <si>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</si>
  <si>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</si>
  <si>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</si>
  <si>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</si>
  <si>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</si>
  <si>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</si>
  <si>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</si>
  <si>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</si>
  <si>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</si>
  <si>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</si>
  <si>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</si>
  <si>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</si>
  <si>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</si>
  <si>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</si>
  <si>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</si>
  <si>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</si>
  <si>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</si>
  <si>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</si>
  <si>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</si>
  <si>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</si>
  <si>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</si>
  <si>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</si>
  <si>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</si>
  <si>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</si>
  <si>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</si>
  <si>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</si>
  <si>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</si>
  <si>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</si>
  <si>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</si>
  <si>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</si>
  <si>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</si>
  <si>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</si>
  <si>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</si>
  <si>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</si>
  <si>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</si>
  <si>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</si>
  <si>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</si>
  <si>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</si>
  <si>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</si>
  <si>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</si>
  <si>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</si>
  <si>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</si>
  <si>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</si>
  <si>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</si>
  <si>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</si>
  <si>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</si>
  <si>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</si>
  <si>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</si>
  <si>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</si>
  <si>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</si>
  <si>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</si>
  <si>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</si>
  <si>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</si>
  <si>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</si>
  <si>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</si>
  <si>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</si>
  <si>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</si>
  <si>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</si>
  <si>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</si>
  <si>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</si>
  <si>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</si>
  <si>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</si>
  <si>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</si>
  <si>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</si>
  <si>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</si>
  <si>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</si>
  <si>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</si>
  <si>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</si>
  <si>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</si>
  <si>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</si>
  <si>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</si>
  <si>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</si>
  <si>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</si>
  <si>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</si>
  <si>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</si>
  <si>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</si>
  <si>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</si>
  <si>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</si>
  <si>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</si>
  <si>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</si>
  <si>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</si>
  <si>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</si>
  <si>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</si>
  <si>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</si>
  <si>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</si>
  <si>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</si>
  <si>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</si>
  <si>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</si>
  <si>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</si>
  <si>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</si>
  <si>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</si>
  <si>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</si>
  <si>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</si>
  <si>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</si>
  <si>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</si>
  <si>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</si>
  <si>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</si>
  <si>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</si>
  <si>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</si>
  <si>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</si>
  <si>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</si>
  <si>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</si>
  <si>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</si>
  <si>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</si>
  <si>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</si>
  <si>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</si>
  <si>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</si>
  <si>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</si>
  <si>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</si>
  <si>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</si>
  <si>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</si>
  <si>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</si>
  <si>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</si>
  <si>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</si>
  <si>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</si>
  <si>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</si>
  <si>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</si>
  <si>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</si>
  <si>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</si>
  <si>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</si>
  <si>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</si>
  <si>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</si>
  <si>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</si>
  <si>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</si>
  <si>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</si>
  <si>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</si>
  <si>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</si>
  <si>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</si>
  <si>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</si>
  <si>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</si>
  <si>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</si>
  <si>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</si>
  <si>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</si>
  <si>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</si>
  <si>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</si>
  <si>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</si>
  <si>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</si>
  <si>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</si>
  <si>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</si>
  <si>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</si>
  <si>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</si>
  <si>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</si>
  <si>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</si>
  <si>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</si>
  <si>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</si>
  <si>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</si>
  <si>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</si>
  <si>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</si>
  <si>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</si>
  <si>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</si>
  <si>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</si>
  <si>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</si>
  <si>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</si>
  <si>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</si>
  <si>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</si>
  <si>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</si>
  <si>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</si>
  <si>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</si>
  <si>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</si>
  <si>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</si>
  <si>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</si>
  <si>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</si>
  <si>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</si>
  <si>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</si>
  <si>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</si>
  <si>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</si>
  <si>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</si>
  <si>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</si>
  <si>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</si>
  <si>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</si>
  <si>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</si>
  <si>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</si>
  <si>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</si>
  <si>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</si>
  <si>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</si>
  <si>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</si>
  <si>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</si>
  <si>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</si>
  <si>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</si>
  <si>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</si>
  <si>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</si>
  <si>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</si>
  <si>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</si>
  <si>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</si>
  <si>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</si>
  <si>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</si>
  <si>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</si>
  <si>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</si>
  <si>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</si>
  <si>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</si>
  <si>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</si>
  <si>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</si>
  <si>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</si>
  <si>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</si>
  <si>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</si>
  <si>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</si>
  <si>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</si>
  <si>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</si>
  <si>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</si>
  <si>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</si>
  <si>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</si>
  <si>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</si>
  <si>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</si>
  <si>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</si>
  <si>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</si>
  <si>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</si>
  <si>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</si>
  <si>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</si>
  <si>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</si>
  <si>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</si>
  <si>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</si>
  <si>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</si>
  <si>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</si>
  <si>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</si>
  <si>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</si>
  <si>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</si>
  <si>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</si>
  <si>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</si>
  <si>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</si>
  <si>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</si>
  <si>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</si>
  <si>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</si>
  <si>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</si>
  <si>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</si>
  <si>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</si>
  <si>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</si>
  <si>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</si>
  <si>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</si>
  <si>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</si>
  <si>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</si>
  <si>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</si>
  <si>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</si>
  <si>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</si>
  <si>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</si>
  <si>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</si>
  <si>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</si>
  <si>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</si>
  <si>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</si>
  <si>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</si>
  <si>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</si>
  <si>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</si>
  <si>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</si>
  <si>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</si>
  <si>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</si>
  <si>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</si>
  <si>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</si>
  <si>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</si>
  <si>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</si>
  <si>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</si>
  <si>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</si>
  <si>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</si>
  <si>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</si>
  <si>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</si>
  <si>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</si>
  <si>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</si>
  <si>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</si>
  <si>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</si>
  <si>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</si>
  <si>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</si>
  <si>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</si>
  <si>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</si>
  <si>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</si>
  <si>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</si>
  <si>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</si>
  <si>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</si>
  <si>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</si>
  <si>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</si>
  <si>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</si>
  <si>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</si>
  <si>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</si>
  <si>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</si>
  <si>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</si>
  <si>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</si>
  <si>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</si>
  <si>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</si>
  <si>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</si>
  <si>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</si>
  <si>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</si>
  <si>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</si>
  <si>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</si>
  <si>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</si>
  <si>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</si>
  <si>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</si>
  <si>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</si>
  <si>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</si>
  <si>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</si>
  <si>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</si>
  <si>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</si>
  <si>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</si>
  <si>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</si>
  <si>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</si>
  <si>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</si>
  <si>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</si>
  <si>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</si>
  <si>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</si>
  <si>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</si>
  <si>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</si>
  <si>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</si>
  <si>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</si>
  <si>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</si>
  <si>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</si>
  <si>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</si>
  <si>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</si>
  <si>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</si>
  <si>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</si>
  <si>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</si>
  <si>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</si>
  <si>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</si>
  <si>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</si>
  <si>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</si>
  <si>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</si>
  <si>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</si>
  <si>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</si>
  <si>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</si>
  <si>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</si>
  <si>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</si>
  <si>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</si>
  <si>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</si>
  <si>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</si>
  <si>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</si>
  <si>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</si>
  <si>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</si>
  <si>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</si>
  <si>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</si>
  <si>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</si>
  <si>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</si>
  <si>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</si>
  <si>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</si>
  <si>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</si>
  <si>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</si>
  <si>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</si>
  <si>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</si>
  <si>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</si>
  <si>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</si>
  <si>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</si>
  <si>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</si>
  <si>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</si>
  <si>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</si>
  <si>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</si>
  <si>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</si>
  <si>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</si>
  <si>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</si>
  <si>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</si>
  <si>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</si>
  <si>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</si>
  <si>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</si>
  <si>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</si>
  <si>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</si>
  <si>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</si>
  <si>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</si>
  <si>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</si>
  <si>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</si>
  <si>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</si>
  <si>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</si>
  <si>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</si>
  <si>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</si>
  <si>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</si>
  <si>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</si>
  <si>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</si>
  <si>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</si>
  <si>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</si>
  <si>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</si>
  <si>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</si>
  <si>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</si>
  <si>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</si>
  <si>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</si>
  <si>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</si>
  <si>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</si>
  <si>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</si>
  <si>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</si>
  <si>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</si>
  <si>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</si>
  <si>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</si>
  <si>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</si>
  <si>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</si>
  <si>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</si>
  <si>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</si>
  <si>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</si>
  <si>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</si>
  <si>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</si>
  <si>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</si>
  <si>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</si>
  <si>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</si>
  <si>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</si>
  <si>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</si>
  <si>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</si>
  <si>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</si>
  <si>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</si>
  <si>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</si>
  <si>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</si>
  <si>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</si>
  <si>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</si>
  <si>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</si>
  <si>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</si>
  <si>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</si>
  <si>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</si>
  <si>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</si>
  <si>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</si>
  <si>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</si>
  <si>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</si>
  <si>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</si>
  <si>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</si>
  <si>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</si>
  <si>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</si>
  <si>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</si>
  <si>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</si>
  <si>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</si>
  <si>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</si>
  <si>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</si>
  <si>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</si>
  <si>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</si>
  <si>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</si>
  <si>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</si>
  <si>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</si>
  <si>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</si>
  <si>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</si>
  <si>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</si>
  <si>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</si>
  <si>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</si>
  <si>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</si>
  <si>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</si>
  <si>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</si>
  <si>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</si>
  <si>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</si>
  <si>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</si>
  <si>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</si>
  <si>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</si>
  <si>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</si>
  <si>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</si>
  <si>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</si>
  <si>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</si>
  <si>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</si>
  <si>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</si>
  <si>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</si>
  <si>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</si>
  <si>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</si>
  <si>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</si>
  <si>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</si>
  <si>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</si>
  <si>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</si>
  <si>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</si>
  <si>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</si>
  <si>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</si>
  <si>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</si>
  <si>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</si>
  <si>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</si>
  <si>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</si>
  <si>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</si>
  <si>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</si>
  <si>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</si>
  <si>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</si>
  <si>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</si>
  <si>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</si>
  <si>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</si>
  <si>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</si>
  <si>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</si>
  <si>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</si>
  <si>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</si>
  <si>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</si>
  <si>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</si>
  <si>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</si>
  <si>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</si>
  <si>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</si>
  <si>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</si>
  <si>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</si>
  <si>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</si>
  <si>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</si>
  <si>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</si>
  <si>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</si>
  <si>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</si>
  <si>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</si>
  <si>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</si>
  <si>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</si>
  <si>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</si>
  <si>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</si>
  <si>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</si>
  <si>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</si>
  <si>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</si>
  <si>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</si>
  <si>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</si>
  <si>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</si>
  <si>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</si>
  <si>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</si>
  <si>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</si>
  <si>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</si>
  <si>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</si>
  <si>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</si>
  <si>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</si>
  <si>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</si>
  <si>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</si>
  <si>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</si>
  <si>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</si>
  <si>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</si>
  <si>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</si>
  <si>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</si>
  <si>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</si>
  <si>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</si>
  <si>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</si>
  <si>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</si>
  <si>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</si>
  <si>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</si>
  <si>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</si>
  <si>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</si>
  <si>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</si>
  <si>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</si>
  <si>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</si>
  <si>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</si>
  <si>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</si>
  <si>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</si>
  <si>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</si>
  <si>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</si>
  <si>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</si>
  <si>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</si>
  <si>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</si>
  <si>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</si>
  <si>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</si>
  <si>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</si>
  <si>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</si>
  <si>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</si>
  <si>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</si>
  <si>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</si>
  <si>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</si>
  <si>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</si>
  <si>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</si>
  <si>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</si>
  <si>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</si>
  <si>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</si>
  <si>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</si>
  <si>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</si>
  <si>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</si>
  <si>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</si>
  <si>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</si>
  <si>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</si>
  <si>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</si>
  <si>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</si>
  <si>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</si>
  <si>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</si>
  <si>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</si>
  <si>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</si>
  <si>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</si>
  <si>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</si>
  <si>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</si>
  <si>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</si>
  <si>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</si>
  <si>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</si>
  <si>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</si>
  <si>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</si>
  <si>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</si>
  <si>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</si>
  <si>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</si>
  <si>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</si>
  <si>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</si>
  <si>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</si>
  <si>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</si>
  <si>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</si>
  <si>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</si>
  <si>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</si>
  <si>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</si>
  <si>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</si>
  <si>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</si>
  <si>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</si>
  <si>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</si>
  <si>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</si>
  <si>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</si>
  <si>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</si>
  <si>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</si>
  <si>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</si>
  <si>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</si>
  <si>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</si>
  <si>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</si>
  <si>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</si>
  <si>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</si>
  <si>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</si>
  <si>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</si>
  <si>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</si>
  <si>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</si>
  <si>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</si>
  <si>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</si>
  <si>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</si>
  <si>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</si>
  <si>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</si>
  <si>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</si>
  <si>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</si>
  <si>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</si>
  <si>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</si>
  <si>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</si>
  <si>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</si>
  <si>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</si>
  <si>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</si>
  <si>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</si>
  <si>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</si>
  <si>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</si>
  <si>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</si>
  <si>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</si>
  <si>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</si>
  <si>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</si>
  <si>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</si>
  <si>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</si>
  <si>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</si>
  <si>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</si>
  <si>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</si>
  <si>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</si>
  <si>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</si>
  <si>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</si>
  <si>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</si>
  <si>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</si>
  <si>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</si>
  <si>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</si>
  <si>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</si>
  <si>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</si>
  <si>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</si>
  <si>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</si>
  <si>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</si>
  <si>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</si>
  <si>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</si>
  <si>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</si>
  <si>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</si>
  <si>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</si>
  <si>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</si>
  <si>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</si>
  <si>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</si>
  <si>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</si>
  <si>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</si>
  <si>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</si>
  <si>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</si>
  <si>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</si>
  <si>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</si>
  <si>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</si>
  <si>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</si>
  <si>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</si>
  <si>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</si>
  <si>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</si>
  <si>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</si>
  <si>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</si>
  <si>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</si>
  <si>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</si>
  <si>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</si>
  <si>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</si>
  <si>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</si>
  <si>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</si>
  <si>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</si>
  <si>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</si>
  <si>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</si>
  <si>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</si>
  <si>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</si>
  <si>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</si>
  <si>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</si>
  <si>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</si>
  <si>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</si>
  <si>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</si>
  <si>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</si>
  <si>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</si>
  <si>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</si>
  <si>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</si>
  <si>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</si>
  <si>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</si>
  <si>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</si>
  <si>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</si>
  <si>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</si>
  <si>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</si>
  <si>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</si>
  <si>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</si>
  <si>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</si>
  <si>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</si>
  <si>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</si>
  <si>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</si>
  <si>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</si>
  <si>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</si>
  <si>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</si>
  <si>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</si>
  <si>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</si>
  <si>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</si>
  <si>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</si>
  <si>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</si>
  <si>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</si>
  <si>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</si>
  <si>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</si>
  <si>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</si>
  <si>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</si>
  <si>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</si>
  <si>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</si>
  <si>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</si>
  <si>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</si>
  <si>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</si>
  <si>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</si>
  <si>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</si>
  <si>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</si>
  <si>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</si>
  <si>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</si>
  <si>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</si>
  <si>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</si>
  <si>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</si>
  <si>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</si>
  <si>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</si>
  <si>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</si>
  <si>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</si>
  <si>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</si>
  <si>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</si>
  <si>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</si>
  <si>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</si>
  <si>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</si>
  <si>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</si>
  <si>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</si>
  <si>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</si>
  <si>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</si>
  <si>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</si>
  <si>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</si>
  <si>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</si>
  <si>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</si>
  <si>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</si>
  <si>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</si>
  <si>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</si>
  <si>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</si>
  <si>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</si>
  <si>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</si>
  <si>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</si>
  <si>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</si>
  <si>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</si>
  <si>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</si>
  <si>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</si>
  <si>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</si>
  <si>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</si>
  <si>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</si>
  <si>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</si>
  <si>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</si>
  <si>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</si>
  <si>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</si>
  <si>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</si>
  <si>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</si>
  <si>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</si>
  <si>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</si>
  <si>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</si>
  <si>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</si>
  <si>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</si>
  <si>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</si>
  <si>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</si>
  <si>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</si>
  <si>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</si>
  <si>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</si>
  <si>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</si>
  <si>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</si>
  <si>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</si>
  <si>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</si>
  <si>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</si>
  <si>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</si>
  <si>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</si>
  <si>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</si>
  <si>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</si>
  <si>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</si>
  <si>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</si>
  <si>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</si>
  <si>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</si>
  <si>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</si>
  <si>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</si>
  <si>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</si>
  <si>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</si>
  <si>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</si>
  <si>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</si>
  <si>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</si>
  <si>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</si>
  <si>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</si>
  <si>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</si>
  <si>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</si>
  <si>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</si>
  <si>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</si>
  <si>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</si>
  <si>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</si>
  <si>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</si>
  <si>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</si>
  <si>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</si>
  <si>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</si>
  <si>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</si>
  <si>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</si>
  <si>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</si>
  <si>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</si>
  <si>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</si>
  <si>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</si>
  <si>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</si>
  <si>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</si>
  <si>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</si>
  <si>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</si>
  <si>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</si>
  <si>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</si>
  <si>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</si>
  <si>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</si>
  <si>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</si>
  <si>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</si>
  <si>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</si>
  <si>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</si>
  <si>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</si>
  <si>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</si>
  <si>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</si>
  <si>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</si>
  <si>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</si>
  <si>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</si>
  <si>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</si>
  <si>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</si>
  <si>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</si>
  <si>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</si>
  <si>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</si>
  <si>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</si>
  <si>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</si>
  <si>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</si>
  <si>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</si>
  <si>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</si>
  <si>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</si>
  <si>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</si>
  <si>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</si>
  <si>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</si>
  <si>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</si>
  <si>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</si>
  <si>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</si>
  <si>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</si>
  <si>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</si>
  <si>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</si>
  <si>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</si>
  <si>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</si>
  <si>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</si>
  <si>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</si>
  <si>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</si>
  <si>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</si>
  <si>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</si>
  <si>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</si>
  <si>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</si>
  <si>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</si>
  <si>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</si>
  <si>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</si>
  <si>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</si>
  <si>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</si>
  <si>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</si>
  <si>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</si>
  <si>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</si>
  <si>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</si>
  <si>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</si>
  <si>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</si>
  <si>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</si>
  <si>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</si>
  <si>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</si>
  <si>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</si>
  <si>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</si>
  <si>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</si>
  <si>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</si>
  <si>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</si>
  <si>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</si>
  <si>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</si>
  <si>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</si>
  <si>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</si>
  <si>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</si>
  <si>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</si>
  <si>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</si>
  <si>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</si>
  <si>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</si>
  <si>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</si>
  <si>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</si>
  <si>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</si>
  <si>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</si>
  <si>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</si>
  <si>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</si>
  <si>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</si>
  <si>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</si>
  <si>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</si>
  <si>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</si>
  <si>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</si>
  <si>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</si>
  <si>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</si>
  <si>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</si>
  <si>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</si>
  <si>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</si>
  <si>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</si>
  <si>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</si>
  <si>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</si>
  <si>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</si>
  <si>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</si>
  <si>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</si>
  <si>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</si>
  <si>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</si>
  <si>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</si>
  <si>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</si>
  <si>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</si>
  <si>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</si>
  <si>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</si>
  <si>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</si>
  <si>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</si>
  <si>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</si>
  <si>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</si>
  <si>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</si>
  <si>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</si>
  <si>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</si>
  <si>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</si>
  <si>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</si>
  <si>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</si>
  <si>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</si>
  <si>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</si>
  <si>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</si>
  <si>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</si>
  <si>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</si>
  <si>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</si>
  <si>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</si>
  <si>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</si>
  <si>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</si>
  <si>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</si>
  <si>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</si>
  <si>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</si>
  <si>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</si>
  <si>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</si>
  <si>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</si>
  <si>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</si>
  <si>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</si>
  <si>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</si>
  <si>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</si>
  <si>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</si>
  <si>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</si>
  <si>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</si>
  <si>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</si>
  <si>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</si>
  <si>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</si>
  <si>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</si>
  <si>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</si>
  <si>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</si>
  <si>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</si>
  <si>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</si>
  <si>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</si>
  <si>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</si>
  <si>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</si>
  <si>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</si>
  <si>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</si>
  <si>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</si>
  <si>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</si>
  <si>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</si>
  <si>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</si>
  <si>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</si>
  <si>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</si>
  <si>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</si>
  <si>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</si>
  <si>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</si>
  <si>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</si>
  <si>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</si>
  <si>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</si>
  <si>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</si>
  <si>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</si>
  <si>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</si>
  <si>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</si>
  <si>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</si>
  <si>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</si>
  <si>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</si>
  <si>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</si>
  <si>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</si>
  <si>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</si>
  <si>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</si>
  <si>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</si>
  <si>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</si>
  <si>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</si>
  <si>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</si>
  <si>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</si>
  <si>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</si>
  <si>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</si>
  <si>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</si>
  <si>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</si>
  <si>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</si>
  <si>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</si>
  <si>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</si>
  <si>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</si>
  <si>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</si>
  <si>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</si>
  <si>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</si>
  <si>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</si>
  <si>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</si>
  <si>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</si>
  <si>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</si>
  <si>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</si>
  <si>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</si>
  <si>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</si>
  <si>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</si>
  <si>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</si>
  <si>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</si>
  <si>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</si>
  <si>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</si>
  <si>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</si>
  <si>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</si>
  <si>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</si>
  <si>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</si>
  <si>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</si>
  <si>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</si>
  <si>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</si>
  <si>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</si>
  <si>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</si>
  <si>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</si>
  <si>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</si>
  <si>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</si>
  <si>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</si>
  <si>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</si>
  <si>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</si>
  <si>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</si>
  <si>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</si>
  <si>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</si>
  <si>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</si>
  <si>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</si>
  <si>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</si>
  <si>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</si>
  <si>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</si>
  <si>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</si>
  <si>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</si>
  <si>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</si>
  <si>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</si>
  <si>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</si>
  <si>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</si>
  <si>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</si>
  <si>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</si>
  <si>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</si>
  <si>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</si>
  <si>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</si>
  <si>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</si>
  <si>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</si>
  <si>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</si>
  <si>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</si>
  <si>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</si>
  <si>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</si>
  <si>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</si>
  <si>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</si>
  <si>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</si>
  <si>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</si>
  <si>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</si>
  <si>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</si>
  <si>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</si>
  <si>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</si>
  <si>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</si>
  <si>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</si>
  <si>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</si>
  <si>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</si>
  <si>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</si>
  <si>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</si>
  <si>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</si>
  <si>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</si>
  <si>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</si>
  <si>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</si>
  <si>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</si>
  <si>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</si>
  <si>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</si>
  <si>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</si>
  <si>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</si>
  <si>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</si>
  <si>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</si>
  <si>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</si>
  <si>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</si>
  <si>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</si>
  <si>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</si>
  <si>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</si>
  <si>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</si>
  <si>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</si>
  <si>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</si>
  <si>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</si>
  <si>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</si>
  <si>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</si>
  <si>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</si>
  <si>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</si>
  <si>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</si>
  <si>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</si>
  <si>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</si>
  <si>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</si>
  <si>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</si>
  <si>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</si>
  <si>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</si>
  <si>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</si>
  <si>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</si>
  <si>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</si>
  <si>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</si>
  <si>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</si>
  <si>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</si>
  <si>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</si>
  <si>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</si>
  <si>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</si>
  <si>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</si>
  <si>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</si>
  <si>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</si>
  <si>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</si>
  <si>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</si>
  <si>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</si>
  <si>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</si>
  <si>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</si>
  <si>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</si>
  <si>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</si>
  <si>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</si>
  <si>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</si>
  <si>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</si>
  <si>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</si>
  <si>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</si>
  <si>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</si>
  <si>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</si>
  <si>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</si>
  <si>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</si>
  <si>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</si>
  <si>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</si>
  <si>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</si>
  <si>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</si>
  <si>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</si>
  <si>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</si>
  <si>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</si>
  <si>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</si>
  <si>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</si>
  <si>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</si>
  <si>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</si>
  <si>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</si>
  <si>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</si>
  <si>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</si>
  <si>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</si>
  <si>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</si>
  <si>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</si>
  <si>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</si>
  <si>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</si>
  <si>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</si>
  <si>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</si>
  <si>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</si>
  <si>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</si>
  <si>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</si>
  <si>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</si>
  <si>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</si>
  <si>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</si>
  <si>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</si>
  <si>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</si>
  <si>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</si>
  <si>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</si>
  <si>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</si>
  <si>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</si>
  <si>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</si>
  <si>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</si>
  <si>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</si>
  <si>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</si>
  <si>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</si>
  <si>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</si>
  <si>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</si>
  <si>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</si>
  <si>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</si>
  <si>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</si>
  <si>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</si>
  <si>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</si>
  <si>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</si>
  <si>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</si>
  <si>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</si>
  <si>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</si>
  <si>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</si>
  <si>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</si>
  <si>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</si>
  <si>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</si>
  <si>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</si>
  <si>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</si>
  <si>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</si>
  <si>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</si>
  <si>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</si>
  <si>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</si>
  <si>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</si>
  <si>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</si>
  <si>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</si>
  <si>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</si>
  <si>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</si>
  <si>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</si>
  <si>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</si>
  <si>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</si>
  <si>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</si>
  <si>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</si>
  <si>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</si>
  <si>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</si>
  <si>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</si>
  <si>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</si>
  <si>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</si>
  <si>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</si>
  <si>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</si>
  <si>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</si>
  <si>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</si>
  <si>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</si>
  <si>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</si>
  <si>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</si>
  <si>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</si>
  <si>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</si>
  <si>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</si>
  <si>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</si>
  <si>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</si>
  <si>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</si>
  <si>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</si>
  <si>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</si>
  <si>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</si>
  <si>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</si>
  <si>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</si>
  <si>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</si>
  <si>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</si>
  <si>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</si>
  <si>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</si>
  <si>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</si>
  <si>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</si>
  <si>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</si>
  <si>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</si>
  <si>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</si>
  <si>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</si>
  <si>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</si>
  <si>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</si>
  <si>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</si>
  <si>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</si>
  <si>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</si>
  <si>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</si>
  <si>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</si>
  <si>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</si>
  <si>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</si>
  <si>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</si>
  <si>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</si>
  <si>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</si>
  <si>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</si>
  <si>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</si>
  <si>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</si>
  <si>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</si>
  <si>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</si>
  <si>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</si>
  <si>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</si>
  <si>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</si>
  <si>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</si>
  <si>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</si>
  <si>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</si>
  <si>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</si>
  <si>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</si>
  <si>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</si>
  <si>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</si>
  <si>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</si>
  <si>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</si>
  <si>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</si>
  <si>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</si>
  <si>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</si>
  <si>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</si>
  <si>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</si>
  <si>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</si>
  <si>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</si>
  <si>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</si>
  <si>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</si>
  <si>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</si>
  <si>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</si>
  <si>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</si>
  <si>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</si>
  <si>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</si>
  <si>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</si>
  <si>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</si>
  <si>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</si>
  <si>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</si>
  <si>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</si>
  <si>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</si>
  <si>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</si>
  <si>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</si>
  <si>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</si>
  <si>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</si>
  <si>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</si>
  <si>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</si>
  <si>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</si>
  <si>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</si>
  <si>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</si>
  <si>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</si>
  <si>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</si>
  <si>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</si>
  <si>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</si>
  <si>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</si>
  <si>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</si>
  <si>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</si>
  <si>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</si>
  <si>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</si>
  <si>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</si>
  <si>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</si>
  <si>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</si>
  <si>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</si>
  <si>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</si>
  <si>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</si>
  <si>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</si>
  <si>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</si>
  <si>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</si>
  <si>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</si>
  <si>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</si>
  <si>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</si>
  <si>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</si>
  <si>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</si>
  <si>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</si>
  <si>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</si>
  <si>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</si>
  <si>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</si>
  <si>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</si>
  <si>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</si>
  <si>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</si>
  <si>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</si>
  <si>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</si>
  <si>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</si>
  <si>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</si>
  <si>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</si>
  <si>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</si>
  <si>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</si>
  <si>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</si>
  <si>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</si>
  <si>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</si>
  <si>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</si>
  <si>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</si>
  <si>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</si>
  <si>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</si>
  <si>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</si>
  <si>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</si>
  <si>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</si>
  <si>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</si>
  <si>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</si>
  <si>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</si>
  <si>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</si>
  <si>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</si>
  <si>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</si>
  <si>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</si>
  <si>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</si>
  <si>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</si>
  <si>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</si>
  <si>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</si>
  <si>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</si>
  <si>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</si>
  <si>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</si>
  <si>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</si>
  <si>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</si>
  <si>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</si>
  <si>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</si>
  <si>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</si>
  <si>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</si>
  <si>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</si>
  <si>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</si>
  <si>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</si>
  <si>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</si>
  <si>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</si>
  <si>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</si>
  <si>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</si>
  <si>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</si>
  <si>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</si>
  <si>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</si>
  <si>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</si>
  <si>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</si>
  <si>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</si>
  <si>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</si>
  <si>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</si>
  <si>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</si>
  <si>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</si>
  <si>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</si>
  <si>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</si>
  <si>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</si>
  <si>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</si>
  <si>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</si>
  <si>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</si>
  <si>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</si>
  <si>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</si>
  <si>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</si>
  <si>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</si>
  <si>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</si>
  <si>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</si>
  <si>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</si>
  <si>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</si>
  <si>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</si>
  <si>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</si>
  <si>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</si>
  <si>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</si>
  <si>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</si>
  <si>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</si>
  <si>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</si>
  <si>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</si>
  <si>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</si>
  <si>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</si>
  <si>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</si>
  <si>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</si>
  <si>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</si>
  <si>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</si>
  <si>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</si>
  <si>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</si>
  <si>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</si>
  <si>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</si>
  <si>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</si>
  <si>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</si>
  <si>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</si>
  <si>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</si>
  <si>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</si>
  <si>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</si>
  <si>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</si>
  <si>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</si>
  <si>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</si>
  <si>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</si>
  <si>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</si>
  <si>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</si>
  <si>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</si>
  <si>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</si>
  <si>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</si>
  <si>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</si>
  <si>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</si>
  <si>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</si>
  <si>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</si>
  <si>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</si>
  <si>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</si>
  <si>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</si>
  <si>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</si>
  <si>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</si>
  <si>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</si>
  <si>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</si>
  <si>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</si>
  <si>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</si>
  <si>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</si>
  <si>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</si>
  <si>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</si>
  <si>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</si>
  <si>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</si>
  <si>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</si>
  <si>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</si>
  <si>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</si>
  <si>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</si>
  <si>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</si>
  <si>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</si>
  <si>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</si>
  <si>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</si>
  <si>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</si>
  <si>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</si>
  <si>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</si>
  <si>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</si>
  <si>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</si>
  <si>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</si>
  <si>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</si>
  <si>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</si>
  <si>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</si>
  <si>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</si>
  <si>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</si>
  <si>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</si>
  <si>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</si>
  <si>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</si>
  <si>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</si>
  <si>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</si>
  <si>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</si>
  <si>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</si>
  <si>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</si>
  <si>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</si>
  <si>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</si>
  <si>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</si>
  <si>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</si>
  <si>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</si>
  <si>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</si>
  <si>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</si>
  <si>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</si>
  <si>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</si>
  <si>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</si>
  <si>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</si>
  <si>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</si>
  <si>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</si>
  <si>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</si>
  <si>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</si>
  <si>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</si>
  <si>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</si>
  <si>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</si>
  <si>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</si>
  <si>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</si>
  <si>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</si>
  <si>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</si>
  <si>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</si>
  <si>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</si>
  <si>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</si>
  <si>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</si>
  <si>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</si>
  <si>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</si>
  <si>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</si>
  <si>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</si>
  <si>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</si>
  <si>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</si>
  <si>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</si>
  <si>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</si>
  <si>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</si>
  <si>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</si>
  <si>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</si>
  <si>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</si>
  <si>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</si>
  <si>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</si>
  <si>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</si>
  <si>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</si>
  <si>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</si>
  <si>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</si>
  <si>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</si>
  <si>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</si>
  <si>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</si>
  <si>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</si>
  <si>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</si>
  <si>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</si>
  <si>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</si>
  <si>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</si>
  <si>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</si>
  <si>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</si>
  <si>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</si>
  <si>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</si>
  <si>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</si>
  <si>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</si>
  <si>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</si>
  <si>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</si>
  <si>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</si>
  <si>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</si>
  <si>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</si>
  <si>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</si>
  <si>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</si>
  <si>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</si>
  <si>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</si>
  <si>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</si>
  <si>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</si>
  <si>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</si>
  <si>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</si>
  <si>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</si>
  <si>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</si>
  <si>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</si>
  <si>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</si>
  <si>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</si>
  <si>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</si>
  <si>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</si>
  <si>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</si>
  <si>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</si>
  <si>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</si>
  <si>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</si>
  <si>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</si>
  <si>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</si>
  <si>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</si>
  <si>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</si>
  <si>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</si>
  <si>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</si>
  <si>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</si>
  <si>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</si>
  <si>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</si>
  <si>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</si>
  <si>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</si>
  <si>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</si>
  <si>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</si>
  <si>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</si>
  <si>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</si>
  <si>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</si>
  <si>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</si>
  <si>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</si>
  <si>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</si>
  <si>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</si>
  <si>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</si>
  <si>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</si>
  <si>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</si>
  <si>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</si>
  <si>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</si>
  <si>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</si>
  <si>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</si>
  <si>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</si>
  <si>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</si>
  <si>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</si>
  <si>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</si>
  <si>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</si>
  <si>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</si>
  <si>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</si>
  <si>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</si>
  <si>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</si>
  <si>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</si>
  <si>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</si>
  <si>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</si>
  <si>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</si>
  <si>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</si>
  <si>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</si>
  <si>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</si>
  <si>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</si>
  <si>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</si>
  <si>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</si>
  <si>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</si>
  <si>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</si>
  <si>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</si>
  <si>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</si>
  <si>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</si>
  <si>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</si>
  <si>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</si>
  <si>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</si>
  <si>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</si>
  <si>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</si>
  <si>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</si>
  <si>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</si>
  <si>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</si>
  <si>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</si>
  <si>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</si>
  <si>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</si>
  <si>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</si>
  <si>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</si>
  <si>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</si>
  <si>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</si>
  <si>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</si>
  <si>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</si>
  <si>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</si>
  <si>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</si>
  <si>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</si>
  <si>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</si>
  <si>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</si>
  <si>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</si>
  <si>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</si>
  <si>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</si>
  <si>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</si>
  <si>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</si>
  <si>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</si>
  <si>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</si>
  <si>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</si>
  <si>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</si>
  <si>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</si>
  <si>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</si>
  <si>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</si>
  <si>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</si>
  <si>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</si>
  <si>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</si>
  <si>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</si>
  <si>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</si>
  <si>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</si>
  <si>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</si>
  <si>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</si>
  <si>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</si>
  <si>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</si>
  <si>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</si>
  <si>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</si>
  <si>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</si>
  <si>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</si>
  <si>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</si>
  <si>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</si>
  <si>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</si>
  <si>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</si>
  <si>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</si>
  <si>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</si>
  <si>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</si>
  <si>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</si>
  <si>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</si>
  <si>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</si>
  <si>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</si>
  <si>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</si>
  <si>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</si>
  <si>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</si>
  <si>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</si>
  <si>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</si>
  <si>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</si>
  <si>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</si>
  <si>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</si>
  <si>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</si>
  <si>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</si>
  <si>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</si>
  <si>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</si>
  <si>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</si>
  <si>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</si>
  <si>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</si>
  <si>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</si>
  <si>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</si>
  <si>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</si>
  <si>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</si>
  <si>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</si>
  <si>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</si>
  <si>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</si>
  <si>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</si>
  <si>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</si>
  <si>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</si>
  <si>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</si>
  <si>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</si>
  <si>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</si>
  <si>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</si>
  <si>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</si>
  <si>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</si>
  <si>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</si>
  <si>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</si>
  <si>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</si>
  <si>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</si>
  <si>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</si>
  <si>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</si>
  <si>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</si>
  <si>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</si>
  <si>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</si>
  <si>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</si>
  <si>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</si>
  <si>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</si>
  <si>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</si>
  <si>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</si>
  <si>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</si>
  <si>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</si>
  <si>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</si>
  <si>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</si>
  <si>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</si>
  <si>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</si>
  <si>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</si>
  <si>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</si>
  <si>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</si>
  <si>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</si>
  <si>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</si>
  <si>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</si>
  <si>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</si>
  <si>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</si>
  <si>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</si>
  <si>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</si>
  <si>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</si>
  <si>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</si>
  <si>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</si>
  <si>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</si>
  <si>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</si>
  <si>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</si>
  <si>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</si>
  <si>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</si>
  <si>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</si>
  <si>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</si>
  <si>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</si>
  <si>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</si>
  <si>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</si>
  <si>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</si>
  <si>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</si>
  <si>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</si>
  <si>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</si>
  <si>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</si>
  <si>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</si>
  <si>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</si>
  <si>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</si>
  <si>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</si>
  <si>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</si>
  <si>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</si>
  <si>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</si>
  <si>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</si>
  <si>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</si>
  <si>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</si>
  <si>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</si>
  <si>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</si>
  <si>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</si>
  <si>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</si>
  <si>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</si>
  <si>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</si>
  <si>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</si>
  <si>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</si>
  <si>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</si>
  <si>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</si>
  <si>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</si>
  <si>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</si>
  <si>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</si>
  <si>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</si>
  <si>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</si>
  <si>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</si>
  <si>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</si>
  <si>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</si>
  <si>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</si>
  <si>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</si>
  <si>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</si>
  <si>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</si>
  <si>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</si>
  <si>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</si>
  <si>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</si>
  <si>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</si>
  <si>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</si>
  <si>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</si>
  <si>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</si>
  <si>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</si>
  <si>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</si>
  <si>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</si>
  <si>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</si>
  <si>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</si>
  <si>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</si>
  <si>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</si>
  <si>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</si>
  <si>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</si>
  <si>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</si>
  <si>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</si>
  <si>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</si>
  <si>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</si>
  <si>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</si>
  <si>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</si>
  <si>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</si>
  <si>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</si>
  <si>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</si>
  <si>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</si>
  <si>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</si>
  <si>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</si>
  <si>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</si>
  <si>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</si>
  <si>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</si>
  <si>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</si>
  <si>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</si>
  <si>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</si>
  <si>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</si>
  <si>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</si>
  <si>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</si>
  <si>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</si>
  <si>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</si>
  <si>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</si>
  <si>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</si>
  <si>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</si>
  <si>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</si>
  <si>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</si>
  <si>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</si>
  <si>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</si>
  <si>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</si>
  <si>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</si>
  <si>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</si>
  <si>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</si>
  <si>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</si>
  <si>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</si>
  <si>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</si>
  <si>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</si>
  <si>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</si>
  <si>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</si>
  <si>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</si>
  <si>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</si>
  <si>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</si>
  <si>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</si>
  <si>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</si>
  <si>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</si>
  <si>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</si>
  <si>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</si>
  <si>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</si>
  <si>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</si>
  <si>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</si>
  <si>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</si>
  <si>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</si>
  <si>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</si>
  <si>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</si>
  <si>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</si>
  <si>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</si>
  <si>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</si>
  <si>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</si>
  <si>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</si>
  <si>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</si>
  <si>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</si>
  <si>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</si>
  <si>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</si>
  <si>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</si>
  <si>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</si>
  <si>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</si>
  <si>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</si>
  <si>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</si>
  <si>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</si>
  <si>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</si>
  <si>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</si>
  <si>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</si>
  <si>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</si>
  <si>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</si>
  <si>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</si>
  <si>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</si>
  <si>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</si>
  <si>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</si>
  <si>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</si>
  <si>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</si>
  <si>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</si>
  <si>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</si>
  <si>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</si>
  <si>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</si>
  <si>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</si>
  <si>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</si>
  <si>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</si>
  <si>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</si>
  <si>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</si>
  <si>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</si>
  <si>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</si>
  <si>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</si>
  <si>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</si>
  <si>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</si>
  <si>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</si>
  <si>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</si>
  <si>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</si>
  <si>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</si>
  <si>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</si>
  <si>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</si>
  <si>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</si>
  <si>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</si>
  <si>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</si>
  <si>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</si>
  <si>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</si>
  <si>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</si>
  <si>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</si>
  <si>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</si>
  <si>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</si>
  <si>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</si>
  <si>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</si>
  <si>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</si>
  <si>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</si>
  <si>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</si>
  <si>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</si>
  <si>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</si>
  <si>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</si>
  <si>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</si>
  <si>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</si>
  <si>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</si>
  <si>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</si>
  <si>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</si>
  <si>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</si>
  <si>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</si>
  <si>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</si>
  <si>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</si>
  <si>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</si>
  <si>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</si>
  <si>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</si>
  <si>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</si>
  <si>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</si>
  <si>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</si>
  <si>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</si>
  <si>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</si>
  <si>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</si>
  <si>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</si>
  <si>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</si>
  <si>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</si>
  <si>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</si>
  <si>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</si>
  <si>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</si>
  <si>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</si>
  <si>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</si>
  <si>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</si>
  <si>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</si>
  <si>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</si>
  <si>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</si>
  <si>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</si>
  <si>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</si>
  <si>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</si>
  <si>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</si>
  <si>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</si>
  <si>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</si>
  <si>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</si>
  <si>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</si>
  <si>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</si>
  <si>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</si>
  <si>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</si>
  <si>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</si>
  <si>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</si>
  <si>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</si>
  <si>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</si>
  <si>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</si>
  <si>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</si>
  <si>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</si>
  <si>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</si>
  <si>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</si>
  <si>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</si>
  <si>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</si>
  <si>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</si>
  <si>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</si>
  <si>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</si>
  <si>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</si>
  <si>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</si>
  <si>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</si>
  <si>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</si>
  <si>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</si>
  <si>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</si>
  <si>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</si>
  <si>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</si>
  <si>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</si>
  <si>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</si>
  <si>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</si>
  <si>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</si>
  <si>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</si>
  <si>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</si>
  <si>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</si>
  <si>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</si>
  <si>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</si>
  <si>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</si>
  <si>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</si>
  <si>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</si>
  <si>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</si>
  <si>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</si>
  <si>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</si>
  <si>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</si>
  <si>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</si>
  <si>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</si>
  <si>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</si>
  <si>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</si>
  <si>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</si>
  <si>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</si>
  <si>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</si>
  <si>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</si>
  <si>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</si>
  <si>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</si>
  <si>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</si>
  <si>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</si>
  <si>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</si>
  <si>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</si>
  <si>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</si>
  <si>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</si>
  <si>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</si>
  <si>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</si>
  <si>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</si>
  <si>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</si>
  <si>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</si>
  <si>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</si>
  <si>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</si>
  <si>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</si>
  <si>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</si>
  <si>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</si>
  <si>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</si>
  <si>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</si>
  <si>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</si>
  <si>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</si>
  <si>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</si>
  <si>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</si>
  <si>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</si>
  <si>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</si>
  <si>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</si>
  <si>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</si>
  <si>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</si>
  <si>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</si>
  <si>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</si>
  <si>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</si>
  <si>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</si>
  <si>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</si>
  <si>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</si>
  <si>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</si>
  <si>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</si>
  <si>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</si>
  <si>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</si>
  <si>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</si>
  <si>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</si>
  <si>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</si>
  <si>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</si>
  <si>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</si>
  <si>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</si>
  <si>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</si>
  <si>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</si>
  <si>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</si>
  <si>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</si>
  <si>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</si>
  <si>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</si>
  <si>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</si>
  <si>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</si>
  <si>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</si>
  <si>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</si>
  <si>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</si>
  <si>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</si>
  <si>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</si>
  <si>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</si>
  <si>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</si>
  <si>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</si>
  <si>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</si>
  <si>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</si>
  <si>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</si>
  <si>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</si>
  <si>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</si>
  <si>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</si>
  <si>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</si>
  <si>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</si>
  <si>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</si>
  <si>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</si>
  <si>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</si>
  <si>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</si>
  <si>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</si>
  <si>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</si>
  <si>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</si>
  <si>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</si>
  <si>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</si>
  <si>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</si>
  <si>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</si>
  <si>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</si>
  <si>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</si>
  <si>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</si>
  <si>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</si>
  <si>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</si>
  <si>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</si>
  <si>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</si>
  <si>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</si>
  <si>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</si>
  <si>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</si>
  <si>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</si>
  <si>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</si>
  <si>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</si>
  <si>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</si>
  <si>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</si>
  <si>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</si>
  <si>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</si>
  <si>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</si>
  <si>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</si>
  <si>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</si>
  <si>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</si>
  <si>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</si>
  <si>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</si>
  <si>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</si>
  <si>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</si>
  <si>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</si>
  <si>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</si>
  <si>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</si>
  <si>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</si>
  <si>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</si>
  <si>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</si>
  <si>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</si>
  <si>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</si>
  <si>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</si>
  <si>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</si>
  <si>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</si>
  <si>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</si>
  <si>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</si>
  <si>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</si>
  <si>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</si>
  <si>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</si>
  <si>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</si>
  <si>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</si>
  <si>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</si>
  <si>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</si>
  <si>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</si>
  <si>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</si>
  <si>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</si>
  <si>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</si>
  <si>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</si>
  <si>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</si>
  <si>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</si>
  <si>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</si>
  <si>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</si>
  <si>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</si>
  <si>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</si>
  <si>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</si>
  <si>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</si>
  <si>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</si>
  <si>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</si>
  <si>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</si>
  <si>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</si>
  <si>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</si>
  <si>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</si>
  <si>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</si>
  <si>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</si>
  <si>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</si>
  <si>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</si>
  <si>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</si>
  <si>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</si>
  <si>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</si>
  <si>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</si>
  <si>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</si>
  <si>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</si>
  <si>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</si>
  <si>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</si>
  <si>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</si>
  <si>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</si>
  <si>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</si>
  <si>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</si>
  <si>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</si>
  <si>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</si>
  <si>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</si>
  <si>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</si>
  <si>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</si>
  <si>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</si>
  <si>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</si>
  <si>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</si>
  <si>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</si>
  <si>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</si>
  <si>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</si>
  <si>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</si>
  <si>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</si>
  <si>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</si>
  <si>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</si>
  <si>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</si>
  <si>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</si>
  <si>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</si>
  <si>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</si>
  <si>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</si>
  <si>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</si>
  <si>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</si>
  <si>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</si>
  <si>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</si>
  <si>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</si>
  <si>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</si>
  <si>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</si>
  <si>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</si>
  <si>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</si>
  <si>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</si>
  <si>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</si>
  <si>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</si>
  <si>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</si>
  <si>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</si>
  <si>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</si>
  <si>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</si>
  <si>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</si>
  <si>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</si>
  <si>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</si>
  <si>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</si>
  <si>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</si>
  <si>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</si>
  <si>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</si>
  <si>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</si>
  <si>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</si>
  <si>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</si>
  <si>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</si>
  <si>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</si>
  <si>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</si>
  <si>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</si>
  <si>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</si>
  <si>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</si>
  <si>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</si>
  <si>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</si>
  <si>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</si>
  <si>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</si>
  <si>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</si>
  <si>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</si>
  <si>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</si>
  <si>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</si>
  <si>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</si>
  <si>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</si>
  <si>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</si>
  <si>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</si>
  <si>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</si>
  <si>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</si>
  <si>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</si>
  <si>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</si>
  <si>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</si>
  <si>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</si>
  <si>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</si>
  <si>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</si>
  <si>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</si>
  <si>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</si>
  <si>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</si>
  <si>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</si>
  <si>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</si>
  <si>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</si>
  <si>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</si>
  <si>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</si>
  <si>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</si>
  <si>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</si>
  <si>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</si>
  <si>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</si>
  <si>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</si>
  <si>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</si>
  <si>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</si>
  <si>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</si>
  <si>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</si>
  <si>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</si>
  <si>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</si>
  <si>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</si>
  <si>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</si>
  <si>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</si>
  <si>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</si>
  <si>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</si>
  <si>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</si>
  <si>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</si>
  <si>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</si>
  <si>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</si>
  <si>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</si>
  <si>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</si>
  <si>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</si>
  <si>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</si>
  <si>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</si>
  <si>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</si>
  <si>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</si>
  <si>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</si>
  <si>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</si>
  <si>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</si>
  <si>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</si>
  <si>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</si>
  <si>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</si>
  <si>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</si>
  <si>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</si>
  <si>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</si>
  <si>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</si>
  <si>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</si>
  <si>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</si>
  <si>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</si>
  <si>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</si>
  <si>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</si>
  <si>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</si>
  <si>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</si>
  <si>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</si>
  <si>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</si>
  <si>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</si>
  <si>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</si>
  <si>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</si>
  <si>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</si>
  <si>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</si>
  <si>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</si>
  <si>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</si>
  <si>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</si>
  <si>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</si>
  <si>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</si>
  <si>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</si>
  <si>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</si>
  <si>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</si>
  <si>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</si>
  <si>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</si>
  <si>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</si>
  <si>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</si>
  <si>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</si>
  <si>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</si>
  <si>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</si>
  <si>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</si>
  <si>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</si>
  <si>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</si>
  <si>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</si>
  <si>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</si>
  <si>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</si>
  <si>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</si>
  <si>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</si>
  <si>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</si>
  <si>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</si>
  <si>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</si>
  <si>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</si>
  <si>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</si>
  <si>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</si>
  <si>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</si>
  <si>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</si>
  <si>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</si>
  <si>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</si>
  <si>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</si>
  <si>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</si>
  <si>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</si>
  <si>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</si>
  <si>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</si>
  <si>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</si>
  <si>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</si>
  <si>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</si>
  <si>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</si>
  <si>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</si>
  <si>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</si>
  <si>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</si>
  <si>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</si>
  <si>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</si>
  <si>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</si>
  <si>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</si>
  <si>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</si>
  <si>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</si>
  <si>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</si>
  <si>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</si>
  <si>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</si>
  <si>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</si>
  <si>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</si>
  <si>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</si>
  <si>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</si>
  <si>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</si>
  <si>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</si>
  <si>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</si>
  <si>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</si>
  <si>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</si>
  <si>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</si>
  <si>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</si>
  <si>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</si>
  <si>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</si>
  <si>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</si>
  <si>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</si>
  <si>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</si>
  <si>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</si>
  <si>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</si>
  <si>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</si>
  <si>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</si>
  <si>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</si>
  <si>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</si>
  <si>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</si>
  <si>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</si>
  <si>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</si>
  <si>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</si>
  <si>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</si>
  <si>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</si>
  <si>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</si>
  <si>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</si>
  <si>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</si>
  <si>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</si>
  <si>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</si>
  <si>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</si>
  <si>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</si>
  <si>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</si>
  <si>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</si>
  <si>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</si>
  <si>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</si>
  <si>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</si>
  <si>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</si>
  <si>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</si>
  <si>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</si>
  <si>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</si>
  <si>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</si>
  <si>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</si>
  <si>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</si>
  <si>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</si>
  <si>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</si>
  <si>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</si>
  <si>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</si>
  <si>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</si>
  <si>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</si>
  <si>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</si>
  <si>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</si>
  <si>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</si>
  <si>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</si>
  <si>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</si>
  <si>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</si>
  <si>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</si>
  <si>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</si>
  <si>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</si>
  <si>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</si>
  <si>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</si>
  <si>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</si>
  <si>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</si>
  <si>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</si>
  <si>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</si>
  <si>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</si>
  <si>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</si>
  <si>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</si>
  <si>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</si>
  <si>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</si>
  <si>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</si>
  <si>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</si>
  <si>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</si>
  <si>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</si>
  <si>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</si>
  <si>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</si>
  <si>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</si>
  <si>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</si>
  <si>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</si>
  <si>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</si>
  <si>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</si>
  <si>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</si>
  <si>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</si>
  <si>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</si>
  <si>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</si>
  <si>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</si>
  <si>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</si>
  <si>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</si>
  <si>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</si>
  <si>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</si>
  <si>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</si>
  <si>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</si>
  <si>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</si>
  <si>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</si>
  <si>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</si>
  <si>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</si>
  <si>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</si>
  <si>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</si>
  <si>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</si>
  <si>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</si>
  <si>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</si>
  <si>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</si>
  <si>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</si>
  <si>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</si>
  <si>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</si>
  <si>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</si>
  <si>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</si>
  <si>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</si>
  <si>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</si>
  <si>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</si>
  <si>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</si>
  <si>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</si>
  <si>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</si>
  <si>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</si>
  <si>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</si>
  <si>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</si>
  <si>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</si>
  <si>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</si>
  <si>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</si>
  <si>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</si>
  <si>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</si>
  <si>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</si>
  <si>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</si>
  <si>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</si>
  <si>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</si>
  <si>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</si>
  <si>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</si>
  <si>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</si>
  <si>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</si>
  <si>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</si>
  <si>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</si>
  <si>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</si>
  <si>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</si>
  <si>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</si>
  <si>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</si>
  <si>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</si>
  <si>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</si>
  <si>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</si>
  <si>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</si>
  <si>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</si>
  <si>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</si>
  <si>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</si>
  <si>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</si>
  <si>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</si>
  <si>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</si>
  <si>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</si>
  <si>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</si>
  <si>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</si>
  <si>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</si>
  <si>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</si>
  <si>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</si>
  <si>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</si>
  <si>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</si>
  <si>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</si>
  <si>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</si>
  <si>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</si>
  <si>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</si>
  <si>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</si>
  <si>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</si>
  <si>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</si>
  <si>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</si>
  <si>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</si>
  <si>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</si>
  <si>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</si>
  <si>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</si>
  <si>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</si>
  <si>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</si>
  <si>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</si>
  <si>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</si>
  <si>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</si>
  <si>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</si>
  <si>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</si>
  <si>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</si>
  <si>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</si>
  <si>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</si>
  <si>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</si>
  <si>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</si>
  <si>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</si>
  <si>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</si>
  <si>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</si>
  <si>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</si>
  <si>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</si>
  <si>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</si>
  <si>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</si>
  <si>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</si>
  <si>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</si>
  <si>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</si>
  <si>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</si>
  <si>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</si>
  <si>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</si>
  <si>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</si>
  <si>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</si>
  <si>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</si>
  <si>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</si>
  <si>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</si>
  <si>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</si>
  <si>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</si>
  <si>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</si>
  <si>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</si>
  <si>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</si>
  <si>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</si>
  <si>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</si>
  <si>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</si>
  <si>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</si>
  <si>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</si>
  <si>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</si>
  <si>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</si>
  <si>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</si>
  <si>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</si>
  <si>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</si>
  <si>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</si>
  <si>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</si>
  <si>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</si>
  <si>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</si>
  <si>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</si>
  <si>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</si>
  <si>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</si>
  <si>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</si>
  <si>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</si>
  <si>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</si>
  <si>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</si>
  <si>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</si>
  <si>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</si>
  <si>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</si>
  <si>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</si>
  <si>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</si>
  <si>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</si>
  <si>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</si>
  <si>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</si>
  <si>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</si>
  <si>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</si>
  <si>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</si>
  <si>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</si>
  <si>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</si>
  <si>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</si>
  <si>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</si>
  <si>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</si>
  <si>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</si>
  <si>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</si>
  <si>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</si>
  <si>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</si>
  <si>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</si>
  <si>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</si>
  <si>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</si>
  <si>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</si>
  <si>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</si>
  <si>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</si>
  <si>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</si>
  <si>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</si>
  <si>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</si>
  <si>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</si>
  <si>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</si>
  <si>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</si>
  <si>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</si>
  <si>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</si>
  <si>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</si>
  <si>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</si>
  <si>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</si>
  <si>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</si>
  <si>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</si>
  <si>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</si>
  <si>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</si>
  <si>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</si>
  <si>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</si>
  <si>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</si>
  <si>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</si>
  <si>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</si>
  <si>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</si>
  <si>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</si>
  <si>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</si>
  <si>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</si>
  <si>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</si>
  <si>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</si>
  <si>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</si>
  <si>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</si>
  <si>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</si>
  <si>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</si>
  <si>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</si>
  <si>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</si>
  <si>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</si>
  <si>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</si>
  <si>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</si>
  <si>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</si>
  <si>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</si>
  <si>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</si>
  <si>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</si>
  <si>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</si>
  <si>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</si>
  <si>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</si>
  <si>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</si>
  <si>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</si>
  <si>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</si>
  <si>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</si>
  <si>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</si>
  <si>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</si>
  <si>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</si>
  <si>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</si>
  <si>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</si>
  <si>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</si>
  <si>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</si>
  <si>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</si>
  <si>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</si>
  <si>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</si>
  <si>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</si>
  <si>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</si>
  <si>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</si>
  <si>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</si>
  <si>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</si>
  <si>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</si>
  <si>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</si>
  <si>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</si>
  <si>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</si>
  <si>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</si>
  <si>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</si>
  <si>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</si>
  <si>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</si>
  <si>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</si>
  <si>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</si>
  <si>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</si>
  <si>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</si>
  <si>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</si>
  <si>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</si>
  <si>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</si>
  <si>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</si>
  <si>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</si>
  <si>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</si>
  <si>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</si>
  <si>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</si>
  <si>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</si>
  <si>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</si>
  <si>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</si>
  <si>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</si>
  <si>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</si>
  <si>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</si>
  <si>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</si>
  <si>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</si>
  <si>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</si>
  <si>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</si>
  <si>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</si>
  <si>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</si>
  <si>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</si>
  <si>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</si>
  <si>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</si>
  <si>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</si>
  <si>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</si>
  <si>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</si>
  <si>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</si>
  <si>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</si>
  <si>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</si>
  <si>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</si>
  <si>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</si>
  <si>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</si>
  <si>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</si>
  <si>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</si>
  <si>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</si>
  <si>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</si>
  <si>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</si>
  <si>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</si>
  <si>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</si>
  <si>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</si>
  <si>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</si>
  <si>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</si>
  <si>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</si>
  <si>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</si>
  <si>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</si>
  <si>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</si>
  <si>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</si>
  <si>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</si>
  <si>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</si>
  <si>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</si>
  <si>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</si>
  <si>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</si>
  <si>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</si>
  <si>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</si>
  <si>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</si>
  <si>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</si>
  <si>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</si>
  <si>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</si>
  <si>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</si>
  <si>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</si>
  <si>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</si>
  <si>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</si>
  <si>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</si>
  <si>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</si>
  <si>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</si>
  <si>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</si>
  <si>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</si>
  <si>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</si>
  <si>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</si>
  <si>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</si>
  <si>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</si>
  <si>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</si>
  <si>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</si>
  <si>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</si>
  <si>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</si>
  <si>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</si>
  <si>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</si>
  <si>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</si>
  <si>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</si>
  <si>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</si>
  <si>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</si>
  <si>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</si>
  <si>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</si>
  <si>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</si>
  <si>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</si>
  <si>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</si>
  <si>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</si>
  <si>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</si>
  <si>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</si>
  <si>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</si>
  <si>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</si>
  <si>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</si>
  <si>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</si>
  <si>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</si>
  <si>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</si>
  <si>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</si>
  <si>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</si>
  <si>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</si>
  <si>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</si>
  <si>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</si>
  <si>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</si>
  <si>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</si>
  <si>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</si>
  <si>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</si>
  <si>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</si>
  <si>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</si>
  <si>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</si>
  <si>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</si>
  <si>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</si>
  <si>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</si>
  <si>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</si>
  <si>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</si>
  <si>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</si>
  <si>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</si>
  <si>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</si>
  <si>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</si>
  <si>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</si>
  <si>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</si>
  <si>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</si>
  <si>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</si>
  <si>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</si>
  <si>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</si>
  <si>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</si>
  <si>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</si>
  <si>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</si>
  <si>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</si>
  <si>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</si>
  <si>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</si>
  <si>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</si>
  <si>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</si>
  <si>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</si>
  <si>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</si>
  <si>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</si>
  <si>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</si>
  <si>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</si>
  <si>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</si>
  <si>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</si>
  <si>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</si>
  <si>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</si>
  <si>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</si>
  <si>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</si>
  <si>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</si>
  <si>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</si>
  <si>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</si>
  <si>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</si>
  <si>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</si>
  <si>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</si>
  <si>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</si>
  <si>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</si>
  <si>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</si>
  <si>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</si>
  <si>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</si>
  <si>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</si>
  <si>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</si>
  <si>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</si>
  <si>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</si>
  <si>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</si>
  <si>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</si>
  <si>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</si>
  <si>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</si>
  <si>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</si>
  <si>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</si>
  <si>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</si>
  <si>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</si>
  <si>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</si>
  <si>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</si>
  <si>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</si>
  <si>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</si>
  <si>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</si>
  <si>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</si>
  <si>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</si>
  <si>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</si>
  <si>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</si>
  <si>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</si>
  <si>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</si>
  <si>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</si>
  <si>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</si>
  <si>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</si>
  <si>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</si>
  <si>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</si>
  <si>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</si>
  <si>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</si>
  <si>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</si>
  <si>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</si>
  <si>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</si>
  <si>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</si>
  <si>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</si>
  <si>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</si>
  <si>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</si>
  <si>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</si>
  <si>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</si>
  <si>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</si>
  <si>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</si>
  <si>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</si>
  <si>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</si>
  <si>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</si>
  <si>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</si>
  <si>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</si>
  <si>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</si>
  <si>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</si>
  <si>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</si>
  <si>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</si>
  <si>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</si>
  <si>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</si>
  <si>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</si>
  <si>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</si>
  <si>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</si>
  <si>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</si>
  <si>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</si>
  <si>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</si>
  <si>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</si>
  <si>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</si>
  <si>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</si>
  <si>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</si>
  <si>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</si>
  <si>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</si>
  <si>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</si>
  <si>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</si>
  <si>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</si>
  <si>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</si>
  <si>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</si>
  <si>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</si>
  <si>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</si>
  <si>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</si>
  <si>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</si>
  <si>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</si>
  <si>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</si>
  <si>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</si>
  <si>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</si>
  <si>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</si>
  <si>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</si>
  <si>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</si>
  <si>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</si>
  <si>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</si>
  <si>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</si>
  <si>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</si>
  <si>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</si>
  <si>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</si>
  <si>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</si>
  <si>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</si>
  <si>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</si>
  <si>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</si>
  <si>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</si>
  <si>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</si>
  <si>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</si>
  <si>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</si>
  <si>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</si>
  <si>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</si>
  <si>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</si>
  <si>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</si>
  <si>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</si>
  <si>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</si>
  <si>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</si>
  <si>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</si>
  <si>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</si>
  <si>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</si>
  <si>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</si>
  <si>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</si>
  <si>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</si>
  <si>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</si>
  <si>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</si>
  <si>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</si>
  <si>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</si>
  <si>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</si>
  <si>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</si>
  <si>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</si>
  <si>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</si>
  <si>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</si>
  <si>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</si>
  <si>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</si>
  <si>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</si>
  <si>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</si>
  <si>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</si>
  <si>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</si>
  <si>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</si>
  <si>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</si>
  <si>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</si>
  <si>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</si>
  <si>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</si>
  <si>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</si>
  <si>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</si>
  <si>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</si>
  <si>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</si>
  <si>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</si>
  <si>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</si>
  <si>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</si>
  <si>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</si>
  <si>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</si>
  <si>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</si>
  <si>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</si>
  <si>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</si>
  <si>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</si>
  <si>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</si>
  <si>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</si>
  <si>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</si>
  <si>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</si>
  <si>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</si>
  <si>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</si>
  <si>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</si>
  <si>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</si>
  <si>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</si>
  <si>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</si>
  <si>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</si>
  <si>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</si>
  <si>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</si>
  <si>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</si>
  <si>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</si>
  <si>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</si>
  <si>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</si>
  <si>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</si>
  <si>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</si>
  <si>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</si>
  <si>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</si>
  <si>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</si>
  <si>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</si>
  <si>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</si>
  <si>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</si>
  <si>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</si>
  <si>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</si>
  <si>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</si>
  <si>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</si>
  <si>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</si>
  <si>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</si>
  <si>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</si>
  <si>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</si>
  <si>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</si>
  <si>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</si>
  <si>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</si>
  <si>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</si>
  <si>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</si>
  <si>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</si>
  <si>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</si>
  <si>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</si>
  <si>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</si>
  <si>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</si>
  <si>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</si>
  <si>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</si>
  <si>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</si>
  <si>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</si>
  <si>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</si>
  <si>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</si>
  <si>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</si>
  <si>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</si>
  <si>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</si>
  <si>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</si>
  <si>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</si>
  <si>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</si>
  <si>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</si>
  <si>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</si>
  <si>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</si>
  <si>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</si>
  <si>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</si>
  <si>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</si>
  <si>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</si>
  <si>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</si>
  <si>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</si>
  <si>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</si>
  <si>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</si>
  <si>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</si>
  <si>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</si>
  <si>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</si>
  <si>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</si>
  <si>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</si>
  <si>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</si>
  <si>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</si>
  <si>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</si>
  <si>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</si>
  <si>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</si>
  <si>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</si>
  <si>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</si>
  <si>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</si>
  <si>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</si>
  <si>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</si>
  <si>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</si>
  <si>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</si>
  <si>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</si>
  <si>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</si>
  <si>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</si>
  <si>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</si>
  <si>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</si>
  <si>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</si>
  <si>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</si>
  <si>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</si>
  <si>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</si>
  <si>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</si>
  <si>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</si>
  <si>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</si>
  <si>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</si>
  <si>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</si>
  <si>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</si>
  <si>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</si>
  <si>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</si>
  <si>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</si>
  <si>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</si>
  <si>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</si>
  <si>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</si>
  <si>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</si>
  <si>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</si>
  <si>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</si>
  <si>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</si>
  <si>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</si>
  <si>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</si>
  <si>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</si>
  <si>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</si>
  <si>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</si>
  <si>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</si>
  <si>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</si>
  <si>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</si>
  <si>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</si>
  <si>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</si>
  <si>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</si>
  <si>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</si>
  <si>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</si>
  <si>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</si>
  <si>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</si>
  <si>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</si>
  <si>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</si>
  <si>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</si>
  <si>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</si>
  <si>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</si>
  <si>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</si>
  <si>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</si>
  <si>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</si>
  <si>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</si>
  <si>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</si>
  <si>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</si>
  <si>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</si>
  <si>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</si>
  <si>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</si>
  <si>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</si>
  <si>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</si>
  <si>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</si>
  <si>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</si>
  <si>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</si>
  <si>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</si>
  <si>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</si>
  <si>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</si>
  <si>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</si>
  <si>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</si>
  <si>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</si>
  <si>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</si>
  <si>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</si>
  <si>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</si>
  <si>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</si>
  <si>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</si>
  <si>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</si>
  <si>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</si>
  <si>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</si>
  <si>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</si>
  <si>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</si>
  <si>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</si>
  <si>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</si>
  <si>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</si>
  <si>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</si>
  <si>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</si>
  <si>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</si>
  <si>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</si>
  <si>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</si>
  <si>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</si>
  <si>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</si>
  <si>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</si>
  <si>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</si>
  <si>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</si>
  <si>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</si>
  <si>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</si>
  <si>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</si>
  <si>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</si>
  <si>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</si>
  <si>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</si>
  <si>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</si>
  <si>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</si>
  <si>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</si>
  <si>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</si>
  <si>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</si>
  <si>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</si>
  <si>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</si>
  <si>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</si>
  <si>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</si>
  <si>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</si>
  <si>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</si>
  <si>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</si>
  <si>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</si>
  <si>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</si>
  <si>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</si>
  <si>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</si>
  <si>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</si>
  <si>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</si>
  <si>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</si>
  <si>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</si>
  <si>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</si>
  <si>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</si>
  <si>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</si>
  <si>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</si>
  <si>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</si>
  <si>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</si>
  <si>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</si>
  <si>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</si>
  <si>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</si>
  <si>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</si>
  <si>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</si>
  <si>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</si>
  <si>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</si>
  <si>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</si>
  <si>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</si>
  <si>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</si>
  <si>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</si>
  <si>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</si>
  <si>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</si>
  <si>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</si>
  <si>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</si>
  <si>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</si>
  <si>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</si>
  <si>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</si>
  <si>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</si>
  <si>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</si>
  <si>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</si>
  <si>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</si>
  <si>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</si>
  <si>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</si>
  <si>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</si>
  <si>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</si>
  <si>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</si>
  <si>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</si>
  <si>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</si>
  <si>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</si>
  <si>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</si>
  <si>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</si>
  <si>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</si>
  <si>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</si>
  <si>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</si>
  <si>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</si>
  <si>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</si>
  <si>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</si>
  <si>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</si>
  <si>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</si>
  <si>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</si>
  <si>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</si>
  <si>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</si>
  <si>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</si>
  <si>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</si>
  <si>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</si>
  <si>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</si>
  <si>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</si>
  <si>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</si>
  <si>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</si>
  <si>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</si>
  <si>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</si>
  <si>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</si>
  <si>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</si>
  <si>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</si>
  <si>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</si>
  <si>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</si>
  <si>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</si>
  <si>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</si>
  <si>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</si>
  <si>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</si>
  <si>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</si>
  <si>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</si>
  <si>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</si>
  <si>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</si>
  <si>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</si>
  <si>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</si>
  <si>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</si>
  <si>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</si>
  <si>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</si>
  <si>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</si>
  <si>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</si>
  <si>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</si>
  <si>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</si>
  <si>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</si>
  <si>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</si>
  <si>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</si>
  <si>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</si>
  <si>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</si>
  <si>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</si>
  <si>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</si>
  <si>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</si>
  <si>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</si>
  <si>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</si>
  <si>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</si>
  <si>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</si>
  <si>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</si>
  <si>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</si>
  <si>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</si>
  <si>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</si>
  <si>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</si>
  <si>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</si>
  <si>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</si>
  <si>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</si>
  <si>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</si>
  <si>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</si>
  <si>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</si>
  <si>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</si>
  <si>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</si>
  <si>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</si>
  <si>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</si>
  <si>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</si>
  <si>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</si>
  <si>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</si>
  <si>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</si>
  <si>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</si>
  <si>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</si>
  <si>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</si>
  <si>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</si>
  <si>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</si>
  <si>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</si>
  <si>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</si>
  <si>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</si>
  <si>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</si>
  <si>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</si>
  <si>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</si>
  <si>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</si>
  <si>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</si>
  <si>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</si>
  <si>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</si>
  <si>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</si>
  <si>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</si>
  <si>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</si>
  <si>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</si>
  <si>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</si>
  <si>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</si>
  <si>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</si>
  <si>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</si>
  <si>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</si>
  <si>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</si>
  <si>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</si>
  <si>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</si>
  <si>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</si>
  <si>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</si>
  <si>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</si>
  <si>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</si>
  <si>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</si>
  <si>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</si>
  <si>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</si>
  <si>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</si>
  <si>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</si>
  <si>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</si>
  <si>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</si>
  <si>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</si>
  <si>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</si>
  <si>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</si>
  <si>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</si>
  <si>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</si>
  <si>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</si>
  <si>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</si>
  <si>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</si>
  <si>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</si>
  <si>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</si>
  <si>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</si>
  <si>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</si>
  <si>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</si>
  <si>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</si>
  <si>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</si>
  <si>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</si>
  <si>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</si>
  <si>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</si>
  <si>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</si>
  <si>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</si>
  <si>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</si>
  <si>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</si>
  <si>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</si>
  <si>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</si>
  <si>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</si>
  <si>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</si>
  <si>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</si>
  <si>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</si>
  <si>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</si>
  <si>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</si>
  <si>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</si>
  <si>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</si>
  <si>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</si>
  <si>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</si>
  <si>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</si>
  <si>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</si>
  <si>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</si>
  <si>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</si>
  <si>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</si>
  <si>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</si>
  <si>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</si>
  <si>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</si>
  <si>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</si>
  <si>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</si>
  <si>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</si>
  <si>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</si>
  <si>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</si>
  <si>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</si>
  <si>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</si>
  <si>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</si>
  <si>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</si>
  <si>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</si>
  <si>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</si>
  <si>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</si>
  <si>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</si>
  <si>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</si>
  <si>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</si>
  <si>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</si>
  <si>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</si>
  <si>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</si>
  <si>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</si>
  <si>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</si>
  <si>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</si>
  <si>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</si>
  <si>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</si>
  <si>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</si>
  <si>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</si>
  <si>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</si>
  <si>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</si>
  <si>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</si>
  <si>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</si>
  <si>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</si>
  <si>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</si>
  <si>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</si>
  <si>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</si>
  <si>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</si>
  <si>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</si>
  <si>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</si>
  <si>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</si>
  <si>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</si>
  <si>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</si>
  <si>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</si>
  <si>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</si>
  <si>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</si>
  <si>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</si>
  <si>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</si>
  <si>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</si>
  <si>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</si>
  <si>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</si>
  <si>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</si>
  <si>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</si>
  <si>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</si>
  <si>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</si>
  <si>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</si>
  <si>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</si>
  <si>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</si>
  <si>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</si>
  <si>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</si>
  <si>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</si>
  <si>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</si>
  <si>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</si>
  <si>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</si>
  <si>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</si>
  <si>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</si>
  <si>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</si>
  <si>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</si>
  <si>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</si>
  <si>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</si>
  <si>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</si>
  <si>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</si>
  <si>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</si>
  <si>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</si>
  <si>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</si>
  <si>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</si>
  <si>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</si>
  <si>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</si>
  <si>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</si>
  <si>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</si>
  <si>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</si>
  <si>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</si>
  <si>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</si>
  <si>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</si>
  <si>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</si>
  <si>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</si>
  <si>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</si>
  <si>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</si>
  <si>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</si>
  <si>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</si>
  <si>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</si>
  <si>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</si>
  <si>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</si>
  <si>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</si>
  <si>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</si>
  <si>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</si>
  <si>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</si>
  <si>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</si>
  <si>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</si>
  <si>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</si>
  <si>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</si>
  <si>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</si>
  <si>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</si>
  <si>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</si>
  <si>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</si>
  <si>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</si>
  <si>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</si>
  <si>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</si>
  <si>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</si>
  <si>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</si>
  <si>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</si>
  <si>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</si>
  <si>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</si>
  <si>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</si>
  <si>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</si>
  <si>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</si>
  <si>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</si>
  <si>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</si>
  <si>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</si>
  <si>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</si>
  <si>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</si>
  <si>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</si>
  <si>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</si>
  <si>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</si>
  <si>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</si>
  <si>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</si>
  <si>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</si>
  <si>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</si>
  <si>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</si>
  <si>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</si>
  <si>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</si>
  <si>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</si>
  <si>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</si>
  <si>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</si>
  <si>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</si>
  <si>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</si>
  <si>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</si>
  <si>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</si>
  <si>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</si>
  <si>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</si>
  <si>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</si>
  <si>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</si>
  <si>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</si>
  <si>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</si>
  <si>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</si>
  <si>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</si>
  <si>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</si>
  <si>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</si>
  <si>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</si>
  <si>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</si>
  <si>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</si>
  <si>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</si>
  <si>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</si>
  <si>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</si>
  <si>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</si>
  <si>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</si>
  <si>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</si>
  <si>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</si>
  <si>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</si>
  <si>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</si>
  <si>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</si>
  <si>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</si>
  <si>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</si>
  <si>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</si>
  <si>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</si>
  <si>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</si>
  <si>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</si>
  <si>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</si>
  <si>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</si>
  <si>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</si>
  <si>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</si>
  <si>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</si>
  <si>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</si>
  <si>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</si>
  <si>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</si>
  <si>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</si>
  <si>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</si>
  <si>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</si>
  <si>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</si>
  <si>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</si>
  <si>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</si>
  <si>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</si>
  <si>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</si>
  <si>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</si>
  <si>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</si>
  <si>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</si>
  <si>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</si>
  <si>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</si>
  <si>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</si>
  <si>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</si>
  <si>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</si>
  <si>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</si>
  <si>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</si>
  <si>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</si>
  <si>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</si>
  <si>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</si>
  <si>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</si>
  <si>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</si>
  <si>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</si>
  <si>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</si>
  <si>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</si>
  <si>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</si>
  <si>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</si>
  <si>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</si>
  <si>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</si>
  <si>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</si>
  <si>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</si>
  <si>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</si>
  <si>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</si>
  <si>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</si>
  <si>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</si>
  <si>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</si>
  <si>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</si>
  <si>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</si>
  <si>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</si>
  <si>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</si>
  <si>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</si>
  <si>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</si>
  <si>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</si>
  <si>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</si>
  <si>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</si>
  <si>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</si>
  <si>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</si>
  <si>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</si>
  <si>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</si>
  <si>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</si>
  <si>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</si>
  <si>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</si>
  <si>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</si>
  <si>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</si>
  <si>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</si>
  <si>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</si>
  <si>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</si>
  <si>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</si>
  <si>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</si>
  <si>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</si>
  <si>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</si>
  <si>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</si>
  <si>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</si>
  <si>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</si>
  <si>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</si>
  <si>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</si>
  <si>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</si>
  <si>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</si>
  <si>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</si>
  <si>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</si>
  <si>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</si>
  <si>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</si>
  <si>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</si>
  <si>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</si>
  <si>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</si>
  <si>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</si>
  <si>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</si>
  <si>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</si>
  <si>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</si>
  <si>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</si>
  <si>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</si>
  <si>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</si>
  <si>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</si>
  <si>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</si>
  <si>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</si>
  <si>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</si>
  <si>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</si>
  <si>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</si>
  <si>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</si>
  <si>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</si>
  <si>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</si>
  <si>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</si>
  <si>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</si>
  <si>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</si>
  <si>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</si>
  <si>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</si>
  <si>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</si>
  <si>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</si>
  <si>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</si>
  <si>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</si>
  <si>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</si>
  <si>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</si>
  <si>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</si>
  <si>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</si>
  <si>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</si>
  <si>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</si>
  <si>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</si>
  <si>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</si>
  <si>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</si>
  <si>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</si>
  <si>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</si>
  <si>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</si>
  <si>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</si>
  <si>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</si>
  <si>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</si>
  <si>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</si>
  <si>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</si>
  <si>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</si>
  <si>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</si>
  <si>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</si>
  <si>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</si>
  <si>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</si>
  <si>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</si>
  <si>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</si>
  <si>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</si>
  <si>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</si>
  <si>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</si>
  <si>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</si>
  <si>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</si>
  <si>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</si>
  <si>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</si>
  <si>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</si>
  <si>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</si>
  <si>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</si>
  <si>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</si>
  <si>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</si>
  <si>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</si>
  <si>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</si>
  <si>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</si>
  <si>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</si>
  <si>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</si>
  <si>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</si>
  <si>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</si>
  <si>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</si>
  <si>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</si>
  <si>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</si>
  <si>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</si>
  <si>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</si>
  <si>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</si>
  <si>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</si>
  <si>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</si>
  <si>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</si>
  <si>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</si>
  <si>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</si>
  <si>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</si>
  <si>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</si>
  <si>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</si>
  <si>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</si>
  <si>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</si>
  <si>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</si>
  <si>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</si>
  <si>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</si>
  <si>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</si>
  <si>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</si>
  <si>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</si>
  <si>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</si>
  <si>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</si>
  <si>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</si>
  <si>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</si>
  <si>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</si>
  <si>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</si>
  <si>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</si>
  <si>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</si>
  <si>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</si>
  <si>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</si>
  <si>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</si>
  <si>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</si>
  <si>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</si>
  <si>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</si>
  <si>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</si>
  <si>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</si>
  <si>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</si>
  <si>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</si>
  <si>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</si>
  <si>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</si>
  <si>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</si>
  <si>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</si>
  <si>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</si>
  <si>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</si>
  <si>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</si>
  <si>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</si>
  <si>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</si>
  <si>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</si>
  <si>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</si>
  <si>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</si>
  <si>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</si>
  <si>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</si>
  <si>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</si>
  <si>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</si>
  <si>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</si>
  <si>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</si>
  <si>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</si>
  <si>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</si>
  <si>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</si>
  <si>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</si>
  <si>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</si>
  <si>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</si>
  <si>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</si>
  <si>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</si>
  <si>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</si>
  <si>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</si>
  <si>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</si>
  <si>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</si>
  <si>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</si>
  <si>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</si>
  <si>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</si>
  <si>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</si>
  <si>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</si>
  <si>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</si>
  <si>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</si>
  <si>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</si>
  <si>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</si>
  <si>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</si>
  <si>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</si>
  <si>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</si>
  <si>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</si>
  <si>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</si>
  <si>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</si>
  <si>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</si>
  <si>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</si>
  <si>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</si>
  <si>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</si>
  <si>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</si>
  <si>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</si>
  <si>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</si>
  <si>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</si>
  <si>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</si>
  <si>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</si>
  <si>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</si>
  <si>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</si>
  <si>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</si>
  <si>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</si>
  <si>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</si>
  <si>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</si>
  <si>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</si>
  <si>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</si>
  <si>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</si>
  <si>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</si>
  <si>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</si>
  <si>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</si>
  <si>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</si>
  <si>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</si>
  <si>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</si>
  <si>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</si>
  <si>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</si>
  <si>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</si>
  <si>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</si>
  <si>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</si>
  <si>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</si>
  <si>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</si>
  <si>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</si>
  <si>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</si>
  <si>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</si>
  <si>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</si>
  <si>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</si>
  <si>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</si>
  <si>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</si>
  <si>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</si>
  <si>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</si>
  <si>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</si>
  <si>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</si>
  <si>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</si>
  <si>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</si>
  <si>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</si>
  <si>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</si>
  <si>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</si>
  <si>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</si>
  <si>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</si>
  <si>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</si>
  <si>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</si>
  <si>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</si>
  <si>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</si>
  <si>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</si>
  <si>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</si>
  <si>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</si>
  <si>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</si>
  <si>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</si>
  <si>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</si>
  <si>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</si>
  <si>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</si>
  <si>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</si>
  <si>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</si>
  <si>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</si>
  <si>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</si>
  <si>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</si>
  <si>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</si>
  <si>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</si>
  <si>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</si>
  <si>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</si>
  <si>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</si>
  <si>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</si>
  <si>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</si>
  <si>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</si>
  <si>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</si>
  <si>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</si>
  <si>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</si>
  <si>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</si>
  <si>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</si>
  <si>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</si>
  <si>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</si>
  <si>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</si>
  <si>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</si>
  <si>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</si>
  <si>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</si>
  <si>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</si>
  <si>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</si>
  <si>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</si>
  <si>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</si>
  <si>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</si>
  <si>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</si>
  <si>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</si>
  <si>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</si>
  <si>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</si>
  <si>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</si>
  <si>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</si>
  <si>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</si>
  <si>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</si>
  <si>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</si>
  <si>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</si>
  <si>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</si>
  <si>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</si>
  <si>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</si>
  <si>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</si>
  <si>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</si>
  <si>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</si>
  <si>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</si>
  <si>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</si>
  <si>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</si>
  <si>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</si>
  <si>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</si>
  <si>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</si>
  <si>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</si>
  <si>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</si>
  <si>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</si>
  <si>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</si>
  <si>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</si>
  <si>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</si>
  <si>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</si>
  <si>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</si>
  <si>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</si>
  <si>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</si>
  <si>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</si>
  <si>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</si>
  <si>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</si>
  <si>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</si>
  <si>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</si>
  <si>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</si>
  <si>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</si>
  <si>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</si>
  <si>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</si>
  <si>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</si>
  <si>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</si>
  <si>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</si>
  <si>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</si>
  <si>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</si>
  <si>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</si>
  <si>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</si>
  <si>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</si>
  <si>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</si>
  <si>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</si>
  <si>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</si>
  <si>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</si>
  <si>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</si>
  <si>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</si>
  <si>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</si>
  <si>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</si>
  <si>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</si>
  <si>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</si>
  <si>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</si>
  <si>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</si>
  <si>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</si>
  <si>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</si>
  <si>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</si>
  <si>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</si>
  <si>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</si>
  <si>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</si>
  <si>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</si>
  <si>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</si>
  <si>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</si>
  <si>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</si>
  <si>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</si>
  <si>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</si>
  <si>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</si>
  <si>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</si>
  <si>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</si>
  <si>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</si>
  <si>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</si>
  <si>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</si>
  <si>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</si>
  <si>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</si>
  <si>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</si>
  <si>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</si>
  <si>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</si>
  <si>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</si>
  <si>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</si>
  <si>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</si>
  <si>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</si>
  <si>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</si>
  <si>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</si>
  <si>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</si>
  <si>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</si>
  <si>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</si>
  <si>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</si>
  <si>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</si>
  <si>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</si>
  <si>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</si>
  <si>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</si>
  <si>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</si>
  <si>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</si>
  <si>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</si>
  <si>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</si>
  <si>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</si>
  <si>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</si>
  <si>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</si>
  <si>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</si>
  <si>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</si>
  <si>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</si>
  <si>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</si>
  <si>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</si>
  <si>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</si>
  <si>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</si>
  <si>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</si>
  <si>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</si>
  <si>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</si>
  <si>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</si>
  <si>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</si>
  <si>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</si>
  <si>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</si>
  <si>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</si>
  <si>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</si>
  <si>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</si>
  <si>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</si>
  <si>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</si>
  <si>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</si>
  <si>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</si>
  <si>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</si>
  <si>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</si>
  <si>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</si>
  <si>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</si>
  <si>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</si>
  <si>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</si>
  <si>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</si>
  <si>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</si>
  <si>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</si>
  <si>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</si>
  <si>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</si>
  <si>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</si>
  <si>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</si>
  <si>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</si>
  <si>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</si>
  <si>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</si>
  <si>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</si>
  <si>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</si>
  <si>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</si>
  <si>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</si>
  <si>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</si>
  <si>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</si>
  <si>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</si>
  <si>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</si>
  <si>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</si>
  <si>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</si>
  <si>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</si>
  <si>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</si>
  <si>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</si>
  <si>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</si>
  <si>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</si>
  <si>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</si>
  <si>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</si>
  <si>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</si>
  <si>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</si>
  <si>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</si>
  <si>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</si>
  <si>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</si>
  <si>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</si>
  <si>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</si>
  <si>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</si>
  <si>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</si>
  <si>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</si>
  <si>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</si>
  <si>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</si>
  <si>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</si>
  <si>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</si>
  <si>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</si>
  <si>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</si>
  <si>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</si>
  <si>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</si>
  <si>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</si>
  <si>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</si>
  <si>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</si>
  <si>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</si>
  <si>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</si>
  <si>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</si>
  <si>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</si>
  <si>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</si>
  <si>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</si>
  <si>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</si>
  <si>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</si>
  <si>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</si>
  <si>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</si>
  <si>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</si>
  <si>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</si>
  <si>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</si>
  <si>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</si>
  <si>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</si>
  <si>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</si>
  <si>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</si>
  <si>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</si>
  <si>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</si>
  <si>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</si>
  <si>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</si>
  <si>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</si>
  <si>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</si>
  <si>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</si>
  <si>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</si>
  <si>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</si>
  <si>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</si>
  <si>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</si>
  <si>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</si>
  <si>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</si>
  <si>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</si>
  <si>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</si>
  <si>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</si>
  <si>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</si>
  <si>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</si>
  <si>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</si>
  <si>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</si>
  <si>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</si>
  <si>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</si>
  <si>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</si>
  <si>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</si>
  <si>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</si>
  <si>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</si>
  <si>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</si>
  <si>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</si>
  <si>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</si>
  <si>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</si>
  <si>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</si>
  <si>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</si>
  <si>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</si>
  <si>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</si>
  <si>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</si>
  <si>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</si>
  <si>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</si>
  <si>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</si>
  <si>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</si>
  <si>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</si>
  <si>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</si>
  <si>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</si>
  <si>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</si>
  <si>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</si>
  <si>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</si>
  <si>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</si>
  <si>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</si>
  <si>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</si>
  <si>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</si>
  <si>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</si>
  <si>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</si>
  <si>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</si>
  <si>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</si>
  <si>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</si>
  <si>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</si>
  <si>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</si>
  <si>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</si>
  <si>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</si>
  <si>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</si>
  <si>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</si>
  <si>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</si>
  <si>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</si>
  <si>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</si>
  <si>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</si>
  <si>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</si>
  <si>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</si>
  <si>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</si>
  <si>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</si>
  <si>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</si>
  <si>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</si>
  <si>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</si>
  <si>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</si>
  <si>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</si>
  <si>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</si>
  <si>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</si>
  <si>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</si>
  <si>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</si>
  <si>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</si>
  <si>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</si>
  <si>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</si>
  <si>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</si>
  <si>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</si>
  <si>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</si>
  <si>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</si>
  <si>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</si>
  <si>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</si>
  <si>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</si>
  <si>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</si>
  <si>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</si>
  <si>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</si>
  <si>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</si>
  <si>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</si>
  <si>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</si>
  <si>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</si>
  <si>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</si>
  <si>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</si>
  <si>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</si>
  <si>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</si>
  <si>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</si>
  <si>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</si>
  <si>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</si>
  <si>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</si>
  <si>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</si>
  <si>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</si>
  <si>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</si>
  <si>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</si>
  <si>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</si>
  <si>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</si>
  <si>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</si>
  <si>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</si>
  <si>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</si>
  <si>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</si>
  <si>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</si>
  <si>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</si>
  <si>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</si>
  <si>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</si>
  <si>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</si>
  <si>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</si>
  <si>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</si>
  <si>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</si>
  <si>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</si>
  <si>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</si>
  <si>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</si>
  <si>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</si>
  <si>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</si>
  <si>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</si>
  <si>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</si>
  <si>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</si>
  <si>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</si>
  <si>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</si>
  <si>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</si>
  <si>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</si>
  <si>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</si>
  <si>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</si>
  <si>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</si>
  <si>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</si>
  <si>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</si>
  <si>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</si>
  <si>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</si>
  <si>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</si>
  <si>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</si>
  <si>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</si>
  <si>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</si>
  <si>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</si>
  <si>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</si>
  <si>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</si>
  <si>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</si>
  <si>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</si>
  <si>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</si>
  <si>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</si>
  <si>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</si>
  <si>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</si>
  <si>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</si>
  <si>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</si>
  <si>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</si>
  <si>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</si>
  <si>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</si>
  <si>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</si>
  <si>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</si>
  <si>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</si>
  <si>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</si>
  <si>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</si>
  <si>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</si>
  <si>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</si>
  <si>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</si>
  <si>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</si>
  <si>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</si>
  <si>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</si>
  <si>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</si>
  <si>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</si>
  <si>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</si>
  <si>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</si>
  <si>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</si>
  <si>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</si>
  <si>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</si>
  <si>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</si>
  <si>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</si>
  <si>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</si>
  <si>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</si>
  <si>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</si>
  <si>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</si>
  <si>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</si>
  <si>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</si>
  <si>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</si>
  <si>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</si>
  <si>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</si>
  <si>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</si>
  <si>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</si>
  <si>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</si>
  <si>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</si>
  <si>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</si>
  <si>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</si>
  <si>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</si>
  <si>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</si>
  <si>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</si>
  <si>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</si>
  <si>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</si>
  <si>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</si>
  <si>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</si>
  <si>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</si>
  <si>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</si>
  <si>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</si>
  <si>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</si>
  <si>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</si>
  <si>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</si>
  <si>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</si>
  <si>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</si>
  <si>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</si>
  <si>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</si>
  <si>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</si>
  <si>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</si>
  <si>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</si>
  <si>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</si>
  <si>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</si>
  <si>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</si>
  <si>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</si>
  <si>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</si>
  <si>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</si>
  <si>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</si>
  <si>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</si>
  <si>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</si>
  <si>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</si>
  <si>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</si>
  <si>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</si>
  <si>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</si>
  <si>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</si>
  <si>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</si>
  <si>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</si>
  <si>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</si>
  <si>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</si>
  <si>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</si>
  <si>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</si>
  <si>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</si>
  <si>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</si>
  <si>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</si>
  <si>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</si>
  <si>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</si>
  <si>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</si>
  <si>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</si>
  <si>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</si>
  <si>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</si>
  <si>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</si>
  <si>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</si>
  <si>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</si>
  <si>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</si>
  <si>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</si>
  <si>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</si>
  <si>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</si>
  <si>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</si>
  <si>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</si>
  <si>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</si>
  <si>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</si>
  <si>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</si>
  <si>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</si>
  <si>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</si>
  <si>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</si>
  <si>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</si>
  <si>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</si>
  <si>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</si>
  <si>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</si>
  <si>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</si>
  <si>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</si>
  <si>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</si>
  <si>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</si>
  <si>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</si>
  <si>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</si>
  <si>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</si>
  <si>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</si>
  <si>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</si>
  <si>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</si>
  <si>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</si>
  <si>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</si>
  <si>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</si>
  <si>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</si>
  <si>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</si>
  <si>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</si>
  <si>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</si>
  <si>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</si>
  <si>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</si>
  <si>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</si>
  <si>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</si>
  <si>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</si>
  <si>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</si>
  <si>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</si>
  <si>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</si>
  <si>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</si>
  <si>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</si>
  <si>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</si>
  <si>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</si>
  <si>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</si>
  <si>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</si>
  <si>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</si>
  <si>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</si>
  <si>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</si>
  <si>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</si>
  <si>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</si>
  <si>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</si>
  <si>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</si>
  <si>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</si>
  <si>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</si>
  <si>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</si>
  <si>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</si>
  <si>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</si>
  <si>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</si>
  <si>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</si>
  <si>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</si>
  <si>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</si>
  <si>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</si>
  <si>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</si>
  <si>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</si>
  <si>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</si>
  <si>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</si>
  <si>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</si>
  <si>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</si>
  <si>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</si>
  <si>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</si>
  <si>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</si>
  <si>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</si>
  <si>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</si>
  <si>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</si>
  <si>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</si>
  <si>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</si>
  <si>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</si>
  <si>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</si>
  <si>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</si>
  <si>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</si>
  <si>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</si>
  <si>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</si>
  <si>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</si>
  <si>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</si>
  <si>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</si>
  <si>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</si>
  <si>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</si>
  <si>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</si>
  <si>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</si>
  <si>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</si>
  <si>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</si>
  <si>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</si>
  <si>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</si>
  <si>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</si>
  <si>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</si>
  <si>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</si>
  <si>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</si>
  <si>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</si>
  <si>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</si>
  <si>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</si>
  <si>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</si>
  <si>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</si>
  <si>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</si>
  <si>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</si>
  <si>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</si>
  <si>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</si>
  <si>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</si>
  <si>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</si>
  <si>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</si>
  <si>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</si>
  <si>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</si>
  <si>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</si>
  <si>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</si>
  <si>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</si>
  <si>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</si>
  <si>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</si>
  <si>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</si>
  <si>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</si>
  <si>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</si>
  <si>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</si>
  <si>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</si>
  <si>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</si>
  <si>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</si>
  <si>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</si>
  <si>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</si>
  <si>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</si>
  <si>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</si>
  <si>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</si>
  <si>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</si>
  <si>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</si>
  <si>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</si>
  <si>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</si>
  <si>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</si>
  <si>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</si>
  <si>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</si>
  <si>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</si>
  <si>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</si>
  <si>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</si>
  <si>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</si>
  <si>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</si>
  <si>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</si>
  <si>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</si>
  <si>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</si>
  <si>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</si>
  <si>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</si>
  <si>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</si>
  <si>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</si>
  <si>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</si>
  <si>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</si>
  <si>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</si>
  <si>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</si>
  <si>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</si>
  <si>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</si>
  <si>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</si>
  <si>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</si>
  <si>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</si>
  <si>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</si>
  <si>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</si>
  <si>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</si>
  <si>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</si>
  <si>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</si>
  <si>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</si>
  <si>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</si>
  <si>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</si>
  <si>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</si>
  <si>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</si>
  <si>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</si>
  <si>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</si>
  <si>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</si>
  <si>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</si>
  <si>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</si>
  <si>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</si>
  <si>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</si>
  <si>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</si>
  <si>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</si>
  <si>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</si>
  <si>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</si>
  <si>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</si>
  <si>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</si>
  <si>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</si>
  <si>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</si>
  <si>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</si>
  <si>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</si>
  <si>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</si>
  <si>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</si>
  <si>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</si>
  <si>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</si>
  <si>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</si>
  <si>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</si>
  <si>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</si>
  <si>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</si>
  <si>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</si>
  <si>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</si>
  <si>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</si>
  <si>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</si>
  <si>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</si>
  <si>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</si>
  <si>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</si>
  <si>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</si>
  <si>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</si>
  <si>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</si>
  <si>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</si>
  <si>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</si>
  <si>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</si>
  <si>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</si>
  <si>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</si>
  <si>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</si>
  <si>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</si>
  <si>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</si>
  <si>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</si>
  <si>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</si>
  <si>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</si>
  <si>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</si>
  <si>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</si>
  <si>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</si>
  <si>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</si>
  <si>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</si>
  <si>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</si>
  <si>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</si>
  <si>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</si>
  <si>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</si>
  <si>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</si>
  <si>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</si>
  <si>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</si>
  <si>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</si>
  <si>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</si>
  <si>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</si>
  <si>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</si>
  <si>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</si>
  <si>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</si>
  <si>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</si>
  <si>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</si>
  <si>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</si>
  <si>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</si>
  <si>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</si>
  <si>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</si>
  <si>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</si>
  <si>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</si>
  <si>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</si>
  <si>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</si>
  <si>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</si>
  <si>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</si>
  <si>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</si>
  <si>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</si>
  <si>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</si>
  <si>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</si>
  <si>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</si>
  <si>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</si>
  <si>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</si>
  <si>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</si>
  <si>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</si>
  <si>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</si>
  <si>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</si>
  <si>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</si>
  <si>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</si>
  <si>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</si>
  <si>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</si>
  <si>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</si>
  <si>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</si>
  <si>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</si>
  <si>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</si>
  <si>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</si>
  <si>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</si>
  <si>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</si>
  <si>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</si>
  <si>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</si>
  <si>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</si>
  <si>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</si>
  <si>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</si>
  <si>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</si>
  <si>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</si>
  <si>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</si>
  <si>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</si>
  <si>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</si>
  <si>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</si>
  <si>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</si>
  <si>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</si>
  <si>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</si>
  <si>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</si>
  <si>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</si>
  <si>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</si>
  <si>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</si>
  <si>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</si>
  <si>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</si>
  <si>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</si>
  <si>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</si>
  <si>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</si>
  <si>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</si>
  <si>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</si>
  <si>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</si>
  <si>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</si>
  <si>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</si>
  <si>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</si>
  <si>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</si>
  <si>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</si>
  <si>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</si>
  <si>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</si>
  <si>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</si>
  <si>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</si>
  <si>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</si>
  <si>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</si>
  <si>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</si>
  <si>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</si>
  <si>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</si>
  <si>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</si>
  <si>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</si>
  <si>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</si>
  <si>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</si>
  <si>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</si>
  <si>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</si>
  <si>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</si>
  <si>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</si>
  <si>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</si>
  <si>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</si>
  <si>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</si>
  <si>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</si>
  <si>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</si>
  <si>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</si>
  <si>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</si>
  <si>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</si>
  <si>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</si>
  <si>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</si>
  <si>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</si>
  <si>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</si>
  <si>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</si>
  <si>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</si>
  <si>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</si>
  <si>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</si>
  <si>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</si>
  <si>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</si>
  <si>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</si>
  <si>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</si>
  <si>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</si>
  <si>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</si>
  <si>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</si>
  <si>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</si>
  <si>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</si>
  <si>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</si>
  <si>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</si>
  <si>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</si>
  <si>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</si>
  <si>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</si>
  <si>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</si>
  <si>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</si>
  <si>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</si>
  <si>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</si>
  <si>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</si>
  <si>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</si>
  <si>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</si>
  <si>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</si>
  <si>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</si>
  <si>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</si>
  <si>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</si>
  <si>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</si>
  <si>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</si>
  <si>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</si>
  <si>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</si>
  <si>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</si>
  <si>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</si>
  <si>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</si>
  <si>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</si>
  <si>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</si>
  <si>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</si>
  <si>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</si>
  <si>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</si>
  <si>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</si>
  <si>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</si>
  <si>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</si>
  <si>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</si>
  <si>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</si>
  <si>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</si>
  <si>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</si>
  <si>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</si>
  <si>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</si>
  <si>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</si>
  <si>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</si>
  <si>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</si>
  <si>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</si>
  <si>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</si>
  <si>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</si>
  <si>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</si>
  <si>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</si>
  <si>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</si>
  <si>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</si>
  <si>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</si>
  <si>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</si>
  <si>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</si>
  <si>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</si>
  <si>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</si>
  <si>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</si>
  <si>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</si>
  <si>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</si>
  <si>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</si>
  <si>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</si>
  <si>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</si>
  <si>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</si>
  <si>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</si>
  <si>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</si>
  <si>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</si>
  <si>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</si>
  <si>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</si>
  <si>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</si>
  <si>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</si>
  <si>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</si>
  <si>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</si>
  <si>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</si>
  <si>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</si>
  <si>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</si>
  <si>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</si>
  <si>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</si>
  <si>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</si>
  <si>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</si>
  <si>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</si>
  <si>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</si>
  <si>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</si>
  <si>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</si>
  <si>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</si>
  <si>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</si>
  <si>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</si>
  <si>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</si>
  <si>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</si>
  <si>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</si>
  <si>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</si>
  <si>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</si>
  <si>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</si>
  <si>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</si>
  <si>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</si>
  <si>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</si>
  <si>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</si>
  <si>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</si>
  <si>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</si>
  <si>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</si>
  <si>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</si>
  <si>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</si>
  <si>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</si>
  <si>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</si>
  <si>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</si>
  <si>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</si>
  <si>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</si>
  <si>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</si>
  <si>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</si>
  <si>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</si>
  <si>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</si>
  <si>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</si>
  <si>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</si>
  <si>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</si>
  <si>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</si>
  <si>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</si>
  <si>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</si>
  <si>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</si>
  <si>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</si>
  <si>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</si>
  <si>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</si>
  <si>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</si>
  <si>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</si>
  <si>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</si>
  <si>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</si>
  <si>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</si>
  <si>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</si>
  <si>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</si>
  <si>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</si>
  <si>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</si>
  <si>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</si>
  <si>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</si>
  <si>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</si>
  <si>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</si>
  <si>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</si>
  <si>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</si>
  <si>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</si>
  <si>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</si>
  <si>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</si>
  <si>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</si>
  <si>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</si>
  <si>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</si>
  <si>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</si>
  <si>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</si>
  <si>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</si>
  <si>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</si>
  <si>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</si>
  <si>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</si>
  <si>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</si>
  <si>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</si>
  <si>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</si>
  <si>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</si>
  <si>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</si>
  <si>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</si>
  <si>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</si>
  <si>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</si>
  <si>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</si>
  <si>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</si>
  <si>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</si>
  <si>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</si>
  <si>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</si>
  <si>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</si>
  <si>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</si>
  <si>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</si>
  <si>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</si>
  <si>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</si>
  <si>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</si>
  <si>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</si>
  <si>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</si>
  <si>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</si>
  <si>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</si>
  <si>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</si>
  <si>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</si>
  <si>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</si>
  <si>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</si>
  <si>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</si>
  <si>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</si>
  <si>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</si>
  <si>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</si>
  <si>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</si>
  <si>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</si>
  <si>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</si>
  <si>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</si>
  <si>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</si>
  <si>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</si>
  <si>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</si>
  <si>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</si>
  <si>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</si>
  <si>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</si>
  <si>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</si>
  <si>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</si>
  <si>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</si>
  <si>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</si>
  <si>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</si>
  <si>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</si>
  <si>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</si>
  <si>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</si>
  <si>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</si>
  <si>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</si>
  <si>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</si>
  <si>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</si>
  <si>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</si>
  <si>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</si>
  <si>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</si>
  <si>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</si>
  <si>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</si>
  <si>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</si>
  <si>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</si>
  <si>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</si>
  <si>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</si>
  <si>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</si>
  <si>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</si>
  <si>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</si>
  <si>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</si>
  <si>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</si>
  <si>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</si>
  <si>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</si>
  <si>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</si>
  <si>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</si>
  <si>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</si>
  <si>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</si>
  <si>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</si>
  <si>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</si>
  <si>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</si>
  <si>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</si>
  <si>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</si>
  <si>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</si>
  <si>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</si>
  <si>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</si>
  <si>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</si>
  <si>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</si>
  <si>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</si>
  <si>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</si>
  <si>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</si>
  <si>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</si>
  <si>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</si>
  <si>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</si>
  <si>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</si>
  <si>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</si>
  <si>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</si>
  <si>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</si>
  <si>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</si>
  <si>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</si>
  <si>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</si>
  <si>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</si>
  <si>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</si>
  <si>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</si>
  <si>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</si>
  <si>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</si>
  <si>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</si>
  <si>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</si>
  <si>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</si>
  <si>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</si>
  <si>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</si>
  <si>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</si>
  <si>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</si>
  <si>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</si>
  <si>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</si>
  <si>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</si>
  <si>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</si>
  <si>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</si>
  <si>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</si>
  <si>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</si>
  <si>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</si>
  <si>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</si>
  <si>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</si>
  <si>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</si>
  <si>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</si>
  <si>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</si>
  <si>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</si>
  <si>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</si>
  <si>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</si>
  <si>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</si>
  <si>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</si>
  <si>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</si>
  <si>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</si>
  <si>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</si>
  <si>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</si>
  <si>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</si>
  <si>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</si>
  <si>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</si>
  <si>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</si>
  <si>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</si>
  <si>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</si>
  <si>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</si>
  <si>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</si>
  <si>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</si>
  <si>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</si>
  <si>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</si>
  <si>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</si>
  <si>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</si>
  <si>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</si>
  <si>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</si>
  <si>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</si>
  <si>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</si>
  <si>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</si>
  <si>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</si>
  <si>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</si>
  <si>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</si>
  <si>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</si>
  <si>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</si>
  <si>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</si>
  <si>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</si>
  <si>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</si>
  <si>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</si>
  <si>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</si>
  <si>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</si>
  <si>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</si>
  <si>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</si>
  <si>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</si>
  <si>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</si>
  <si>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</si>
  <si>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</si>
  <si>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</si>
  <si>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</si>
  <si>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</si>
  <si>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</si>
  <si>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</si>
  <si>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</si>
  <si>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</si>
  <si>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</si>
  <si>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</si>
  <si>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</si>
  <si>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</si>
  <si>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</si>
  <si>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</si>
  <si>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</si>
  <si>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</si>
  <si>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</si>
  <si>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</si>
  <si>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</si>
  <si>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</si>
  <si>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</si>
  <si>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</si>
  <si>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</si>
  <si>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</si>
  <si>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</si>
  <si>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</si>
  <si>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</si>
  <si>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</si>
  <si>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</si>
  <si>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</si>
  <si>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</si>
  <si>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</si>
  <si>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</si>
  <si>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</si>
  <si>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</si>
  <si>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</si>
  <si>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</si>
  <si>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</si>
  <si>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</si>
  <si>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</si>
  <si>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</si>
  <si>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</si>
  <si>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</si>
  <si>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</si>
  <si>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</si>
  <si>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</si>
  <si>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</si>
  <si>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</si>
  <si>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</si>
  <si>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</si>
  <si>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</si>
  <si>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</si>
  <si>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</si>
  <si>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</si>
  <si>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</si>
  <si>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</si>
  <si>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</si>
  <si>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</si>
  <si>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</si>
  <si>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</si>
  <si>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</si>
  <si>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</si>
  <si>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</si>
  <si>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SAILORS222</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</si>
  <si>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</si>
  <si>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</si>
  <si>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</si>
  <si>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</si>
  <si>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</si>
  <si>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</si>
  <si>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</si>
  <si>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</si>
  <si>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</si>
  <si>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</si>
  <si>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</si>
  <si>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</si>
  <si>
    <t>遊戲大廳右上角三條線「選單」</t>
    <phoneticPr fontId="2" type="noConversion"/>
  </si>
  <si>
    <t>點進帳號後點「優惠券」</t>
    <phoneticPr fontId="2" type="noConversion"/>
  </si>
  <si>
    <t>N6AHWPEK</t>
    <phoneticPr fontId="2" type="noConversion"/>
  </si>
  <si>
    <t>S9YDQF4U</t>
    <phoneticPr fontId="2" type="noConversion"/>
  </si>
  <si>
    <t>Z83JCLYF</t>
    <phoneticPr fontId="2" type="noConversion"/>
  </si>
  <si>
    <t>GRANDLAUNCH100</t>
    <phoneticPr fontId="2" type="noConversion"/>
  </si>
  <si>
    <t>RM5TGXD2</t>
    <phoneticPr fontId="2" type="noConversion"/>
  </si>
  <si>
    <t>GLOBAL333</t>
    <phoneticPr fontId="2" type="noConversion"/>
  </si>
  <si>
    <t>SAILORSBROW</t>
    <phoneticPr fontId="2" type="noConversion"/>
  </si>
  <si>
    <t>SAILORSPSY</t>
    <phoneticPr fontId="2" type="noConversion"/>
  </si>
  <si>
    <t>STARLAUNCH444</t>
    <phoneticPr fontId="2" type="noConversion"/>
  </si>
  <si>
    <t>ADVENTURE555</t>
    <phoneticPr fontId="2" type="noConversion"/>
  </si>
  <si>
    <t>SAILORSAYI</t>
    <phoneticPr fontId="2" type="noConversion"/>
  </si>
  <si>
    <t>SAILORSDH</t>
    <phoneticPr fontId="2" type="noConversion"/>
  </si>
  <si>
    <t>蟋蟀江湖</t>
    <phoneticPr fontId="2" type="noConversion"/>
  </si>
  <si>
    <t>https://www.facebook.com/profile.php?id=61587398828535</t>
  </si>
  <si>
    <t>https://apps.apple.com/tw/app/%E8%9F%8B%E8%9F%80%E6%B1%9F%E6%B9%96/id6780728088</t>
  </si>
  <si>
    <t>https://play.google.com/store/apps/details?id=com.newtv.cricketduel&amp;hl=zh_TW</t>
  </si>
  <si>
    <t>《蟋蟀江湖》是一款正宗還原中國經典鬥蟲文化的模擬經營養成手遊。玩家將從普通的捕蟲少年做起，深入荒草古宅尋覓名蟲異種，親手培育出橫掃擂台的專屬蟲王，體驗豐富的蟋蟀策略對戰。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t>
    <phoneticPr fontId="2" type="noConversion"/>
  </si>
  <si>
    <t>星海奇航</t>
    <phoneticPr fontId="2" type="noConversion"/>
  </si>
  <si>
    <t>天命：六道輪迴</t>
    <phoneticPr fontId="2" type="noConversion"/>
  </si>
  <si>
    <t>屍傅別追我：泰多鬼啦</t>
    <phoneticPr fontId="2" type="noConversion"/>
  </si>
  <si>
    <t>地獄重生</t>
    <phoneticPr fontId="2" type="noConversion"/>
  </si>
  <si>
    <t>獨步仙途</t>
    <phoneticPr fontId="2" type="noConversion"/>
  </si>
  <si>
    <t>https://play.google.com/store/apps/details?id=com.f2cz.gptw&amp;referrer=utm_source%3Dgamer.com.tw%26utm_campaign%3Dgnn</t>
  </si>
  <si>
    <t>https://www.facebook.com/groups/1302803731929318/user/61590392013236/</t>
  </si>
  <si>
    <t>https://apps.apple.com/tw/app/%E5%A4%A9%E5%91%BD-%E5%85%AD%E9%81%93%E8%BC%AA%E8%BF%B4/id6785414379</t>
  </si>
  <si>
    <t>https://spg.ftwore.com/preorder/warp?fbclid=IwY2xjawTC17JleHRuA2FlbQIxMABicmlkETF3UzQzUkVrNmJHZDhYUm5hc3J0YwZhcHBfaWQQMjIyMDM5MTc4ODIwMDg5MgABHoip9Hty2Cxc_BY3k2loziz3Hz7lHbU52n3qaNPykhjgVg96Y57-FZ1jFEdg_aem_CbfINbZzOce_BoxiKodh2w</t>
  </si>
  <si>
    <t>https://www.facebook.com/Samsara060/</t>
  </si>
  <si>
    <t>https://play.google.com/store/apps/details?id=com.xhqhgame.lz&amp;fbclid=IwY2xjawTC149leHRuA2FlbQIxMABicmlkETF3UzQzUkVrNmJHZDhYUm5hc3J0YwZhcHBfaWQQMjIyMDM5MTc4ODIwMDg5MgABHr1V01haEaF0nr5984Ffig5llW7I24Ih7qiaG0WaeSpOSjvZI1cb3jzfKcMZ_aem_cpGTWpHf7ibl-CMPWfzqbw</t>
  </si>
  <si>
    <t>https://www.facebook.com/xhqhTW/?locale=zh_TW</t>
  </si>
  <si>
    <t>https://apps.apple.com/us/app/%E6%98%9F%E6%B5%B7%E5%A5%87%E8%88%AA/id6759698547</t>
  </si>
  <si>
    <t>https://play.google.com/store/apps/details?id=com.warlockmydz.gp</t>
  </si>
  <si>
    <t>https://apps.apple.com/tw/app/%E5%B1%8D%E5%82%85%E5%88%A5%E8%BF%BD%E6%88%91-%E6%B3%B0%E5%A4%9A%E9%AC%BC%E5%95%A6/id6779586279?l=en-GB</t>
  </si>
  <si>
    <t>https://pre-yuan.lumicvault.com/pre09/</t>
  </si>
  <si>
    <t>https://apps.apple.com/tw/app/%E5%9C%B0%E7%8D%84%E9%87%8D%E7%94%9F/id6767488876</t>
  </si>
  <si>
    <t>https://play.google.com/store/apps/details?id=com.naddic.iamdead</t>
  </si>
  <si>
    <t>http://naddic.com/closers/en/index.html</t>
  </si>
  <si>
    <t>https://www.facebook.com/profile.php?id=61584792475549#</t>
  </si>
  <si>
    <t>https://apps.apple.com/tw/app/%E7%8D%A8%E6%AD%A5%E4%BB%99%E9%80%94/id6756418491</t>
  </si>
  <si>
    <t>https://play.google.com/store/apps/details?id=com.mountain.road.top&amp;hl=zh_TW</t>
  </si>
  <si>
    <t>https://www.facebook.com/sepiaera</t>
  </si>
  <si>
    <t>https://play.google.com/store/apps/details?id=com.erasepia.nd&amp;hl=zh_TW</t>
  </si>
  <si>
    <t>https://apps.apple.com/mo/app/%E8%A4%AA%E8%89%B2%E7%95%8C%E5%9F%9F-%E7%91%9F%E5%8C%B9%E4%BA%9E/id6738079182</t>
  </si>
  <si>
    <t>https://apps.apple.com/tw/app/%E5%88%83%E8%88%87%E4%B8%89%E5%9C%8B-%E7%83%BD%E7%81%AB%E7%88%AD%E9%9C%B8/id6769617371</t>
  </si>
  <si>
    <t>https://www.facebook.com/profile.php?id=61578478004073#</t>
  </si>
  <si>
    <t>https://play.google.com/store/apps/details?id=com.starutopia.global&amp;hl=zh_TW</t>
  </si>
  <si>
    <t>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t>
    <phoneticPr fontId="2" type="noConversion"/>
  </si>
  <si>
    <t>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t>
    <phoneticPr fontId="2" type="noConversion"/>
  </si>
  <si>
    <t>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t>
    <phoneticPr fontId="2" type="noConversion"/>
  </si>
  <si>
    <t>《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t>
    <phoneticPr fontId="2" type="noConversion"/>
  </si>
  <si>
    <t>《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t>
    <phoneticPr fontId="2" type="noConversion"/>
  </si>
  <si>
    <t>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t>
    <phoneticPr fontId="2" type="noConversion"/>
  </si>
  <si>
    <t>《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t>
    <phoneticPr fontId="2" type="noConversion"/>
  </si>
  <si>
    <t>褪色界域：瑟匹亞</t>
    <phoneticPr fontId="2" type="noConversion"/>
  </si>
  <si>
    <t>刃與三國：烽火爭霸</t>
    <phoneticPr fontId="2" type="noConversion"/>
  </si>
  <si>
    <t>WELCOMbH608</t>
    <phoneticPr fontId="2" type="noConversion"/>
  </si>
  <si>
    <t>SVIP6666</t>
    <phoneticPr fontId="2" type="noConversion"/>
  </si>
  <si>
    <t>SVIP7777</t>
    <phoneticPr fontId="2" type="noConversion"/>
  </si>
  <si>
    <t>SVIP8888</t>
    <phoneticPr fontId="2" type="noConversion"/>
  </si>
  <si>
    <t>happy555</t>
    <phoneticPr fontId="2" type="noConversion"/>
  </si>
  <si>
    <t>happy333</t>
    <phoneticPr fontId="2" type="noConversion"/>
  </si>
  <si>
    <t>FM6666</t>
    <phoneticPr fontId="2" type="noConversion"/>
  </si>
  <si>
    <t>happy789</t>
    <phoneticPr fontId="2" type="noConversion"/>
  </si>
  <si>
    <t>happy678</t>
    <phoneticPr fontId="2" type="noConversion"/>
  </si>
  <si>
    <t>FIFA0611</t>
    <phoneticPr fontId="2" type="noConversion"/>
  </si>
  <si>
    <t>Half66</t>
    <phoneticPr fontId="2" type="noConversion"/>
  </si>
  <si>
    <t>happy456</t>
    <phoneticPr fontId="2" type="noConversion"/>
  </si>
  <si>
    <t>week66</t>
    <phoneticPr fontId="2" type="noConversion"/>
  </si>
  <si>
    <t>children0601</t>
    <phoneticPr fontId="2" type="noConversion"/>
  </si>
  <si>
    <t>happy123</t>
    <phoneticPr fontId="2" type="noConversion"/>
  </si>
  <si>
    <t>我在江湖開後宮</t>
    <phoneticPr fontId="2" type="noConversion"/>
  </si>
  <si>
    <t>https://www.facebook.com/kingsharem/?locale=zh_CN</t>
  </si>
  <si>
    <t>https://play.google.com/store/apps/details?id=com.gp.jhrm.happytime&amp;hl=zh_TW</t>
  </si>
  <si>
    <t>https://apps.apple.com/tw/app/%E6%88%91%E5%9C%A8%E6%B1%9F%E6%B9%96%E9%96%8B%E5%BE%8C%E5%AE%AE/id6760341518</t>
  </si>
  <si>
    <t>1680元寶</t>
  </si>
  <si>
    <t>400元寶</t>
  </si>
  <si>
    <t>遊戲主畫面左上方「頭像」</t>
    <phoneticPr fontId="2" type="noConversion"/>
  </si>
  <si>
    <t>點「兌換碼」進去</t>
    <phoneticPr fontId="2" type="noConversion"/>
  </si>
  <si>
    <t>FB6789</t>
    <phoneticPr fontId="2" type="noConversion"/>
  </si>
  <si>
    <t>WEjFSDmXV9</t>
    <phoneticPr fontId="2" type="noConversion"/>
  </si>
  <si>
    <t>進到設定後點「禮包/兌換」碼</t>
    <phoneticPr fontId="2" type="noConversion"/>
  </si>
  <si>
    <t>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t>
    <phoneticPr fontId="2" type="noConversion"/>
  </si>
  <si>
    <t>主畫面右上角「福利大廳」</t>
    <phoneticPr fontId="2" type="noConversion"/>
  </si>
  <si>
    <t>點兌換碼</t>
    <phoneticPr fontId="2" type="noConversion"/>
  </si>
  <si>
    <t>CCCC</t>
    <phoneticPr fontId="2" type="noConversion"/>
  </si>
  <si>
    <t>BBBB</t>
    <phoneticPr fontId="2" type="noConversion"/>
  </si>
  <si>
    <t>AAAA</t>
    <phoneticPr fontId="2" type="noConversion"/>
  </si>
  <si>
    <t>GOOD666</t>
    <phoneticPr fontId="2" type="noConversion"/>
  </si>
  <si>
    <t>RPG666</t>
    <phoneticPr fontId="2" type="noConversion"/>
  </si>
  <si>
    <t>MOON2026</t>
    <phoneticPr fontId="2" type="noConversion"/>
  </si>
  <si>
    <t>MOON888</t>
    <phoneticPr fontId="2" type="noConversion"/>
  </si>
  <si>
    <t>MOON777</t>
    <phoneticPr fontId="2" type="noConversion"/>
  </si>
  <si>
    <t>MOON666</t>
    <phoneticPr fontId="2" type="noConversion"/>
  </si>
  <si>
    <t>VIP1314</t>
    <phoneticPr fontId="2" type="noConversion"/>
  </si>
  <si>
    <t>SVIP999</t>
    <phoneticPr fontId="2" type="noConversion"/>
  </si>
  <si>
    <t>VIP888</t>
    <phoneticPr fontId="2" type="noConversion"/>
  </si>
  <si>
    <t>VIP777</t>
    <phoneticPr fontId="2" type="noConversion"/>
  </si>
  <si>
    <t>VIP666</t>
    <phoneticPr fontId="2" type="noConversion"/>
  </si>
  <si>
    <t>COMING3</t>
    <phoneticPr fontId="2" type="noConversion"/>
  </si>
  <si>
    <t>COMING2</t>
    <phoneticPr fontId="2" type="noConversion"/>
  </si>
  <si>
    <t>BEST748</t>
    <phoneticPr fontId="2" type="noConversion"/>
  </si>
  <si>
    <t>BLADEWAR2026</t>
    <phoneticPr fontId="2" type="noConversion"/>
  </si>
  <si>
    <t>點左上角的「頭像」</t>
    <phoneticPr fontId="2" type="noConversion"/>
  </si>
  <si>
    <t>進到腳色畫面後點右上方「設定」</t>
    <phoneticPr fontId="2" type="noConversion"/>
  </si>
  <si>
    <t>猛鬼三國</t>
    <phoneticPr fontId="2" type="noConversion"/>
  </si>
  <si>
    <t>https://spg.sgkds.com/preorder/warp</t>
  </si>
  <si>
    <t>https://www.facebook.com/ghost3kds/</t>
  </si>
  <si>
    <t>https://apps.apple.com/tw/app/%E7%8C%9B%E9%AC%BC%E4%B8%89%E5%9C%8B/id6774434587</t>
  </si>
  <si>
    <t>https://play.google.com/store/apps/details?id=com.kfive.gptw&amp;referrer=utm_source%3Dgamer.com.tw%26utm_campaign%3Dgnn</t>
  </si>
  <si>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</si>
  <si>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</si>
  <si>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</si>
  <si>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</si>
  <si>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</si>
  <si>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60元寶</t>
    <phoneticPr fontId="2" type="noConversion"/>
  </si>
  <si>
    <t>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t>
    <phoneticPr fontId="2" type="noConversion"/>
  </si>
  <si>
    <t>大航海：怒海遠征</t>
    <phoneticPr fontId="2" type="noConversion"/>
  </si>
  <si>
    <t>650紅鑽</t>
    <phoneticPr fontId="2" type="noConversion"/>
  </si>
  <si>
    <t>328紅鑽</t>
    <phoneticPr fontId="2" type="noConversion"/>
  </si>
  <si>
    <t>198紅鑽</t>
    <phoneticPr fontId="2" type="noConversion"/>
  </si>
  <si>
    <t>128紅鑽</t>
    <phoneticPr fontId="2" type="noConversion"/>
  </si>
  <si>
    <t>68紅鑽</t>
    <phoneticPr fontId="2" type="noConversion"/>
  </si>
  <si>
    <t>30紅鑽</t>
    <phoneticPr fontId="2" type="noConversion"/>
  </si>
  <si>
    <t>6紅鑽</t>
    <phoneticPr fontId="2" type="noConversion"/>
  </si>
  <si>
    <t>https://play.google.com/store/apps/details?id=com.gamexdd.dhgg&amp;hl=zh_TW</t>
  </si>
  <si>
    <t>https://apps.apple.com/tw/app/%E5%A4%A7%E8%88%AA%E6%B5%B7-%E6%80%92%E6%B5%B7%E9%81%A0%E5%BE%81/id6760985120</t>
  </si>
  <si>
    <t>https://dh.gamexdd.com/</t>
  </si>
  <si>
    <t>https://www.facebook.com/dh.gamexdd/</t>
  </si>
  <si>
    <t>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t>
    <phoneticPr fontId="2" type="noConversion"/>
  </si>
  <si>
    <t>hololive Dreams</t>
    <phoneticPr fontId="2" type="noConversion"/>
  </si>
  <si>
    <t>https://apps.apple.com/tw/app/hololive-dreams/id6756641249</t>
  </si>
  <si>
    <t>https://play.google.com/store/apps/details?id=game.qualiarts.hololive.dreams.com</t>
  </si>
  <si>
    <t>https://www.hololive-dreams.com/</t>
  </si>
  <si>
    <t>https://x.com/holo_dreams_en</t>
  </si>
  <si>
    <t>三國觀滄海</t>
    <phoneticPr fontId="2" type="noConversion"/>
  </si>
  <si>
    <t>美男戰國</t>
    <phoneticPr fontId="2" type="noConversion"/>
  </si>
  <si>
    <t>搞鬼M</t>
    <phoneticPr fontId="2" type="noConversion"/>
  </si>
  <si>
    <t>喵喵騎士：放置RPG</t>
    <phoneticPr fontId="2" type="noConversion"/>
  </si>
  <si>
    <t>女神帝國：天使降臨</t>
    <phoneticPr fontId="2" type="noConversion"/>
  </si>
  <si>
    <t>地下城見聞錄</t>
    <phoneticPr fontId="2" type="noConversion"/>
  </si>
  <si>
    <t>《hololive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t>
    <phoneticPr fontId="2" type="noConversion"/>
  </si>
  <si>
    <t>https://www.facebook.com/wxshTW</t>
  </si>
  <si>
    <t>https://play.google.com/store/apps/details?id=com.wxshgame.lz&amp;hl=gsw</t>
  </si>
  <si>
    <t>https://www.facebook.com/profile.php?id=61577529445738</t>
  </si>
  <si>
    <t>https://play.google.com/store/apps/details?id=com.tbg.sgwsz</t>
  </si>
  <si>
    <t>https://apps.apple.com/tw/app/%E4%B8%89%E5%9C%8B%E8%A7%80%E6%BB%84%E6%B5%B7/id6760700928</t>
  </si>
  <si>
    <t>https://www.facebook.com/ikemensgk/?locale=zh_TW</t>
  </si>
  <si>
    <t>https://www.sgketernity.com/?fbclid=IwY2xjawTQFIhleHRuA2FlbQIxMABicmlkETFROWZyazh4Rm54UFNKSlBKc3J0YwZhcHBfaWQQMjIyMDM5MTc4ODIwMDg5MgABHkRWyftBFzXz5gQpZ9m09J0fHGHnaJd6wl_4VTSaozmOfmw-e-VBhcA2ljg2_aem_rF2aSfqIJDYvcd5ucZoz5A</t>
  </si>
  <si>
    <t>https://www.facebook.com/DiGeamGhostM/</t>
  </si>
  <si>
    <t>https://gsm.digeam.com/prereg?gad_source=1&amp;gad_campaignid=23978571996&amp;gbraid=0AAAABD0edmfJcQG5aGrOZIrwi1-pYafX_&amp;gclid=CjwKCAjwmozTBhAeEiwAkEGZzmqHiAlbYNjiKDRMmNa2fdjP1AIsmusV2pAfHnMuYw7C0awUOOSj5RoCMygQAvD_BwE</t>
  </si>
  <si>
    <t>https://play.google.com/store/apps/details?id=com.digeam.a.gsm</t>
  </si>
  <si>
    <t>https://apps.apple.com/tw/app/%E6%90%9E%E9%AC%BCm/id6748305249</t>
  </si>
  <si>
    <t>https://play.google.com/store/apps/details?id=com.MonsterPlanet.CatIdleRpg&amp;hl=zh_TW</t>
  </si>
  <si>
    <t>https://www.facebook.com/GdEmprRPG/</t>
  </si>
  <si>
    <t>https://apps.apple.com/tw/app/%E5%A5%B3%E7%A5%9E%E5%B8%9D%E5%9C%8B-%E5%A4%A9%E4%BD%BF%E9%99%8D%E8%87%A8/id6769397163</t>
  </si>
  <si>
    <t>https://play.google.com/store/apps/details?id=com.yhcx.wjhjhsm.gp&amp;referrer=utm_source%3Dapkpure.com</t>
  </si>
  <si>
    <t>https://play.google.com/store/apps/details?id=com.superplanet.odyssey&amp;hl=zh_TW</t>
  </si>
  <si>
    <t>https://apps.apple.com/us/app/%E5%9C%B0%E4%B8%8B%E5%9F%8E%E8%A6%8B%E8%81%9E%E9%8C%84/id6782771784?l=zh-Hant-TW</t>
  </si>
  <si>
    <t>https://apps.apple.com/tw/app/%E8%90%AC%E8%B1%A1%E5%B1%B1%E6%B5%B7/id6775804542</t>
  </si>
  <si>
    <t>https://apps.apple.com/tw/app/%E5%96%B5%E5%96%B5%E9%A8%8E%E5%A3%AB-%E6%94%BE%E7%BD%AErpg/id6760513582</t>
  </si>
  <si>
    <t>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</si>
  <si>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</si>
  <si>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t>
    <phoneticPr fontId="2" type="noConversion"/>
  </si>
  <si>
    <t>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</si>
  <si>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</si>
  <si>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t>
    <phoneticPr fontId="2" type="noConversion"/>
  </si>
  <si>
    <t>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t>
    <phoneticPr fontId="2" type="noConversion"/>
  </si>
  <si>
    <t>https://play.google.com/store/apps/details?id=com.isweety.ikemenroe&amp;hl=zh_TW</t>
  </si>
  <si>
    <t>https://apps.apple.com/tw/app/%E7%BE%8E%E7%94%B7%E6%88%B0%E5%9C%8B-%E7%A9%BF%E8%B6%8A%E6%99%82%E7%A9%BA%E4%B9%8B%E6%88%80-%E6%B0%B8%E7%B7%A3/id6757729830</t>
  </si>
  <si>
    <t>萬象山海</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</si>
</sst>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81" Type="http://schemas.openxmlformats.org/officeDocument/2006/relationships/hyperlink" Target="mailto:&#26368;&#26032;&#20786;&#20540;&#20778;&#24800;&#39340;&#19978;&#21839;&#21839;Line@&#23458;&#26381;" TargetMode="External"/><Relationship Id="rId237" Type="http://schemas.openxmlformats.org/officeDocument/2006/relationships/hyperlink" Target="mailto:&#26368;&#26032;&#20786;&#20540;&#20778;&#24800;&#39340;&#19978;&#21839;&#21839;Line@&#23458;&#26381;" TargetMode="External"/><Relationship Id="rId279"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290" Type="http://schemas.openxmlformats.org/officeDocument/2006/relationships/printerSettings" Target="../printerSettings/printerSettings2.bin"/><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280"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28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282"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72"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28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273"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284"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4"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28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275"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286"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276"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28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27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288"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278"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28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53"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2"/>
  <sheetViews>
    <sheetView tabSelected="1" zoomScale="85" zoomScaleNormal="85" workbookViewId="0">
      <pane xSplit="1" ySplit="1" topLeftCell="B532" activePane="bottomRight" state="frozen"/>
      <selection pane="topRight" activeCell="B1" sqref="B1"/>
      <selection pane="bottomLeft" activeCell="A2" sqref="A2"/>
      <selection pane="bottomRight" activeCell="A547" sqref="A547"/>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3" si="20">IF(A491="", "", "gift-codes.html?game=" &amp; A491)</f>
        <v>gift-codes.html?game=Pond Pals</v>
      </c>
      <c r="G491" s="9" t="s">
        <v>8769</v>
      </c>
      <c r="H491" s="9" t="str">
        <f t="shared" ref="H491:H553"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9247</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31"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9248</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31" ht="28.5" customHeight="1" thickBot="1">
      <c r="A530" s="114" t="s">
        <v>9254</v>
      </c>
      <c r="D530" s="9" t="s">
        <v>9258</v>
      </c>
      <c r="E530" s="127" t="s">
        <v>9255</v>
      </c>
      <c r="F530" s="8" t="str">
        <f t="shared" si="20"/>
        <v>gift-codes.html?game=疾風騎士團 放置型RPG</v>
      </c>
      <c r="G530" s="9" t="s">
        <v>9256</v>
      </c>
      <c r="H530" s="9" t="str">
        <f t="shared" si="21"/>
        <v>https://www.ssbuy.tw/game-detail.html?game=疾風騎士團 放置型RPG</v>
      </c>
      <c r="I530" s="10" t="s">
        <v>9257</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31" ht="28.5" customHeight="1" thickBot="1">
      <c r="A531" s="114" t="s">
        <v>9273</v>
      </c>
      <c r="C531" s="8" t="s">
        <v>9274</v>
      </c>
      <c r="E531" s="9" t="s">
        <v>9275</v>
      </c>
      <c r="F531" s="8" t="str">
        <f t="shared" si="20"/>
        <v>gift-codes.html?game=蟋蟀江湖</v>
      </c>
      <c r="G531" s="9" t="s">
        <v>9276</v>
      </c>
      <c r="H531" s="9" t="str">
        <f t="shared" si="21"/>
        <v>https://www.ssbuy.tw/game-detail.html?game=蟋蟀江湖</v>
      </c>
      <c r="I531" s="10" t="s">
        <v>9277</v>
      </c>
      <c r="J531" s="16" t="s">
        <v>5418</v>
      </c>
      <c r="K531" s="39" t="s">
        <v>5446</v>
      </c>
      <c r="L531" s="111" t="s">
        <v>46</v>
      </c>
      <c r="M531" s="112">
        <v>2532</v>
      </c>
      <c r="N531" s="111" t="s">
        <v>1677</v>
      </c>
      <c r="O531" s="112">
        <v>1274</v>
      </c>
      <c r="P531" s="111" t="s">
        <v>151</v>
      </c>
      <c r="Q531" s="112">
        <v>854</v>
      </c>
      <c r="R531" s="111" t="s">
        <v>152</v>
      </c>
      <c r="S531" s="112">
        <v>578</v>
      </c>
      <c r="T531" s="111" t="s">
        <v>153</v>
      </c>
      <c r="U531" s="112">
        <v>423</v>
      </c>
      <c r="V531" s="111" t="s">
        <v>6549</v>
      </c>
      <c r="W531" s="112">
        <v>276</v>
      </c>
      <c r="X531" s="111" t="s">
        <v>6550</v>
      </c>
      <c r="Y531" s="112">
        <v>129</v>
      </c>
      <c r="Z531" s="111" t="s">
        <v>8447</v>
      </c>
      <c r="AA531" s="112">
        <v>86</v>
      </c>
      <c r="AB531" s="111" t="s">
        <v>6553</v>
      </c>
      <c r="AC531" s="112">
        <v>28</v>
      </c>
    </row>
    <row r="532" spans="1:31" ht="28.5" customHeight="1" thickBot="1">
      <c r="A532" s="114" t="s">
        <v>9278</v>
      </c>
      <c r="C532" s="8" t="s">
        <v>9289</v>
      </c>
      <c r="E532" s="9" t="s">
        <v>9290</v>
      </c>
      <c r="F532" s="8" t="str">
        <f t="shared" si="20"/>
        <v>gift-codes.html?game=星海奇航</v>
      </c>
      <c r="G532" s="9" t="s">
        <v>9288</v>
      </c>
      <c r="H532" s="9" t="str">
        <f t="shared" si="21"/>
        <v>https://www.ssbuy.tw/game-detail.html?game=星海奇航</v>
      </c>
      <c r="I532" s="10" t="s">
        <v>9306</v>
      </c>
      <c r="J532" s="16" t="s">
        <v>5418</v>
      </c>
      <c r="K532" s="39" t="s">
        <v>5446</v>
      </c>
      <c r="L532" s="111" t="s">
        <v>46</v>
      </c>
      <c r="M532" s="112">
        <v>2559</v>
      </c>
      <c r="N532" s="111" t="s">
        <v>1677</v>
      </c>
      <c r="O532" s="112">
        <v>1287</v>
      </c>
      <c r="P532" s="111" t="s">
        <v>151</v>
      </c>
      <c r="Q532" s="112">
        <v>863</v>
      </c>
      <c r="R532" s="111" t="s">
        <v>152</v>
      </c>
      <c r="S532" s="112">
        <v>584</v>
      </c>
      <c r="T532" s="111" t="s">
        <v>153</v>
      </c>
      <c r="U532" s="112">
        <v>427</v>
      </c>
      <c r="V532" s="111" t="s">
        <v>6549</v>
      </c>
      <c r="W532" s="112">
        <v>279</v>
      </c>
      <c r="X532" s="111" t="s">
        <v>6550</v>
      </c>
      <c r="Y532" s="112">
        <v>131</v>
      </c>
      <c r="Z532" s="111" t="s">
        <v>8447</v>
      </c>
      <c r="AA532" s="112">
        <v>87</v>
      </c>
      <c r="AB532" s="111" t="s">
        <v>6553</v>
      </c>
      <c r="AC532" s="112">
        <v>29</v>
      </c>
    </row>
    <row r="533" spans="1:31" ht="28.5" customHeight="1" thickBot="1">
      <c r="A533" s="114" t="s">
        <v>9279</v>
      </c>
      <c r="C533" s="8" t="s">
        <v>9287</v>
      </c>
      <c r="D533" s="9" t="s">
        <v>9286</v>
      </c>
      <c r="E533" s="9" t="s">
        <v>9285</v>
      </c>
      <c r="F533" s="8" t="str">
        <f t="shared" si="20"/>
        <v>gift-codes.html?game=天命：六道輪迴</v>
      </c>
      <c r="G533" s="9" t="s">
        <v>9283</v>
      </c>
      <c r="H533" s="9" t="str">
        <f t="shared" si="21"/>
        <v>https://www.ssbuy.tw/game-detail.html?game=天命：六道輪迴</v>
      </c>
      <c r="I533" s="10" t="s">
        <v>9307</v>
      </c>
      <c r="J533" s="16" t="s">
        <v>5418</v>
      </c>
      <c r="K533" s="39" t="s">
        <v>5446</v>
      </c>
      <c r="L533" s="1" t="s">
        <v>5939</v>
      </c>
      <c r="M533" s="26">
        <v>2816</v>
      </c>
      <c r="N533" s="1" t="s">
        <v>5940</v>
      </c>
      <c r="O533" s="26">
        <v>1460</v>
      </c>
      <c r="P533" s="1" t="s">
        <v>5941</v>
      </c>
      <c r="Q533" s="26">
        <v>863</v>
      </c>
      <c r="R533" s="1" t="s">
        <v>5942</v>
      </c>
      <c r="S533" s="26">
        <v>759</v>
      </c>
      <c r="T533" s="1" t="s">
        <v>5943</v>
      </c>
      <c r="U533" s="26">
        <v>584</v>
      </c>
      <c r="V533" s="1" t="s">
        <v>5944</v>
      </c>
      <c r="W533" s="26">
        <v>427</v>
      </c>
      <c r="X533" s="1" t="s">
        <v>5945</v>
      </c>
      <c r="Y533" s="26">
        <v>288</v>
      </c>
      <c r="Z533" s="1" t="s">
        <v>5946</v>
      </c>
      <c r="AA533" s="26">
        <v>148</v>
      </c>
      <c r="AB533" s="1" t="s">
        <v>5947</v>
      </c>
      <c r="AC533" s="26">
        <v>29</v>
      </c>
    </row>
    <row r="534" spans="1:31" ht="28.5" customHeight="1" thickBot="1">
      <c r="A534" s="114" t="s">
        <v>9280</v>
      </c>
      <c r="C534" s="8" t="s">
        <v>9284</v>
      </c>
      <c r="D534" s="9" t="s">
        <v>9293</v>
      </c>
      <c r="E534" s="9" t="s">
        <v>9292</v>
      </c>
      <c r="F534" s="8" t="str">
        <f t="shared" si="20"/>
        <v>gift-codes.html?game=屍傅別追我：泰多鬼啦</v>
      </c>
      <c r="G534" s="9" t="s">
        <v>9291</v>
      </c>
      <c r="H534" s="9" t="str">
        <f t="shared" si="21"/>
        <v>https://www.ssbuy.tw/game-detail.html?game=屍傅別追我：泰多鬼啦</v>
      </c>
      <c r="I534" s="10" t="s">
        <v>9308</v>
      </c>
      <c r="J534" s="16" t="s">
        <v>5418</v>
      </c>
      <c r="K534" s="39" t="s">
        <v>5446</v>
      </c>
      <c r="L534" s="1" t="s">
        <v>5939</v>
      </c>
      <c r="M534" s="26">
        <v>2816</v>
      </c>
      <c r="N534" s="1" t="s">
        <v>5940</v>
      </c>
      <c r="O534" s="26">
        <v>1460</v>
      </c>
      <c r="P534" s="1" t="s">
        <v>5941</v>
      </c>
      <c r="Q534" s="26">
        <v>863</v>
      </c>
      <c r="R534" s="1" t="s">
        <v>5942</v>
      </c>
      <c r="S534" s="26">
        <v>759</v>
      </c>
      <c r="T534" s="1" t="s">
        <v>5943</v>
      </c>
      <c r="U534" s="26">
        <v>584</v>
      </c>
      <c r="V534" s="1" t="s">
        <v>5944</v>
      </c>
      <c r="W534" s="26">
        <v>427</v>
      </c>
      <c r="X534" s="1" t="s">
        <v>5945</v>
      </c>
      <c r="Y534" s="26">
        <v>288</v>
      </c>
      <c r="Z534" s="1" t="s">
        <v>5946</v>
      </c>
      <c r="AA534" s="26">
        <v>148</v>
      </c>
      <c r="AB534" s="1" t="s">
        <v>5947</v>
      </c>
      <c r="AC534" s="26">
        <v>29</v>
      </c>
    </row>
    <row r="535" spans="1:31" ht="28.5" customHeight="1" thickBot="1">
      <c r="A535" s="114" t="s">
        <v>9281</v>
      </c>
      <c r="D535" s="9" t="s">
        <v>9296</v>
      </c>
      <c r="E535" s="9" t="s">
        <v>9294</v>
      </c>
      <c r="F535" s="8" t="str">
        <f t="shared" si="20"/>
        <v>gift-codes.html?game=地獄重生</v>
      </c>
      <c r="G535" s="9" t="s">
        <v>9295</v>
      </c>
      <c r="H535" s="9" t="str">
        <f t="shared" si="21"/>
        <v>https://www.ssbuy.tw/game-detail.html?game=地獄重生</v>
      </c>
      <c r="I535" s="10" t="s">
        <v>9309</v>
      </c>
      <c r="J535" s="16" t="s">
        <v>5418</v>
      </c>
      <c r="K535" s="39" t="s">
        <v>5446</v>
      </c>
      <c r="L535" s="1" t="s">
        <v>5939</v>
      </c>
      <c r="M535" s="26">
        <v>2816</v>
      </c>
      <c r="N535" s="1" t="s">
        <v>5940</v>
      </c>
      <c r="O535" s="26">
        <v>1460</v>
      </c>
      <c r="P535" s="1" t="s">
        <v>5941</v>
      </c>
      <c r="Q535" s="26">
        <v>863</v>
      </c>
      <c r="R535" s="1" t="s">
        <v>5942</v>
      </c>
      <c r="S535" s="26">
        <v>759</v>
      </c>
      <c r="T535" s="1" t="s">
        <v>5943</v>
      </c>
      <c r="U535" s="26">
        <v>584</v>
      </c>
      <c r="V535" s="1" t="s">
        <v>5944</v>
      </c>
      <c r="W535" s="26">
        <v>427</v>
      </c>
      <c r="X535" s="1" t="s">
        <v>5945</v>
      </c>
      <c r="Y535" s="26">
        <v>288</v>
      </c>
      <c r="Z535" s="1" t="s">
        <v>5946</v>
      </c>
      <c r="AA535" s="26">
        <v>148</v>
      </c>
      <c r="AB535" s="1" t="s">
        <v>5947</v>
      </c>
      <c r="AC535" s="26">
        <v>29</v>
      </c>
    </row>
    <row r="536" spans="1:31" ht="28.5" customHeight="1" thickBot="1">
      <c r="A536" s="114" t="s">
        <v>9282</v>
      </c>
      <c r="C536" s="8" t="s">
        <v>9297</v>
      </c>
      <c r="E536" s="9" t="s">
        <v>9298</v>
      </c>
      <c r="F536" s="8" t="str">
        <f t="shared" si="20"/>
        <v>gift-codes.html?game=獨步仙途</v>
      </c>
      <c r="G536" s="9" t="s">
        <v>9299</v>
      </c>
      <c r="H536" s="9" t="str">
        <f t="shared" si="21"/>
        <v>https://www.ssbuy.tw/game-detail.html?game=獨步仙途</v>
      </c>
      <c r="I536" s="10" t="s">
        <v>9310</v>
      </c>
      <c r="J536" s="16" t="s">
        <v>5418</v>
      </c>
      <c r="K536" s="39" t="s">
        <v>5446</v>
      </c>
      <c r="L536" s="111" t="s">
        <v>46</v>
      </c>
      <c r="M536" s="112">
        <v>2559</v>
      </c>
      <c r="N536" s="111" t="s">
        <v>1677</v>
      </c>
      <c r="O536" s="112">
        <v>1287</v>
      </c>
      <c r="P536" s="111" t="s">
        <v>151</v>
      </c>
      <c r="Q536" s="112">
        <v>863</v>
      </c>
      <c r="R536" s="111" t="s">
        <v>152</v>
      </c>
      <c r="S536" s="112">
        <v>584</v>
      </c>
      <c r="T536" s="111" t="s">
        <v>153</v>
      </c>
      <c r="U536" s="112">
        <v>427</v>
      </c>
      <c r="V536" s="111" t="s">
        <v>6549</v>
      </c>
      <c r="W536" s="112">
        <v>279</v>
      </c>
      <c r="X536" s="111" t="s">
        <v>6550</v>
      </c>
      <c r="Y536" s="112">
        <v>131</v>
      </c>
      <c r="Z536" s="111" t="s">
        <v>8447</v>
      </c>
      <c r="AA536" s="112">
        <v>87</v>
      </c>
      <c r="AB536" s="111" t="s">
        <v>6553</v>
      </c>
      <c r="AC536" s="112">
        <v>29</v>
      </c>
    </row>
    <row r="537" spans="1:31" ht="28.5" customHeight="1" thickBot="1">
      <c r="A537" s="114" t="s">
        <v>9313</v>
      </c>
      <c r="C537" s="8" t="s">
        <v>9300</v>
      </c>
      <c r="E537" s="9" t="s">
        <v>9302</v>
      </c>
      <c r="F537" s="8" t="str">
        <f t="shared" si="20"/>
        <v>gift-codes.html?game=褪色界域：瑟匹亞</v>
      </c>
      <c r="G537" s="9" t="s">
        <v>9301</v>
      </c>
      <c r="H537" s="9" t="str">
        <f t="shared" si="21"/>
        <v>https://www.ssbuy.tw/game-detail.html?game=褪色界域：瑟匹亞</v>
      </c>
      <c r="I537" s="10" t="s">
        <v>9311</v>
      </c>
      <c r="J537" s="16" t="s">
        <v>5418</v>
      </c>
      <c r="K537" s="39" t="s">
        <v>5446</v>
      </c>
      <c r="L537" s="111" t="s">
        <v>46</v>
      </c>
      <c r="M537" s="112">
        <v>2559</v>
      </c>
      <c r="N537" s="111" t="s">
        <v>1677</v>
      </c>
      <c r="O537" s="112">
        <v>1287</v>
      </c>
      <c r="P537" s="111" t="s">
        <v>151</v>
      </c>
      <c r="Q537" s="112">
        <v>863</v>
      </c>
      <c r="R537" s="111" t="s">
        <v>152</v>
      </c>
      <c r="S537" s="112">
        <v>584</v>
      </c>
      <c r="T537" s="111" t="s">
        <v>153</v>
      </c>
      <c r="U537" s="112">
        <v>427</v>
      </c>
      <c r="V537" s="111" t="s">
        <v>6549</v>
      </c>
      <c r="W537" s="112">
        <v>279</v>
      </c>
      <c r="X537" s="111" t="s">
        <v>6550</v>
      </c>
      <c r="Y537" s="112">
        <v>131</v>
      </c>
      <c r="Z537" s="111" t="s">
        <v>8447</v>
      </c>
      <c r="AA537" s="112">
        <v>87</v>
      </c>
      <c r="AB537" s="111" t="s">
        <v>6553</v>
      </c>
      <c r="AC537" s="112">
        <v>29</v>
      </c>
    </row>
    <row r="538" spans="1:31" ht="28.5" customHeight="1" thickBot="1">
      <c r="A538" s="114" t="s">
        <v>9314</v>
      </c>
      <c r="C538" s="8" t="s">
        <v>9304</v>
      </c>
      <c r="E538" s="9" t="s">
        <v>9303</v>
      </c>
      <c r="F538" s="8" t="str">
        <f t="shared" si="20"/>
        <v>gift-codes.html?game=刃與三國：烽火爭霸</v>
      </c>
      <c r="G538" s="9" t="s">
        <v>9305</v>
      </c>
      <c r="H538" s="9" t="str">
        <f t="shared" si="21"/>
        <v>https://www.ssbuy.tw/game-detail.html?game=刃與三國：烽火爭霸</v>
      </c>
      <c r="I538" s="10" t="s">
        <v>9312</v>
      </c>
      <c r="J538" s="16" t="s">
        <v>5418</v>
      </c>
      <c r="K538" s="39" t="s">
        <v>5446</v>
      </c>
      <c r="L538" s="1" t="s">
        <v>5939</v>
      </c>
      <c r="M538" s="26">
        <v>2816</v>
      </c>
      <c r="N538" s="1" t="s">
        <v>5940</v>
      </c>
      <c r="O538" s="26">
        <v>1460</v>
      </c>
      <c r="P538" s="1" t="s">
        <v>5941</v>
      </c>
      <c r="Q538" s="26">
        <v>863</v>
      </c>
      <c r="R538" s="1" t="s">
        <v>5942</v>
      </c>
      <c r="S538" s="26">
        <v>759</v>
      </c>
      <c r="T538" s="1" t="s">
        <v>5943</v>
      </c>
      <c r="U538" s="26">
        <v>584</v>
      </c>
      <c r="V538" s="1" t="s">
        <v>5944</v>
      </c>
      <c r="W538" s="26">
        <v>427</v>
      </c>
      <c r="X538" s="1" t="s">
        <v>5945</v>
      </c>
      <c r="Y538" s="26">
        <v>288</v>
      </c>
      <c r="Z538" s="1" t="s">
        <v>5946</v>
      </c>
      <c r="AA538" s="26">
        <v>148</v>
      </c>
      <c r="AB538" s="1" t="s">
        <v>5947</v>
      </c>
      <c r="AC538" s="26">
        <v>29</v>
      </c>
    </row>
    <row r="539" spans="1:31" ht="28.5" customHeight="1" thickBot="1">
      <c r="A539" s="114" t="s">
        <v>9330</v>
      </c>
      <c r="C539" s="8" t="s">
        <v>9331</v>
      </c>
      <c r="E539" s="9" t="s">
        <v>9333</v>
      </c>
      <c r="F539" s="8" t="str">
        <f t="shared" si="20"/>
        <v>gift-codes.html?game=我在江湖開後宮</v>
      </c>
      <c r="G539" s="9" t="s">
        <v>9332</v>
      </c>
      <c r="H539" s="9" t="str">
        <f t="shared" si="21"/>
        <v>https://www.ssbuy.tw/game-detail.html?game=我在江湖開後宮</v>
      </c>
      <c r="I539" s="10" t="s">
        <v>9341</v>
      </c>
      <c r="J539" s="16" t="s">
        <v>5418</v>
      </c>
      <c r="K539" s="39" t="s">
        <v>5446</v>
      </c>
      <c r="L539" s="111" t="s">
        <v>235</v>
      </c>
      <c r="M539" s="112">
        <v>2268</v>
      </c>
      <c r="N539" s="111" t="s">
        <v>236</v>
      </c>
      <c r="O539" s="112">
        <v>1156</v>
      </c>
      <c r="P539" s="111" t="s">
        <v>1292</v>
      </c>
      <c r="Q539" s="112">
        <v>676</v>
      </c>
      <c r="R539" s="111" t="s">
        <v>9334</v>
      </c>
      <c r="S539" s="112">
        <v>591</v>
      </c>
      <c r="T539" s="111" t="s">
        <v>237</v>
      </c>
      <c r="U539" s="112">
        <v>462</v>
      </c>
      <c r="V539" s="111" t="s">
        <v>1638</v>
      </c>
      <c r="W539" s="112">
        <v>334</v>
      </c>
      <c r="X539" s="111" t="s">
        <v>238</v>
      </c>
      <c r="Y539" s="112">
        <v>235</v>
      </c>
      <c r="Z539" s="111" t="s">
        <v>205</v>
      </c>
      <c r="AA539" s="112">
        <v>209</v>
      </c>
      <c r="AB539" s="111" t="s">
        <v>9335</v>
      </c>
      <c r="AC539" s="112">
        <v>174</v>
      </c>
      <c r="AD539" s="111" t="s">
        <v>239</v>
      </c>
      <c r="AE539" s="112">
        <v>118</v>
      </c>
    </row>
    <row r="540" spans="1:31" ht="28.5" customHeight="1">
      <c r="A540" s="114" t="s">
        <v>9364</v>
      </c>
      <c r="C540" s="8" t="s">
        <v>9366</v>
      </c>
      <c r="D540" s="9" t="s">
        <v>9365</v>
      </c>
      <c r="E540" s="9" t="s">
        <v>9367</v>
      </c>
      <c r="F540" s="8" t="str">
        <f t="shared" si="20"/>
        <v>gift-codes.html?game=猛鬼三國</v>
      </c>
      <c r="G540" s="9" t="s">
        <v>9368</v>
      </c>
      <c r="H540" s="9" t="str">
        <f t="shared" si="21"/>
        <v>https://www.ssbuy.tw/game-detail.html?game=猛鬼三國</v>
      </c>
      <c r="I540" s="10" t="s">
        <v>9375</v>
      </c>
      <c r="J540" s="16" t="s">
        <v>5418</v>
      </c>
      <c r="K540" s="39" t="s">
        <v>5446</v>
      </c>
      <c r="L540" s="9" t="s">
        <v>9369</v>
      </c>
      <c r="M540" s="9">
        <v>2816</v>
      </c>
      <c r="N540" s="9" t="s">
        <v>9370</v>
      </c>
      <c r="O540" s="9">
        <v>1460</v>
      </c>
      <c r="P540" s="9" t="s">
        <v>9371</v>
      </c>
      <c r="Q540" s="9">
        <v>863</v>
      </c>
      <c r="R540" s="9" t="s">
        <v>9372</v>
      </c>
      <c r="S540" s="9">
        <v>584</v>
      </c>
      <c r="T540" s="9" t="s">
        <v>9373</v>
      </c>
      <c r="U540" s="9">
        <v>288</v>
      </c>
      <c r="V540" s="9" t="s">
        <v>804</v>
      </c>
      <c r="W540" s="9">
        <v>148</v>
      </c>
      <c r="X540" s="9" t="s">
        <v>9374</v>
      </c>
      <c r="Y540" s="9">
        <v>29</v>
      </c>
    </row>
    <row r="541" spans="1:31" ht="28.5" customHeight="1">
      <c r="A541" s="114" t="s">
        <v>9376</v>
      </c>
      <c r="C541" s="8" t="s">
        <v>9387</v>
      </c>
      <c r="D541" s="9" t="s">
        <v>9386</v>
      </c>
      <c r="E541" s="9" t="s">
        <v>9385</v>
      </c>
      <c r="F541" s="8" t="str">
        <f t="shared" si="20"/>
        <v>gift-codes.html?game=大航海：怒海遠征</v>
      </c>
      <c r="G541" s="9" t="s">
        <v>9384</v>
      </c>
      <c r="H541" s="9" t="str">
        <f t="shared" si="21"/>
        <v>https://www.ssbuy.tw/game-detail.html?game=大航海：怒海遠征</v>
      </c>
      <c r="I541" s="10" t="s">
        <v>9388</v>
      </c>
      <c r="J541" s="16" t="s">
        <v>5418</v>
      </c>
      <c r="K541" s="39" t="s">
        <v>5446</v>
      </c>
      <c r="L541" s="9" t="s">
        <v>9377</v>
      </c>
      <c r="M541" s="9">
        <v>2730</v>
      </c>
      <c r="N541" s="9" t="s">
        <v>9378</v>
      </c>
      <c r="O541" s="9">
        <v>1377</v>
      </c>
      <c r="P541" s="9" t="s">
        <v>9379</v>
      </c>
      <c r="Q541" s="9">
        <v>841</v>
      </c>
      <c r="R541" s="9" t="s">
        <v>9380</v>
      </c>
      <c r="S541" s="9">
        <v>537</v>
      </c>
      <c r="T541" s="9" t="s">
        <v>9381</v>
      </c>
      <c r="U541" s="9">
        <v>284</v>
      </c>
      <c r="V541" s="9" t="s">
        <v>9382</v>
      </c>
      <c r="W541" s="9">
        <v>127</v>
      </c>
      <c r="X541" s="9" t="s">
        <v>9383</v>
      </c>
      <c r="Y541" s="9">
        <v>28</v>
      </c>
    </row>
    <row r="542" spans="1:31" ht="28.5" customHeight="1" thickBot="1">
      <c r="A542" s="114" t="s">
        <v>9389</v>
      </c>
      <c r="C542" s="8" t="s">
        <v>9393</v>
      </c>
      <c r="D542" s="9" t="s">
        <v>9392</v>
      </c>
      <c r="E542" s="9" t="s">
        <v>9390</v>
      </c>
      <c r="F542" s="8" t="str">
        <f t="shared" si="20"/>
        <v>gift-codes.html?game=hololive Dreams</v>
      </c>
      <c r="G542" s="9" t="s">
        <v>9391</v>
      </c>
      <c r="H542" s="9" t="str">
        <f t="shared" si="21"/>
        <v>https://www.ssbuy.tw/game-detail.html?game=hololive Dreams</v>
      </c>
      <c r="I542" s="10" t="s">
        <v>9400</v>
      </c>
      <c r="J542" s="16" t="s">
        <v>5418</v>
      </c>
      <c r="K542" s="39" t="s">
        <v>5446</v>
      </c>
    </row>
    <row r="543" spans="1:31" ht="28.5" customHeight="1" thickBot="1">
      <c r="A543" s="114" t="s">
        <v>9429</v>
      </c>
      <c r="C543" s="8" t="s">
        <v>9401</v>
      </c>
      <c r="E543" s="9" t="s">
        <v>9418</v>
      </c>
      <c r="F543" s="8" t="str">
        <f t="shared" si="20"/>
        <v>gift-codes.html?game=萬象山海</v>
      </c>
      <c r="G543" s="9" t="s">
        <v>9402</v>
      </c>
      <c r="H543" s="9" t="str">
        <f t="shared" si="21"/>
        <v>https://www.ssbuy.tw/game-detail.html?game=萬象山海</v>
      </c>
      <c r="I543" s="10" t="s">
        <v>9420</v>
      </c>
      <c r="J543" s="16" t="s">
        <v>5418</v>
      </c>
      <c r="K543" s="39" t="s">
        <v>5446</v>
      </c>
      <c r="L543" s="111" t="s">
        <v>46</v>
      </c>
      <c r="M543" s="112">
        <v>2559</v>
      </c>
      <c r="N543" s="111" t="s">
        <v>1677</v>
      </c>
      <c r="O543" s="112">
        <v>1287</v>
      </c>
      <c r="P543" s="111" t="s">
        <v>151</v>
      </c>
      <c r="Q543" s="112">
        <v>863</v>
      </c>
      <c r="R543" s="111" t="s">
        <v>152</v>
      </c>
      <c r="S543" s="112">
        <v>584</v>
      </c>
      <c r="T543" s="111" t="s">
        <v>153</v>
      </c>
      <c r="U543" s="112">
        <v>427</v>
      </c>
      <c r="V543" s="111" t="s">
        <v>6549</v>
      </c>
      <c r="W543" s="112">
        <v>279</v>
      </c>
      <c r="X543" s="111" t="s">
        <v>6550</v>
      </c>
      <c r="Y543" s="112">
        <v>131</v>
      </c>
      <c r="Z543" s="111" t="s">
        <v>8447</v>
      </c>
      <c r="AA543" s="112">
        <v>87</v>
      </c>
      <c r="AB543" s="111" t="s">
        <v>6553</v>
      </c>
      <c r="AC543" s="112">
        <v>29</v>
      </c>
    </row>
    <row r="544" spans="1:31" ht="28.5" customHeight="1" thickBot="1">
      <c r="A544" s="114" t="s">
        <v>9394</v>
      </c>
      <c r="C544" s="8" t="s">
        <v>9403</v>
      </c>
      <c r="E544" s="9" t="s">
        <v>9405</v>
      </c>
      <c r="F544" s="8" t="str">
        <f t="shared" si="20"/>
        <v>gift-codes.html?game=三國觀滄海</v>
      </c>
      <c r="G544" s="9" t="s">
        <v>9404</v>
      </c>
      <c r="H544" s="9" t="str">
        <f t="shared" si="21"/>
        <v>https://www.ssbuy.tw/game-detail.html?game=三國觀滄海</v>
      </c>
      <c r="I544" s="10" t="s">
        <v>9421</v>
      </c>
      <c r="J544" s="16" t="s">
        <v>5418</v>
      </c>
      <c r="K544" s="39" t="s">
        <v>5446</v>
      </c>
      <c r="L544" s="1" t="s">
        <v>5939</v>
      </c>
      <c r="M544" s="26">
        <v>2816</v>
      </c>
      <c r="N544" s="1" t="s">
        <v>5940</v>
      </c>
      <c r="O544" s="26">
        <v>1460</v>
      </c>
      <c r="P544" s="1" t="s">
        <v>5941</v>
      </c>
      <c r="Q544" s="26">
        <v>863</v>
      </c>
      <c r="R544" s="1" t="s">
        <v>5942</v>
      </c>
      <c r="S544" s="26">
        <v>759</v>
      </c>
      <c r="T544" s="1" t="s">
        <v>5943</v>
      </c>
      <c r="U544" s="26">
        <v>584</v>
      </c>
      <c r="V544" s="1" t="s">
        <v>5944</v>
      </c>
      <c r="W544" s="26">
        <v>427</v>
      </c>
      <c r="X544" s="1" t="s">
        <v>5945</v>
      </c>
      <c r="Y544" s="26">
        <v>288</v>
      </c>
      <c r="Z544" s="1" t="s">
        <v>5946</v>
      </c>
      <c r="AA544" s="26">
        <v>148</v>
      </c>
      <c r="AB544" s="1" t="s">
        <v>5947</v>
      </c>
      <c r="AC544" s="26">
        <v>29</v>
      </c>
    </row>
    <row r="545" spans="1:29" ht="28.5" customHeight="1" thickBot="1">
      <c r="A545" s="114" t="s">
        <v>9395</v>
      </c>
      <c r="C545" s="8" t="s">
        <v>9406</v>
      </c>
      <c r="D545" s="9" t="s">
        <v>9407</v>
      </c>
      <c r="E545" s="9" t="s">
        <v>9428</v>
      </c>
      <c r="F545" s="8" t="str">
        <f t="shared" si="20"/>
        <v>gift-codes.html?game=美男戰國</v>
      </c>
      <c r="G545" s="9" t="s">
        <v>9427</v>
      </c>
      <c r="H545" s="9" t="str">
        <f t="shared" si="21"/>
        <v>https://www.ssbuy.tw/game-detail.html?game=美男戰國</v>
      </c>
      <c r="I545" s="10" t="s">
        <v>9422</v>
      </c>
      <c r="J545" s="16" t="s">
        <v>5418</v>
      </c>
      <c r="K545" s="39" t="s">
        <v>5446</v>
      </c>
      <c r="L545" s="1" t="s">
        <v>5939</v>
      </c>
      <c r="M545" s="26">
        <v>2816</v>
      </c>
      <c r="N545" s="1" t="s">
        <v>5940</v>
      </c>
      <c r="O545" s="26">
        <v>1460</v>
      </c>
      <c r="P545" s="1" t="s">
        <v>5941</v>
      </c>
      <c r="Q545" s="26">
        <v>863</v>
      </c>
      <c r="R545" s="1" t="s">
        <v>5942</v>
      </c>
      <c r="S545" s="26">
        <v>759</v>
      </c>
      <c r="T545" s="1" t="s">
        <v>5943</v>
      </c>
      <c r="U545" s="26">
        <v>584</v>
      </c>
      <c r="V545" s="1" t="s">
        <v>5944</v>
      </c>
      <c r="W545" s="26">
        <v>427</v>
      </c>
      <c r="X545" s="1" t="s">
        <v>5945</v>
      </c>
      <c r="Y545" s="26">
        <v>288</v>
      </c>
      <c r="Z545" s="1" t="s">
        <v>5946</v>
      </c>
      <c r="AA545" s="26">
        <v>148</v>
      </c>
      <c r="AB545" s="1" t="s">
        <v>5947</v>
      </c>
      <c r="AC545" s="26">
        <v>29</v>
      </c>
    </row>
    <row r="546" spans="1:29" ht="28.5" customHeight="1" thickBot="1">
      <c r="A546" s="114" t="s">
        <v>9396</v>
      </c>
      <c r="C546" s="8" t="s">
        <v>9408</v>
      </c>
      <c r="D546" s="9" t="s">
        <v>9409</v>
      </c>
      <c r="E546" s="9" t="s">
        <v>9411</v>
      </c>
      <c r="F546" s="8" t="str">
        <f t="shared" si="20"/>
        <v>gift-codes.html?game=搞鬼M</v>
      </c>
      <c r="G546" s="9" t="s">
        <v>9410</v>
      </c>
      <c r="H546" s="9" t="str">
        <f t="shared" si="21"/>
        <v>https://www.ssbuy.tw/game-detail.html?game=搞鬼M</v>
      </c>
      <c r="I546" s="10" t="s">
        <v>9423</v>
      </c>
      <c r="J546" s="16" t="s">
        <v>5418</v>
      </c>
      <c r="K546" s="39" t="s">
        <v>5446</v>
      </c>
      <c r="L546" s="1" t="s">
        <v>5939</v>
      </c>
      <c r="M546" s="26">
        <v>2816</v>
      </c>
      <c r="N546" s="1" t="s">
        <v>5940</v>
      </c>
      <c r="O546" s="26">
        <v>1460</v>
      </c>
      <c r="P546" s="1" t="s">
        <v>5941</v>
      </c>
      <c r="Q546" s="26">
        <v>863</v>
      </c>
      <c r="R546" s="1" t="s">
        <v>5942</v>
      </c>
      <c r="S546" s="26">
        <v>759</v>
      </c>
      <c r="T546" s="1" t="s">
        <v>5943</v>
      </c>
      <c r="U546" s="26">
        <v>584</v>
      </c>
      <c r="V546" s="1" t="s">
        <v>5944</v>
      </c>
      <c r="W546" s="26">
        <v>427</v>
      </c>
      <c r="X546" s="1" t="s">
        <v>5945</v>
      </c>
      <c r="Y546" s="26">
        <v>288</v>
      </c>
      <c r="Z546" s="1" t="s">
        <v>5946</v>
      </c>
      <c r="AA546" s="26">
        <v>148</v>
      </c>
      <c r="AB546" s="1" t="s">
        <v>5947</v>
      </c>
      <c r="AC546" s="26">
        <v>29</v>
      </c>
    </row>
    <row r="547" spans="1:29" ht="28.5" customHeight="1" thickBot="1">
      <c r="A547" s="114" t="s">
        <v>9397</v>
      </c>
      <c r="E547" s="9" t="s">
        <v>9419</v>
      </c>
      <c r="F547" s="8" t="str">
        <f t="shared" si="20"/>
        <v>gift-codes.html?game=喵喵騎士：放置RPG</v>
      </c>
      <c r="G547" s="9" t="s">
        <v>9412</v>
      </c>
      <c r="H547" s="9" t="str">
        <f t="shared" si="21"/>
        <v>https://www.ssbuy.tw/game-detail.html?game=喵喵騎士：放置RPG</v>
      </c>
      <c r="I547" s="10" t="s">
        <v>9424</v>
      </c>
      <c r="J547" s="16" t="s">
        <v>5418</v>
      </c>
      <c r="K547" s="39" t="s">
        <v>5446</v>
      </c>
      <c r="L547" s="111" t="s">
        <v>46</v>
      </c>
      <c r="M547" s="112">
        <v>2559</v>
      </c>
      <c r="N547" s="111" t="s">
        <v>1677</v>
      </c>
      <c r="O547" s="112">
        <v>1287</v>
      </c>
      <c r="P547" s="111" t="s">
        <v>151</v>
      </c>
      <c r="Q547" s="112">
        <v>863</v>
      </c>
      <c r="R547" s="111" t="s">
        <v>152</v>
      </c>
      <c r="S547" s="112">
        <v>584</v>
      </c>
      <c r="T547" s="111" t="s">
        <v>153</v>
      </c>
      <c r="U547" s="112">
        <v>427</v>
      </c>
      <c r="V547" s="111" t="s">
        <v>6549</v>
      </c>
      <c r="W547" s="112">
        <v>279</v>
      </c>
      <c r="X547" s="111" t="s">
        <v>6550</v>
      </c>
      <c r="Y547" s="112">
        <v>131</v>
      </c>
      <c r="Z547" s="111" t="s">
        <v>8447</v>
      </c>
      <c r="AA547" s="112">
        <v>87</v>
      </c>
      <c r="AB547" s="111" t="s">
        <v>6553</v>
      </c>
      <c r="AC547" s="112">
        <v>29</v>
      </c>
    </row>
    <row r="548" spans="1:29" ht="28.5" customHeight="1" thickBot="1">
      <c r="A548" s="114" t="s">
        <v>9398</v>
      </c>
      <c r="C548" s="8" t="s">
        <v>9413</v>
      </c>
      <c r="E548" s="9" t="s">
        <v>9414</v>
      </c>
      <c r="F548" s="8" t="str">
        <f t="shared" si="20"/>
        <v>gift-codes.html?game=女神帝國：天使降臨</v>
      </c>
      <c r="G548" s="9" t="s">
        <v>9415</v>
      </c>
      <c r="H548" s="9" t="str">
        <f t="shared" si="21"/>
        <v>https://www.ssbuy.tw/game-detail.html?game=女神帝國：天使降臨</v>
      </c>
      <c r="I548" s="10" t="s">
        <v>9425</v>
      </c>
      <c r="J548" s="16" t="s">
        <v>5418</v>
      </c>
      <c r="K548" s="39" t="s">
        <v>5446</v>
      </c>
      <c r="L548" s="111" t="s">
        <v>46</v>
      </c>
      <c r="M548" s="112">
        <v>2559</v>
      </c>
      <c r="N548" s="111" t="s">
        <v>1677</v>
      </c>
      <c r="O548" s="112">
        <v>1287</v>
      </c>
      <c r="P548" s="111" t="s">
        <v>151</v>
      </c>
      <c r="Q548" s="112">
        <v>863</v>
      </c>
      <c r="R548" s="111" t="s">
        <v>152</v>
      </c>
      <c r="S548" s="112">
        <v>584</v>
      </c>
      <c r="T548" s="111" t="s">
        <v>153</v>
      </c>
      <c r="U548" s="112">
        <v>427</v>
      </c>
      <c r="V548" s="111" t="s">
        <v>6549</v>
      </c>
      <c r="W548" s="112">
        <v>279</v>
      </c>
      <c r="X548" s="111" t="s">
        <v>6550</v>
      </c>
      <c r="Y548" s="112">
        <v>131</v>
      </c>
      <c r="Z548" s="111" t="s">
        <v>8447</v>
      </c>
      <c r="AA548" s="112">
        <v>87</v>
      </c>
      <c r="AB548" s="111" t="s">
        <v>6553</v>
      </c>
      <c r="AC548" s="112">
        <v>29</v>
      </c>
    </row>
    <row r="549" spans="1:29" ht="28.5" customHeight="1" thickBot="1">
      <c r="A549" s="114" t="s">
        <v>9399</v>
      </c>
      <c r="E549" s="9" t="s">
        <v>9417</v>
      </c>
      <c r="F549" s="8" t="str">
        <f t="shared" si="20"/>
        <v>gift-codes.html?game=地下城見聞錄</v>
      </c>
      <c r="G549" s="9" t="s">
        <v>9416</v>
      </c>
      <c r="H549" s="9" t="str">
        <f t="shared" si="21"/>
        <v>https://www.ssbuy.tw/game-detail.html?game=地下城見聞錄</v>
      </c>
      <c r="I549" s="10" t="s">
        <v>9426</v>
      </c>
      <c r="J549" s="16" t="s">
        <v>5418</v>
      </c>
      <c r="K549" s="39" t="s">
        <v>5446</v>
      </c>
      <c r="L549" s="111" t="s">
        <v>46</v>
      </c>
      <c r="M549" s="112">
        <v>2559</v>
      </c>
      <c r="N549" s="111" t="s">
        <v>1677</v>
      </c>
      <c r="O549" s="112">
        <v>1287</v>
      </c>
      <c r="P549" s="111" t="s">
        <v>151</v>
      </c>
      <c r="Q549" s="112">
        <v>863</v>
      </c>
      <c r="R549" s="111" t="s">
        <v>152</v>
      </c>
      <c r="S549" s="112">
        <v>584</v>
      </c>
      <c r="T549" s="111" t="s">
        <v>153</v>
      </c>
      <c r="U549" s="112">
        <v>427</v>
      </c>
      <c r="V549" s="111" t="s">
        <v>6549</v>
      </c>
      <c r="W549" s="112">
        <v>279</v>
      </c>
      <c r="X549" s="111" t="s">
        <v>6550</v>
      </c>
      <c r="Y549" s="112">
        <v>131</v>
      </c>
      <c r="Z549" s="111" t="s">
        <v>8447</v>
      </c>
      <c r="AA549" s="112">
        <v>87</v>
      </c>
      <c r="AB549" s="111" t="s">
        <v>6553</v>
      </c>
      <c r="AC549" s="112">
        <v>29</v>
      </c>
    </row>
    <row r="550" spans="1:29" ht="28.5" customHeight="1">
      <c r="F550" s="8" t="str">
        <f t="shared" si="20"/>
        <v/>
      </c>
      <c r="H550" s="9" t="str">
        <f t="shared" si="21"/>
        <v/>
      </c>
    </row>
    <row r="551" spans="1:29" ht="28.5" customHeight="1">
      <c r="F551" s="8" t="str">
        <f t="shared" si="20"/>
        <v/>
      </c>
      <c r="H551" s="9" t="str">
        <f t="shared" si="21"/>
        <v/>
      </c>
    </row>
    <row r="552" spans="1:29" ht="28.5" customHeight="1">
      <c r="F552" s="8" t="str">
        <f t="shared" si="20"/>
        <v/>
      </c>
      <c r="H552" s="9" t="str">
        <f t="shared" si="21"/>
        <v/>
      </c>
    </row>
    <row r="553" spans="1:29" ht="28.5" customHeight="1">
      <c r="F553" s="8" t="str">
        <f t="shared" si="20"/>
        <v/>
      </c>
      <c r="H553" s="9" t="str">
        <f t="shared" si="21"/>
        <v/>
      </c>
    </row>
    <row r="554" spans="1:29" ht="28.5" customHeight="1">
      <c r="F554" s="8" t="str">
        <f>IF(A554="", "", "gift-codes.html?game=" &amp; A554)</f>
        <v/>
      </c>
      <c r="H554" s="9" t="str">
        <f t="shared" ref="H554:H612" si="22">IF(A554="", "", "https://www.ssbuy.tw/game-detail.html?game="&amp;A554)</f>
        <v/>
      </c>
    </row>
    <row r="555" spans="1:29" ht="28.5" customHeight="1">
      <c r="F555" s="8" t="str">
        <f>IF(A555="", "", "gift-codes.html?game=" &amp; A555)</f>
        <v/>
      </c>
      <c r="H555" s="9" t="str">
        <f t="shared" si="22"/>
        <v/>
      </c>
    </row>
    <row r="556" spans="1:29" ht="28.5" customHeight="1">
      <c r="F556" s="8" t="str">
        <f>IF(A556="", "", "gift-codes.html?game=" &amp; A556)</f>
        <v/>
      </c>
      <c r="H556" s="9" t="str">
        <f t="shared" si="22"/>
        <v/>
      </c>
    </row>
    <row r="557" spans="1:29" ht="28.5" customHeight="1">
      <c r="H557" s="9" t="str">
        <f t="shared" si="22"/>
        <v/>
      </c>
    </row>
    <row r="558" spans="1:29" ht="28.5" customHeight="1">
      <c r="H558" s="9" t="str">
        <f t="shared" si="22"/>
        <v/>
      </c>
    </row>
    <row r="559" spans="1:29" ht="28.5" customHeight="1">
      <c r="H559" s="9" t="str">
        <f t="shared" si="22"/>
        <v/>
      </c>
    </row>
    <row r="560" spans="1:29"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1"/>
  <sheetViews>
    <sheetView zoomScale="85" zoomScaleNormal="85" workbookViewId="0">
      <pane xSplit="1" ySplit="1" topLeftCell="B533" activePane="bottomRight" state="frozen"/>
      <selection pane="topRight" activeCell="B1" sqref="B1"/>
      <selection pane="bottomLeft" activeCell="A2" sqref="A2"/>
      <selection pane="bottomRight" activeCell="A547" sqref="A54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5464</v>
      </c>
      <c r="G517" s="3" t="s">
        <v>9340</v>
      </c>
      <c r="H517" s="51" t="s">
        <v>6988</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5464</v>
      </c>
      <c r="G519" s="3" t="s">
        <v>9340</v>
      </c>
      <c r="H519" s="51" t="s">
        <v>6988</v>
      </c>
      <c r="K519" s="100" t="s">
        <v>5495</v>
      </c>
      <c r="L519" s="51" t="s">
        <v>5496</v>
      </c>
      <c r="M519" s="6" t="s">
        <v>9251</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9259</v>
      </c>
      <c r="G521" s="3" t="s">
        <v>9260</v>
      </c>
      <c r="H521" s="51" t="s">
        <v>6988</v>
      </c>
      <c r="K521" s="100" t="s">
        <v>5495</v>
      </c>
      <c r="L521" s="51" t="s">
        <v>5496</v>
      </c>
      <c r="M521" s="6" t="s">
        <v>9261</v>
      </c>
      <c r="O521" s="6" t="s">
        <v>9262</v>
      </c>
      <c r="Q521" s="6" t="s">
        <v>9263</v>
      </c>
      <c r="S521" s="6" t="s">
        <v>9264</v>
      </c>
      <c r="U521" s="6" t="s">
        <v>9246</v>
      </c>
      <c r="W521" s="6" t="s">
        <v>9265</v>
      </c>
      <c r="Y521" s="6" t="s">
        <v>9266</v>
      </c>
      <c r="AA521" s="6" t="s">
        <v>9267</v>
      </c>
      <c r="AC521" s="6" t="s">
        <v>9268</v>
      </c>
      <c r="AE521" s="6" t="s">
        <v>9269</v>
      </c>
      <c r="AG521" s="6" t="s">
        <v>9270</v>
      </c>
      <c r="AI521" s="6" t="s">
        <v>9271</v>
      </c>
      <c r="AK521" s="6" t="s">
        <v>9272</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5464</v>
      </c>
      <c r="G524" s="3" t="s">
        <v>9340</v>
      </c>
      <c r="H524" s="51" t="s">
        <v>6988</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8110</v>
      </c>
      <c r="G526" s="3" t="s">
        <v>9337</v>
      </c>
      <c r="H526" s="51" t="s">
        <v>6988</v>
      </c>
      <c r="K526" s="100" t="s">
        <v>5495</v>
      </c>
      <c r="L526" s="51" t="s">
        <v>5496</v>
      </c>
      <c r="M526" s="6" t="s">
        <v>9252</v>
      </c>
      <c r="N526" s="40" t="s">
        <v>9253</v>
      </c>
      <c r="O526" s="6" t="s">
        <v>9338</v>
      </c>
      <c r="Q526" s="6" t="s">
        <v>9339</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5464</v>
      </c>
      <c r="G528" s="3" t="s">
        <v>9340</v>
      </c>
      <c r="H528" s="51" t="s">
        <v>6988</v>
      </c>
      <c r="K528" s="100" t="s">
        <v>5495</v>
      </c>
      <c r="L528" s="51" t="s">
        <v>5496</v>
      </c>
      <c r="M528" s="6" t="s">
        <v>9249</v>
      </c>
      <c r="O528" s="6" t="s">
        <v>9250</v>
      </c>
    </row>
    <row r="529" spans="1:47"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47"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47" ht="28.5" customHeight="1">
      <c r="A531" s="67" t="str">
        <f>IF(games!A531="", "", games!A531)</f>
        <v>蟋蟀江湖</v>
      </c>
      <c r="C531" s="51" t="str">
        <f t="shared" si="20"/>
        <v>giftcodesbanner/蟋蟀江湖-禮包碼.jpg</v>
      </c>
      <c r="D531" s="51" t="str">
        <f t="shared" si="21"/>
        <v>https://www.ssbuy.tw/gift-codes.html?game=蟋蟀江湖</v>
      </c>
      <c r="E531" s="91" t="str">
        <f>IF(games!I531&lt;&gt;"", games!I531, "")</f>
        <v>《蟋蟀江湖》是一款正宗還原中國經典鬥蟲文化的模擬經營養成手遊。玩家將從普通的捕蟲少年做起，深入荒草古宅尋覓名蟲異種，親手培育出橫掃擂台的專屬蟲王，體驗豐富的蟋蟀策略對戰。  為了讓玩家迅速取得優勢，我們特別整理了最新兌換碼與官方禮包碼，助你輕鬆兌換極品蟲糧與稀有道具！想在爭霸賽中奪得先機、免去繁瑣的繁育過程，推薦使用本店的代儲值服務，流程快速安全有保障。不論是想尋找最完整的遊戲攻略，還是追求高效率的升級管道，這裡都能滿足你的需求，快來下載開啟屬於你的馴蟲宗師傳奇吧！</v>
      </c>
      <c r="F531" s="92" t="s">
        <v>5232</v>
      </c>
      <c r="K531" s="100" t="s">
        <v>5495</v>
      </c>
      <c r="L531" s="51" t="s">
        <v>5496</v>
      </c>
    </row>
    <row r="532" spans="1:47" ht="28.5" customHeight="1">
      <c r="A532" s="67" t="str">
        <f>IF(games!A532="", "", games!A532)</f>
        <v>星海奇航</v>
      </c>
      <c r="C532" s="51" t="str">
        <f t="shared" si="20"/>
        <v>giftcodesbanner/星海奇航-禮包碼.jpg</v>
      </c>
      <c r="D532" s="51" t="str">
        <f t="shared" si="21"/>
        <v>https://www.ssbuy.tw/gift-codes.html?game=星海奇航</v>
      </c>
      <c r="E532" s="91" t="str">
        <f>IF(games!I532&lt;&gt;"", games!I532, "")</f>
        <v>探索《星海奇航》，開啟一段壯闊的星際冒險！這款遊戲融合了精緻的太空艦隊指揮與策略養成要素，讓玩家在浩瀚銀河中開拓疆土，體驗極致的戰略對決。想在戰場上脫穎而出嗎？本站提供最新的遊戲攻略，助您快速上手。此外，我們也會即時更新最新的兌換碼與官方禮包碼，讓您領取豐富資源，贏在起跑點。若您想進一步提升戰力，我們提供專業且價格實惠的代儲值服務，流程快速安全，絕對是您的最佳選擇。現在就加入《星海奇航》，構築您的星際霸業，與全球玩家一同爭霸宇宙，體驗最真實的太空戰爭魅力，成為真正的銀河領袖吧！</v>
      </c>
      <c r="F532" s="92" t="s">
        <v>5464</v>
      </c>
      <c r="G532" s="3" t="s">
        <v>9340</v>
      </c>
      <c r="H532" s="51" t="s">
        <v>6988</v>
      </c>
      <c r="K532" s="100" t="s">
        <v>5495</v>
      </c>
      <c r="L532" s="51" t="s">
        <v>5496</v>
      </c>
      <c r="M532" s="6" t="s">
        <v>9319</v>
      </c>
      <c r="O532" s="6" t="s">
        <v>9320</v>
      </c>
      <c r="Q532" s="6" t="s">
        <v>9321</v>
      </c>
      <c r="S532" s="6" t="s">
        <v>9322</v>
      </c>
      <c r="U532" s="6" t="s">
        <v>9323</v>
      </c>
      <c r="W532" s="6" t="s">
        <v>9324</v>
      </c>
      <c r="Y532" s="6" t="s">
        <v>9325</v>
      </c>
      <c r="AA532" s="6" t="s">
        <v>9326</v>
      </c>
      <c r="AC532" s="6" t="s">
        <v>9327</v>
      </c>
      <c r="AE532" s="6" t="s">
        <v>9328</v>
      </c>
      <c r="AG532" s="6" t="s">
        <v>9329</v>
      </c>
    </row>
    <row r="533" spans="1:47" ht="28.5" customHeight="1">
      <c r="A533" s="67" t="str">
        <f>IF(games!A533="", "", games!A533)</f>
        <v>天命：六道輪迴</v>
      </c>
      <c r="C533" s="51" t="str">
        <f t="shared" si="20"/>
        <v>giftcodesbanner/天命：六道輪迴-禮包碼.jpg</v>
      </c>
      <c r="D533" s="51" t="str">
        <f t="shared" si="21"/>
        <v>https://www.ssbuy.tw/gift-codes.html?game=天命：六道輪迴</v>
      </c>
      <c r="E533" s="91" t="str">
        <f>IF(games!I533&lt;&gt;"", games!I533, "")</f>
        <v>歡迎踏入《天命：六道輪迴》的神秘世界，體驗這款充滿東方玄幻色彩的熱門手遊。遊戲以輪迴轉世為核心，精緻的畫風與流暢的技能打擊感，讓您沉浸在修仙之路。遇到升級瓶頸了嗎？歡迎查看我們準備的詳細攻略，助您快速突破。同時，別錯過我們整理的最新兌換碼與官方禮包碼，海量虛寶等您領取。追求極致遊戲體驗的玩家，歡迎使用我們的代儲值服務，過程保證快速安全，讓您輕鬆享有 VIP 尊榮。快來《天命：六道輪迴》改寫命運，挑戰六道極限，與好友一同闖蕩這充滿未知與機遇的仙俠世界，書寫屬於您的傳奇故事！</v>
      </c>
      <c r="F533" s="92" t="s">
        <v>9342</v>
      </c>
      <c r="G533" s="3" t="s">
        <v>9343</v>
      </c>
      <c r="H533" s="51" t="s">
        <v>6988</v>
      </c>
      <c r="K533" s="100" t="s">
        <v>5495</v>
      </c>
      <c r="L533" s="51" t="s">
        <v>5496</v>
      </c>
      <c r="M533" s="6" t="s">
        <v>9344</v>
      </c>
      <c r="O533" s="6" t="s">
        <v>9345</v>
      </c>
      <c r="Q533" s="6" t="s">
        <v>9346</v>
      </c>
      <c r="S533" s="6" t="s">
        <v>9347</v>
      </c>
      <c r="U533" s="6" t="s">
        <v>3179</v>
      </c>
      <c r="W533" s="6" t="s">
        <v>9348</v>
      </c>
      <c r="Y533" s="6" t="s">
        <v>9349</v>
      </c>
      <c r="AA533" s="6" t="s">
        <v>9350</v>
      </c>
      <c r="AC533" s="6" t="s">
        <v>9351</v>
      </c>
      <c r="AE533" s="6" t="s">
        <v>9352</v>
      </c>
      <c r="AG533" s="6" t="s">
        <v>9353</v>
      </c>
      <c r="AI533" s="6" t="s">
        <v>9354</v>
      </c>
      <c r="AK533" s="6" t="s">
        <v>9355</v>
      </c>
      <c r="AM533" s="6" t="s">
        <v>9356</v>
      </c>
      <c r="AO533" s="6" t="s">
        <v>9357</v>
      </c>
      <c r="AQ533" s="6" t="s">
        <v>9358</v>
      </c>
      <c r="AS533" s="6" t="s">
        <v>9359</v>
      </c>
      <c r="AU533" s="6" t="s">
        <v>9360</v>
      </c>
    </row>
    <row r="534" spans="1:47" ht="28.5" customHeight="1">
      <c r="A534" s="67" t="str">
        <f>IF(games!A534="", "", games!A534)</f>
        <v>屍傅別追我：泰多鬼啦</v>
      </c>
      <c r="C534" s="51" t="str">
        <f t="shared" si="20"/>
        <v>giftcodesbanner/屍傅別追我：泰多鬼啦-禮包碼.jpg</v>
      </c>
      <c r="D534" s="51" t="str">
        <f t="shared" si="21"/>
        <v>https://www.ssbuy.tw/gift-codes.html?game=屍傅別追我：泰多鬼啦</v>
      </c>
      <c r="E534" s="91" t="str">
        <f>IF(games!I534&lt;&gt;"", games!I534, "")</f>
        <v>準備好迎接《屍傅別追我：泰多鬼啦》帶來的驚悚與樂趣了嗎？這是一款極具特色的恐怖解謎 RPG，結合了幽默感十足的劇情與驚險的逃生體驗，讓您在笑聲與尖叫中挑戰極限。遊戲中需要掌握生存技巧，查看我們整理的攻略，助您在鬼怪追逐中生存下來。此外，我們為您準備了最新的兌換碼與官方禮包碼，幫助您獲取關鍵裝備。若需要補給資源，請嘗試我們專業的代儲值服務，不僅快速安全，更能讓您毫無後顧之憂地專注於遊戲樂趣。立刻下載《屍傅別追我：泰多鬼啦》，與各路奇葩妖魔對抗，展開一場前所未有的心跳旅程！</v>
      </c>
      <c r="F534" s="92" t="s">
        <v>5232</v>
      </c>
      <c r="K534" s="100" t="s">
        <v>5495</v>
      </c>
      <c r="L534" s="51" t="s">
        <v>5496</v>
      </c>
    </row>
    <row r="535" spans="1:47" ht="28.5" customHeight="1">
      <c r="A535" s="67" t="str">
        <f>IF(games!A535="", "", games!A535)</f>
        <v>地獄重生</v>
      </c>
      <c r="C535" s="51" t="str">
        <f t="shared" si="20"/>
        <v>giftcodesbanner/地獄重生-禮包碼.jpg</v>
      </c>
      <c r="D535" s="51" t="str">
        <f t="shared" si="21"/>
        <v>https://www.ssbuy.tw/gift-codes.html?game=地獄重生</v>
      </c>
      <c r="E535" s="91" t="str">
        <f>IF(games!I535&lt;&gt;"", games!I535, "")</f>
        <v>《地獄重生》帶您進入一個充滿黑暗與救贖的史詩世界，這是一款動作感十足的冒險手遊，深沉的劇情與華麗的戰鬥特效是其最大特色。想要輕鬆通關各類副本嗎？本站提供詳細的戰鬥攻略，幫助您快速提升角色戰力。別忘了領取我們更新的最新兌換碼與官方禮包碼，滿滿資源讓您無往不利。如果您希望更進一步加速進程，歡迎使用我們專業的代儲值服務，服務流程快速安全，為您的冒險之路保駕護航。現在就加入《地獄重生》，在絕境中尋找新生的希望，與好友組隊挑戰強大敵人，感受這場視覺與操作的震撼盛宴，成就您的英雄傳說！</v>
      </c>
      <c r="F535" s="92" t="s">
        <v>5232</v>
      </c>
      <c r="K535" s="100" t="s">
        <v>5495</v>
      </c>
      <c r="L535" s="51" t="s">
        <v>5496</v>
      </c>
    </row>
    <row r="536" spans="1:47" ht="28.5" customHeight="1">
      <c r="A536" s="67" t="str">
        <f>IF(games!A536="", "", games!A536)</f>
        <v>獨步仙途</v>
      </c>
      <c r="C536" s="51" t="str">
        <f t="shared" si="20"/>
        <v>giftcodesbanner/獨步仙途-禮包碼.jpg</v>
      </c>
      <c r="D536" s="51" t="str">
        <f t="shared" si="21"/>
        <v>https://www.ssbuy.tw/gift-codes.html?game=獨步仙途</v>
      </c>
      <c r="E536" s="91" t="str">
        <f>IF(games!I536&lt;&gt;"", games!I536, "")</f>
        <v>《獨步仙途》為您開啟一段浪漫且唯美的修仙之旅。遊戲融合了經典修真設定與現代化養成系統，畫面細膩，劇情感人，讓玩家真正體會到一步步修煉成仙的樂趣。想在眾多修仙者中脫穎而出嗎？我們的專屬攻略能幫您快速成長。別忘了追蹤最新的兌換碼與官方禮包碼，讓您資源不匱乏。若您追求更高的修煉效率，歡迎選擇我們快速安全的代儲值服務，讓您輕鬆獲取頂級資源，省時又省力。立刻開啟您的《獨步仙途》，在飄渺仙境中尋找屬於您的機緣，結交修仙伴侶，攜手共赴飛升之路，寫下屬於您的修仙佳話，成就修真界的巔峰傳奇！</v>
      </c>
      <c r="F536" s="92" t="s">
        <v>5464</v>
      </c>
      <c r="G536" s="3" t="s">
        <v>9340</v>
      </c>
      <c r="H536" s="51" t="s">
        <v>6988</v>
      </c>
      <c r="K536" s="100" t="s">
        <v>5495</v>
      </c>
      <c r="L536" s="51" t="s">
        <v>5496</v>
      </c>
      <c r="M536" s="6" t="s">
        <v>9316</v>
      </c>
      <c r="O536" s="6" t="s">
        <v>9317</v>
      </c>
      <c r="Q536" s="6" t="s">
        <v>9318</v>
      </c>
    </row>
    <row r="537" spans="1:47" ht="28.5" customHeight="1">
      <c r="A537" s="67" t="str">
        <f>IF(games!A537="", "", games!A537)</f>
        <v>褪色界域：瑟匹亞</v>
      </c>
      <c r="C537" s="51" t="str">
        <f t="shared" si="20"/>
        <v>giftcodesbanner/褪色界域：瑟匹亞-禮包碼.jpg</v>
      </c>
      <c r="D537" s="51" t="str">
        <f t="shared" si="21"/>
        <v>https://www.ssbuy.tw/gift-codes.html?game=褪色界域：瑟匹亞</v>
      </c>
      <c r="E537" s="91" t="str">
        <f>IF(games!I537&lt;&gt;"", games!I537, "")</f>
        <v>來到《褪色界域: 瑟匹亞》，探索充滿藝術氣息的奇幻大陸。這款遊戲以獨特的畫面風格與深度策略玩法著稱，讓玩家在精緻的世界中挑戰各類強敵。遇到困難挑戰了嗎？參考我們的攻略資訊，讓您快速掌握通關秘訣。別忘了使用我們提供的最新兌換碼與官方禮包碼，獲取珍貴成長資源。我們更為您提供專業的代儲值服務，保證快速安全，讓您將資源轉化為絕對戰力。快來下載《褪色界域: 瑟匹亞》，與各式英雄角色並肩作戰，在這片褪色的界域中書寫希望，體驗獨一無二的策略戰鬥快感，成為引領這個世界走向新未來的領軍者！</v>
      </c>
      <c r="F537" s="92" t="s">
        <v>5464</v>
      </c>
      <c r="G537" s="3" t="s">
        <v>9340</v>
      </c>
      <c r="H537" s="51" t="s">
        <v>6988</v>
      </c>
      <c r="K537" s="100" t="s">
        <v>5495</v>
      </c>
      <c r="L537" s="51" t="s">
        <v>5496</v>
      </c>
      <c r="M537" s="6" t="s">
        <v>9315</v>
      </c>
    </row>
    <row r="538" spans="1:47" ht="28.5" customHeight="1">
      <c r="A538" s="67" t="str">
        <f>IF(games!A538="", "", games!A538)</f>
        <v>刃與三國：烽火爭霸</v>
      </c>
      <c r="C538" s="51" t="str">
        <f t="shared" si="20"/>
        <v>giftcodesbanner/刃與三國：烽火爭霸-禮包碼.jpg</v>
      </c>
      <c r="D538" s="51" t="str">
        <f t="shared" si="21"/>
        <v>https://www.ssbuy.tw/gift-codes.html?game=刃與三國：烽火爭霸</v>
      </c>
      <c r="E538" s="91" t="str">
        <f>IF(games!I538&lt;&gt;"", games!I538, "")</f>
        <v>《刃與三國:烽火爭霸》帶您回到烽火連天的三國亂世！這是一款考驗玩家戰術與領導能力的策略遊戲，真實還原了三國名將與歷史戰役。想要運籌帷幄、一統天下嗎？本站詳盡的遊戲攻略是您必備的軍師寶典。別忘了領取最新的兌換碼與官方禮包碼，讓您的軍隊更強大。我們同時提供穩定、快速安全的代儲值服務，協助您迅速壯大城池與部隊。現在就加入《刃與三國:烽火爭霸》，招募心儀武將，制定完美的防禦與進攻策略，與全球主公在戰場上決勝千里，體驗最熱血的三國爭霸過程，成就您的三國霸業！</v>
      </c>
      <c r="F538" s="92" t="s">
        <v>9362</v>
      </c>
      <c r="G538" s="3" t="s">
        <v>9363</v>
      </c>
      <c r="H538" s="51" t="s">
        <v>6988</v>
      </c>
      <c r="K538" s="100" t="s">
        <v>5495</v>
      </c>
      <c r="L538" s="51" t="s">
        <v>5496</v>
      </c>
      <c r="M538" s="6" t="s">
        <v>9361</v>
      </c>
    </row>
    <row r="539" spans="1:47" ht="28.5" customHeight="1">
      <c r="A539" s="67" t="str">
        <f>IF(games!A539="", "", games!A539)</f>
        <v>我在江湖開後宮</v>
      </c>
      <c r="C539" s="51" t="str">
        <f t="shared" si="20"/>
        <v>giftcodesbanner/我在江湖開後宮-禮包碼.jpg</v>
      </c>
      <c r="D539" s="51" t="str">
        <f t="shared" si="21"/>
        <v>https://www.ssbuy.tw/gift-codes.html?game=我在江湖開後宮</v>
      </c>
      <c r="E539" s="91" t="str">
        <f>IF(games!I539&lt;&gt;"", games!I539, "")</f>
        <v>想在《我在江湖開後宮》中坐擁百媚紅顏，寫下你的不凡傳奇嗎？本作是一款結合唯美古風與後宮養成的武俠RPG。玩家將化身少俠勇闖動盪江湖，攜手颯爽俠女、冷艷掌門等百位佳人，在50萬字的精彩動態劇情中化解妖刀浩劫。遊戲主打經典武學搭配與暢快打擊感，更有輕鬆無損養成機制，讓你隨心換陣不爆肝！現在就獲取最新兌換碼與官方禮包碼，超值福利助你快速集結群雄。想在起跑點奪得先機？推薦選擇專業的代儲值服務，不僅快速安全，還能大幅提升戰力，輕鬆稱霸武林，開創專屬你的絕色江湖！</v>
      </c>
      <c r="F539" s="92" t="s">
        <v>9336</v>
      </c>
      <c r="G539" s="3" t="s">
        <v>9337</v>
      </c>
      <c r="H539" s="51" t="s">
        <v>6988</v>
      </c>
      <c r="K539" s="100" t="s">
        <v>5495</v>
      </c>
      <c r="L539" s="51" t="s">
        <v>5496</v>
      </c>
    </row>
    <row r="540" spans="1:47" ht="28.5" customHeight="1">
      <c r="A540" s="67" t="str">
        <f>IF(games!A540="", "", games!A540)</f>
        <v>猛鬼三國</v>
      </c>
      <c r="C540" s="51" t="str">
        <f t="shared" si="20"/>
        <v>giftcodesbanner/猛鬼三國-禮包碼.jpg</v>
      </c>
      <c r="D540" s="51" t="str">
        <f t="shared" si="21"/>
        <v>https://www.ssbuy.tw/gift-codes.html?game=猛鬼三國</v>
      </c>
      <c r="E540" s="91" t="str">
        <f>IF(games!I540&lt;&gt;"", games!I540, "")</f>
        <v>當烽火連天的三國古戰場化為陰森詭譎的幽冥世界，您能否駕馭化身為百鬼的傳奇名將？《猛鬼三國》巧妙結合了神秘的靈異氛圍與極具深度的策略放置玩法，玩家將在百鬼夜行之際佈署獨一無二的驅魔陣容！為了讓主公們在闇夜爭霸中順利突圍，我們特別整理出最實用的通關攻略與最新兌換碼，帶您快速領取超實用的官方禮包碼！若渴望在短時間內大幅提升部隊戰力，推薦您體驗口碑首選的專業遊戲代儲值服務，全程嚴格把關、快速安全，助您在猛鬼肆虐的亂世中輕鬆成就頂尖無敵霸業！</v>
      </c>
      <c r="F540" s="92" t="s">
        <v>5232</v>
      </c>
      <c r="K540" s="100" t="s">
        <v>5495</v>
      </c>
      <c r="L540" s="51" t="s">
        <v>5496</v>
      </c>
    </row>
    <row r="541" spans="1:47" ht="28.5" customHeight="1">
      <c r="A541" s="67" t="str">
        <f>IF(games!A541="", "", games!A541)</f>
        <v>大航海：怒海遠征</v>
      </c>
      <c r="C541" s="51" t="str">
        <f t="shared" si="20"/>
        <v>giftcodesbanner/大航海：怒海遠征-禮包碼.jpg</v>
      </c>
      <c r="D541" s="51" t="str">
        <f t="shared" si="21"/>
        <v>https://www.ssbuy.tw/gift-codes.html?game=大航海：怒海遠征</v>
      </c>
      <c r="E541" s="91" t="str">
        <f>IF(games!I541&lt;&gt;"", games!I541, "")</f>
        <v>想要體驗乘風破浪的極致快感？《大航海：怒海遠征》絕對是你不可錯過的精彩RPG！玩家將化身野心勃勃的航海家，在風雲變幻的汪洋中建立商貿帝國，並指揮龐大艦隊參與熱血沸騰的史詩級海戰。為了讓各位船長順利啟航，我們獨家匯整了實用的通關攻略，更準備了超豐厚的最新兌換碼及官方禮包碼，讓你的資源源源不絕！遇到卡關也不怕，我們提供最優質的代儲值系統，不僅價格實惠，更是快速安全。立刻集結你的水手，升起骷髏旗，一起征服這片廣大而神秘的蔚藍海域，締造傳奇！</v>
      </c>
      <c r="F541" s="92" t="s">
        <v>5232</v>
      </c>
      <c r="K541" s="100" t="s">
        <v>5495</v>
      </c>
      <c r="L541" s="51" t="s">
        <v>5496</v>
      </c>
    </row>
    <row r="542" spans="1:47" ht="28.5" customHeight="1">
      <c r="A542" s="67" t="str">
        <f>IF(games!A542="", "", games!A542)</f>
        <v>hololive Dreams</v>
      </c>
      <c r="C542" s="51" t="str">
        <f t="shared" si="20"/>
        <v>giftcodesbanner/hololive Dreams-禮包碼.jpg</v>
      </c>
      <c r="D542" s="51" t="str">
        <f t="shared" si="21"/>
        <v>https://www.ssbuy.tw/gift-codes.html?game=hololive Dreams</v>
      </c>
      <c r="E542" s="91" t="str">
        <f>IF(games!I542&lt;&gt;"", games!I542, "")</f>
        <v>《hololive Dreams》帶你進入充滿偶像魅力的無人島！這是一款融合了節奏點擊與RPG養成的超有趣手遊，集結50多位VTuber，並收錄超過150首洗腦好歌。不知道怎麼開局？別擔心！來看看我們整理的破關攻略與最新兌換碼，讓你輕鬆升級。輸入專屬的官方禮包碼，還能立刻獲得豐厚道具喔！若想快速擴建你的夢想樂園，我們也有提供最專業的代儲值協助，保證交易快速安全。現在就下載遊戲，跟著你最愛的推し一起享受音樂、盡情闖關，創造最歡樂的專屬回憶吧！</v>
      </c>
      <c r="F542" s="92" t="s">
        <v>5232</v>
      </c>
      <c r="K542" s="100" t="s">
        <v>5495</v>
      </c>
      <c r="L542" s="51" t="s">
        <v>5496</v>
      </c>
    </row>
    <row r="543" spans="1:47" ht="28.5" customHeight="1">
      <c r="A543" s="67" t="str">
        <f>IF(games!A543="", "", games!A543)</f>
        <v>萬象山海</v>
      </c>
      <c r="C543" s="51" t="str">
        <f t="shared" si="20"/>
        <v>giftcodesbanner/萬象山海-禮包碼.jpg</v>
      </c>
      <c r="D543" s="51" t="str">
        <f t="shared" si="21"/>
        <v>https://www.ssbuy.tw/gift-codes.html?game=萬象山海</v>
      </c>
      <c r="E543" s="91" t="str">
        <f>IF(games!I543&lt;&gt;"", games!I543, "")</f>
        <v>粉絲期盼的《萬象山海》正式上線啦！這款奇幻手遊以經典山海經為大背景，讓你自由自在捕捉上古稀有神獸，盡情體驗獨特的修仙養成與極致暢快華麗戰鬥！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3" s="92" t="s">
        <v>5232</v>
      </c>
      <c r="K543" s="100" t="s">
        <v>5495</v>
      </c>
      <c r="L543" s="51" t="s">
        <v>5496</v>
      </c>
    </row>
    <row r="544" spans="1:47" ht="28.5" customHeight="1">
      <c r="A544" s="67" t="str">
        <f>IF(games!A544="", "", games!A544)</f>
        <v>三國觀滄海</v>
      </c>
      <c r="C544" s="51" t="str">
        <f t="shared" si="20"/>
        <v>giftcodesbanner/三國觀滄海-禮包碼.jpg</v>
      </c>
      <c r="D544" s="51" t="str">
        <f t="shared" si="21"/>
        <v>https://www.ssbuy.tw/gift-codes.html?game=三國觀滄海</v>
      </c>
      <c r="E544" s="91" t="str">
        <f>IF(games!I544&lt;&gt;"", games!I544, "")</f>
        <v>踏入《三國觀滄海》的奇妙世界，展開未知的無盡冒險！這款策略神作讓你化身主公，培養專屬的武將陣容並靈活運用戰術，輕鬆橫掃千軍破敵！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4" s="92" t="s">
        <v>5232</v>
      </c>
      <c r="K544" s="100" t="s">
        <v>5495</v>
      </c>
      <c r="L544" s="51" t="s">
        <v>5496</v>
      </c>
    </row>
    <row r="545" spans="1:12" ht="28.5" customHeight="1">
      <c r="A545" s="67" t="str">
        <f>IF(games!A545="", "", games!A545)</f>
        <v>美男戰國</v>
      </c>
      <c r="C545" s="51" t="str">
        <f t="shared" ref="C545:C579" si="22">IF(A545="","", "giftcodesbanner/" &amp; A545 &amp; "-禮包碼.jpg")</f>
        <v>giftcodesbanner/美男戰國-禮包碼.jpg</v>
      </c>
      <c r="D545" s="51" t="str">
        <f t="shared" ref="D545:D579" si="23">IF(A545="","", "https://www.ssbuy.tw/gift-codes.html?game="&amp;A545)</f>
        <v>https://www.ssbuy.tw/gift-codes.html?game=美男戰國</v>
      </c>
      <c r="E545" s="91" t="str">
        <f>IF(games!I545&lt;&gt;"", games!I545, "")</f>
        <v>萬眾矚目的《美男戰國》終於與大家見面啦！這款超高人氣乙女鉅作，讓你邂逅多位性格迥異的絕美戰國武將，享受豪華聲優陣容帶來的沉浸式戀愛體驗！不知道開局該怎麼玩才好嗎？別擔心！來看看我們用心整理的超實用破關攻略與最新兌換碼，讓您輕輕鬆鬆迅速升級。只要輸入專屬的官方禮包碼，還能立刻獲得豐厚的夢幻道具喔！若想快速擴建您的無敵夢想陣容，我們也有提供最專業的代儲值協助，保證交易流程快速安全。現在就下載遊戲，跟著喜愛的角色們一起享受無窮樂趣，創造專屬美好回憶吧！</v>
      </c>
      <c r="F545" s="92" t="s">
        <v>5232</v>
      </c>
      <c r="K545" s="100" t="s">
        <v>5495</v>
      </c>
      <c r="L545" s="51" t="s">
        <v>5496</v>
      </c>
    </row>
    <row r="546" spans="1:12" ht="28.5" customHeight="1">
      <c r="A546" s="67" t="str">
        <f>IF(games!A546="", "", games!A546)</f>
        <v>搞鬼M</v>
      </c>
      <c r="C546" s="51" t="str">
        <f t="shared" si="22"/>
        <v>giftcodesbanner/搞鬼M-禮包碼.jpg</v>
      </c>
      <c r="D546" s="51" t="str">
        <f t="shared" si="23"/>
        <v>https://www.ssbuy.tw/gift-codes.html?game=搞鬼M</v>
      </c>
      <c r="E546" s="91" t="str">
        <f>IF(games!I546&lt;&gt;"", games!I546, "")</f>
        <v>踏入《搞鬼M》的奇妙世界，展開未知的無盡冒險！這款經典進化鉅作，讓你與好友結伴同行，收集萌寵並挑戰強大首領，找回最初的純粹感動！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6" s="92" t="s">
        <v>5232</v>
      </c>
      <c r="K546" s="100" t="s">
        <v>5495</v>
      </c>
      <c r="L546" s="51" t="s">
        <v>5496</v>
      </c>
    </row>
    <row r="547" spans="1:12" ht="28.5" customHeight="1">
      <c r="A547" s="67" t="str">
        <f>IF(games!A547="", "", games!A547)</f>
        <v>喵喵騎士：放置RPG</v>
      </c>
      <c r="C547" s="51" t="str">
        <f t="shared" si="22"/>
        <v>giftcodesbanner/喵喵騎士：放置RPG-禮包碼.jpg</v>
      </c>
      <c r="D547" s="51" t="str">
        <f t="shared" si="23"/>
        <v>https://www.ssbuy.tw/gift-codes.html?game=喵喵騎士：放置RPG</v>
      </c>
      <c r="E547" s="91" t="str">
        <f>IF(games!I547&lt;&gt;"", games!I547, "")</f>
        <v>粉絲期盼的《喵喵騎士:放置RPG》正式上線啦！這款療癒滿分手遊讓你化身勇敢貓咪，透過輕鬆掛機的放置玩法，不斷升級裝備並擊退邪惡強大怪物！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7" s="92" t="s">
        <v>5232</v>
      </c>
      <c r="K547" s="100" t="s">
        <v>5495</v>
      </c>
      <c r="L547" s="51" t="s">
        <v>5496</v>
      </c>
    </row>
    <row r="548" spans="1:12" ht="28.5" customHeight="1">
      <c r="A548" s="67" t="str">
        <f>IF(games!A548="", "", games!A548)</f>
        <v>女神帝國：天使降臨</v>
      </c>
      <c r="C548" s="51" t="str">
        <f t="shared" si="22"/>
        <v>giftcodesbanner/女神帝國：天使降臨-禮包碼.jpg</v>
      </c>
      <c r="D548" s="51" t="str">
        <f t="shared" si="23"/>
        <v>https://www.ssbuy.tw/gift-codes.html?game=女神帝國：天使降臨</v>
      </c>
      <c r="E548" s="91" t="str">
        <f>IF(games!I548&lt;&gt;"", games!I548, "")</f>
        <v>踏入《女神帝國：天使降臨》的奇妙世界，展開未知的無盡冒險！這款冒險讓你與專屬女神締結契約，解鎖隱藏絕技並一同守護和平！想在奇幻世界裡輕鬆稱霸並萬人之上嗎？我們為您準備了最詳盡的獨家攻略與最新兌換碼，讓您開局就能輕鬆領先群雄。千萬別忘了領取專屬的官方禮包碼，迅速獲取超珍稀絕版資源！若想更有效率地提升總體戰力，我們還提供專業高品質代儲值服務，交易過程絕對快速安全，讓您的冒險之路暢通無阻。現在立刻加入這款超級大作，與傳奇夥伴並肩作戰寫下神話！</v>
      </c>
      <c r="F548" s="92" t="s">
        <v>5232</v>
      </c>
      <c r="K548" s="100" t="s">
        <v>5495</v>
      </c>
      <c r="L548" s="51" t="s">
        <v>5496</v>
      </c>
    </row>
    <row r="549" spans="1:12" ht="28.5" customHeight="1">
      <c r="A549" s="67" t="str">
        <f>IF(games!A549="", "", games!A549)</f>
        <v>地下城見聞錄</v>
      </c>
      <c r="C549" s="51" t="str">
        <f t="shared" si="22"/>
        <v>giftcodesbanner/地下城見聞錄-禮包碼.jpg</v>
      </c>
      <c r="D549" s="51" t="str">
        <f t="shared" si="23"/>
        <v>https://www.ssbuy.tw/gift-codes.html?game=地下城見聞錄</v>
      </c>
      <c r="E549" s="91" t="str">
        <f>IF(games!I549&lt;&gt;"", games!I549, "")</f>
        <v>粉絲期盼的《地下城見聞錄》正式上線啦！這款刺激探險RPG，帶您深入神秘無比的地城迷宮，享受充滿隨機與驚喜的Roguelike戰鬥樂趣！想在初期快速發展並取得極大優勢嗎？我們特別準備了超詳細的新手通關攻略以及最新兌換碼，幫您輕鬆度過拓荒期。記得領取豐富的專屬官方禮包碼，加速收集喜愛角色與神級裝備！如果您想更進一步，我們也有提供最優質專業的代儲值服務，整個交易過程絕對保證快速安全，讓您盡情沉浸在歡樂的遊戲時光，現在就趕快來打造你的夢幻陣容吧！</v>
      </c>
      <c r="F549" s="92" t="s">
        <v>5232</v>
      </c>
      <c r="K549" s="100" t="s">
        <v>5495</v>
      </c>
      <c r="L549" s="51" t="s">
        <v>5496</v>
      </c>
    </row>
    <row r="550" spans="1:12" ht="28.5" customHeight="1">
      <c r="A550" s="67" t="str">
        <f>IF(games!A550="", "", games!A550)</f>
        <v/>
      </c>
      <c r="C550" s="51" t="str">
        <f t="shared" si="22"/>
        <v/>
      </c>
      <c r="D550" s="51" t="str">
        <f t="shared" si="23"/>
        <v/>
      </c>
      <c r="E550" s="91" t="str">
        <f>IF(games!I550&lt;&gt;"", games!I550, "")</f>
        <v/>
      </c>
    </row>
    <row r="551" spans="1:12" ht="28.5" customHeight="1">
      <c r="A551" s="67" t="str">
        <f>IF(games!A551="", "", games!A551)</f>
        <v/>
      </c>
      <c r="C551" s="51" t="str">
        <f t="shared" si="22"/>
        <v/>
      </c>
      <c r="D551" s="51" t="str">
        <f t="shared" si="23"/>
        <v/>
      </c>
      <c r="E551" s="91" t="str">
        <f>IF(games!I551&lt;&gt;"", games!I551, "")</f>
        <v/>
      </c>
    </row>
    <row r="552" spans="1:12" ht="28.5" customHeight="1">
      <c r="A552" s="67" t="str">
        <f>IF(games!A552="", "", games!A552)</f>
        <v/>
      </c>
      <c r="C552" s="51" t="str">
        <f t="shared" si="22"/>
        <v/>
      </c>
      <c r="D552" s="51" t="str">
        <f t="shared" si="23"/>
        <v/>
      </c>
      <c r="E552" s="91" t="str">
        <f>IF(games!I552&lt;&gt;"", games!I552, "")</f>
        <v/>
      </c>
    </row>
    <row r="553" spans="1:12" ht="28.5" customHeight="1">
      <c r="A553" s="67" t="str">
        <f>IF(games!A553="", "", games!A553)</f>
        <v/>
      </c>
      <c r="C553" s="51" t="str">
        <f t="shared" si="22"/>
        <v/>
      </c>
      <c r="D553" s="51" t="str">
        <f t="shared" si="23"/>
        <v/>
      </c>
      <c r="E553" s="91" t="str">
        <f>IF(games!I553&lt;&gt;"", games!I553, "")</f>
        <v/>
      </c>
    </row>
    <row r="554" spans="1:12" ht="28.5" customHeight="1">
      <c r="A554" s="67" t="str">
        <f>IF(games!A554="", "", games!A554)</f>
        <v/>
      </c>
      <c r="C554" s="51" t="str">
        <f t="shared" si="22"/>
        <v/>
      </c>
      <c r="D554" s="51" t="str">
        <f t="shared" si="23"/>
        <v/>
      </c>
      <c r="E554" s="91" t="str">
        <f>IF(games!I554&lt;&gt;"", games!I554, "")</f>
        <v/>
      </c>
    </row>
    <row r="555" spans="1:12" ht="28.5" customHeight="1">
      <c r="A555" s="67" t="str">
        <f>IF(games!A555="", "", games!A555)</f>
        <v/>
      </c>
      <c r="C555" s="51" t="str">
        <f t="shared" si="22"/>
        <v/>
      </c>
      <c r="D555" s="51" t="str">
        <f t="shared" si="23"/>
        <v/>
      </c>
      <c r="E555" s="91" t="str">
        <f>IF(games!I555&lt;&gt;"", games!I555, "")</f>
        <v/>
      </c>
    </row>
    <row r="556" spans="1:12" ht="28.5" customHeight="1">
      <c r="A556" s="67" t="str">
        <f>IF(games!A556="", "", games!A556)</f>
        <v/>
      </c>
      <c r="C556" s="51" t="str">
        <f t="shared" si="22"/>
        <v/>
      </c>
      <c r="D556" s="51" t="str">
        <f t="shared" si="23"/>
        <v/>
      </c>
      <c r="E556" s="91" t="str">
        <f>IF(games!I556&lt;&gt;"", games!I556, "")</f>
        <v/>
      </c>
    </row>
    <row r="557" spans="1:12" ht="28.5" customHeight="1">
      <c r="A557" s="67" t="str">
        <f>IF(games!A557="", "", games!A557)</f>
        <v/>
      </c>
      <c r="C557" s="51" t="str">
        <f t="shared" si="22"/>
        <v/>
      </c>
      <c r="D557" s="51" t="str">
        <f t="shared" si="23"/>
        <v/>
      </c>
      <c r="E557" s="91" t="str">
        <f>IF(games!I557&lt;&gt;"", games!I557, "")</f>
        <v/>
      </c>
    </row>
    <row r="558" spans="1:12" ht="28.5" customHeight="1">
      <c r="A558" s="67" t="str">
        <f>IF(games!A558="", "", games!A558)</f>
        <v/>
      </c>
      <c r="C558" s="51" t="str">
        <f t="shared" si="22"/>
        <v/>
      </c>
      <c r="D558" s="51" t="str">
        <f t="shared" si="23"/>
        <v/>
      </c>
      <c r="E558" s="91" t="str">
        <f>IF(games!I558&lt;&gt;"", games!I558, "")</f>
        <v/>
      </c>
    </row>
    <row r="559" spans="1:12" ht="28.5" customHeight="1">
      <c r="A559" s="67" t="str">
        <f>IF(games!A559="", "", games!A559)</f>
        <v/>
      </c>
      <c r="C559" s="51" t="str">
        <f t="shared" si="22"/>
        <v/>
      </c>
      <c r="D559" s="51" t="str">
        <f t="shared" si="23"/>
        <v/>
      </c>
      <c r="E559" s="91" t="str">
        <f>IF(games!I559&lt;&gt;"", games!I559, "")</f>
        <v/>
      </c>
    </row>
    <row r="560" spans="1:12"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row>
    <row r="581" spans="1:5">
      <c r="A581" s="67" t="str">
        <f>IF(games!A581="", "", games!A581)</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 ref="K531" r:id="rId271"/>
    <hyperlink ref="K532" r:id="rId272"/>
    <hyperlink ref="K533" r:id="rId273"/>
    <hyperlink ref="K534" r:id="rId274"/>
    <hyperlink ref="K535" r:id="rId275"/>
    <hyperlink ref="K536" r:id="rId276"/>
    <hyperlink ref="K537" r:id="rId277"/>
    <hyperlink ref="K538" r:id="rId278"/>
    <hyperlink ref="K539" r:id="rId279"/>
    <hyperlink ref="K540" r:id="rId280"/>
    <hyperlink ref="K541" r:id="rId281"/>
    <hyperlink ref="K542" r:id="rId282"/>
    <hyperlink ref="K543" r:id="rId283"/>
    <hyperlink ref="K544" r:id="rId284"/>
    <hyperlink ref="K545" r:id="rId285"/>
    <hyperlink ref="K546" r:id="rId286"/>
    <hyperlink ref="K547" r:id="rId287"/>
    <hyperlink ref="K548" r:id="rId288"/>
    <hyperlink ref="K549" r:id="rId289"/>
  </hyperlinks>
  <pageMargins left="0.7" right="0.7" top="0.75" bottom="0.75" header="0.3" footer="0.3"/>
  <pageSetup paperSize="9" orientation="portrait" r:id="rId29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2026-07-24T11:53:32Z</dcterms:modified>
</cp:coreProperties>
</file>