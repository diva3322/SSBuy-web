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03" i="3" l="1"/>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<sst xmlns="http://schemas.openxmlformats.org/spreadsheetml/2006/main" count="8545" uniqueCount="5827">
  <si>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</si>
  <si>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</si>
  <si>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</si>
  <si>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</si>
  <si>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</si>
  <si>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</si>
  <si>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</si>
  <si>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</si>
  <si>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</si>
  <si>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</si>
  <si>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</si>
  <si>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</si>
  <si>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</si>
  <si>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</si>
  <si>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</si>
  <si>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</si>
  <si>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</si>
  <si>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</si>
  <si>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</si>
  <si>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</si>
  <si>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</si>
  <si>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</si>
  <si>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</si>
  <si>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</si>
  <si>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</si>
  <si>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</si>
  <si>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</si>
  <si>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</si>
  <si>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</si>
  <si>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</si>
  <si>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</si>
  <si>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</si>
  <si>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</si>
  <si>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</si>
  <si>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</si>
  <si>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</si>
  <si>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</si>
  <si>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</si>
  <si>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</si>
  <si>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</si>
  <si>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</si>
  <si>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</si>
  <si>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</si>
  <si>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</si>
  <si>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</si>
  <si>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</si>
  <si>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</si>
  <si>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</si>
  <si>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</si>
  <si>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</si>
  <si>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</si>
  <si>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</si>
  <si>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</si>
  <si>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</si>
  <si>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</si>
  <si>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</si>
  <si>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</si>
  <si>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</si>
  <si>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</si>
  <si>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</si>
  <si>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</si>
  <si>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</si>
  <si>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</si>
  <si>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</si>
  <si>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</si>
  <si>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</si>
  <si>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</si>
  <si>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</si>
  <si>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</si>
  <si>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</si>
  <si>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</si>
  <si>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</si>
  <si>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</si>
  <si>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</si>
  <si>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</si>
  <si>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</si>
  <si>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</si>
  <si>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</si>
  <si>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</si>
  <si>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</si>
  <si>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</si>
  <si>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</si>
  <si>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</si>
  <si>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</si>
  <si>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</si>
  <si>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</si>
  <si>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</si>
  <si>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</si>
  <si>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</si>
  <si>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</si>
  <si>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</si>
  <si>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</si>
  <si>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</si>
  <si>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</si>
  <si>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</si>
  <si>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</si>
  <si>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</si>
  <si>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</si>
  <si>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</si>
  <si>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</si>
  <si>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</si>
  <si>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</si>
  <si>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</si>
  <si>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</si>
  <si>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</si>
  <si>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</si>
  <si>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</si>
  <si>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</si>
  <si>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</si>
  <si>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</si>
  <si>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</si>
  <si>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</si>
  <si>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</si>
  <si>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</si>
  <si>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</si>
  <si>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</si>
  <si>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</si>
  <si>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</si>
  <si>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</si>
  <si>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</si>
  <si>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</si>
  <si>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</si>
  <si>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</si>
  <si>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</si>
  <si>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</si>
  <si>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</si>
  <si>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</si>
  <si>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</si>
  <si>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</si>
  <si>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</si>
  <si>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</si>
  <si>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</si>
  <si>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</si>
  <si>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</si>
  <si>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</si>
  <si>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</si>
  <si>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</si>
  <si>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</si>
  <si>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</si>
  <si>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</si>
  <si>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</si>
  <si>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</si>
  <si>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</si>
  <si>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</si>
  <si>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</si>
  <si>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</si>
  <si>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</si>
  <si>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</si>
  <si>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</si>
  <si>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</si>
  <si>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</si>
  <si>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</si>
  <si>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</si>
  <si>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</si>
  <si>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</si>
  <si>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</si>
  <si>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</si>
  <si>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</si>
  <si>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</si>
  <si>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</si>
  <si>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</si>
  <si>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</si>
  <si>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</si>
  <si>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</si>
  <si>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</si>
  <si>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</si>
  <si>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</si>
  <si>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</si>
  <si>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</si>
  <si>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</si>
  <si>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</si>
  <si>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</si>
  <si>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</si>
  <si>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</si>
  <si>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</si>
  <si>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</si>
  <si>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</si>
  <si>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</si>
  <si>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</si>
  <si>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</si>
  <si>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</si>
  <si>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</si>
  <si>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</si>
  <si>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</si>
  <si>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</si>
  <si>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</si>
  <si>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</si>
  <si>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</si>
  <si>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</si>
  <si>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</si>
  <si>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</si>
  <si>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</si>
  <si>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</si>
  <si>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</si>
  <si>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</si>
  <si>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</si>
  <si>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</si>
  <si>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</si>
  <si>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</si>
  <si>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</si>
  <si>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</si>
  <si>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</si>
  <si>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</si>
  <si>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</si>
  <si>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</si>
  <si>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</si>
  <si>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</si>
  <si>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</si>
  <si>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</si>
  <si>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</si>
  <si>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</si>
  <si>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</si>
  <si>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</si>
  <si>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</si>
  <si>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</si>
  <si>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</si>
  <si>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</si>
  <si>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</si>
  <si>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</si>
  <si>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</si>
  <si>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</si>
  <si>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</si>
  <si>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</si>
  <si>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</si>
  <si>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</si>
  <si>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</si>
  <si>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</si>
  <si>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</si>
  <si>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</si>
  <si>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</si>
  <si>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</si>
  <si>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</si>
  <si>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</si>
  <si>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</si>
  <si>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</si>
  <si>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</si>
  <si>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</si>
  <si>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</si>
  <si>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</si>
  <si>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</si>
  <si>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</si>
  <si>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</si>
  <si>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</si>
  <si>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</si>
  <si>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</si>
  <si>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</si>
  <si>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</si>
  <si>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</si>
  <si>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</si>
  <si>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</si>
  <si>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</si>
  <si>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</si>
  <si>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</si>
  <si>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</si>
  <si>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</si>
  <si>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</si>
  <si>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</si>
  <si>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</si>
  <si>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</si>
  <si>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</si>
  <si>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</si>
  <si>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</si>
  <si>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</si>
  <si>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</si>
  <si>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</si>
  <si>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</si>
  <si>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</si>
  <si>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</si>
  <si>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</si>
  <si>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</si>
  <si>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</si>
  <si>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</si>
  <si>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</si>
  <si>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</si>
  <si>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</si>
  <si>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</si>
  <si>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</si>
  <si>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</si>
  <si>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</si>
  <si>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</si>
  <si>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</si>
  <si>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</si>
  <si>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</si>
  <si>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</si>
  <si>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</si>
  <si>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</si>
  <si>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</si>
  <si>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</si>
  <si>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</si>
  <si>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</si>
  <si>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</si>
  <si>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</si>
  <si>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</si>
  <si>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</si>
  <si>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</si>
  <si>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</si>
  <si>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</si>
  <si>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</si>
  <si>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</si>
  <si>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</si>
  <si>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</si>
  <si>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</si>
  <si>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</si>
  <si>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</si>
  <si>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</si>
  <si>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</si>
  <si>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</si>
  <si>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</si>
  <si>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</si>
  <si>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</si>
  <si>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</si>
  <si>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</si>
  <si>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</si>
  <si>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</si>
  <si>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</si>
  <si>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</si>
  <si>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</si>
  <si>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</si>
  <si>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</si>
  <si>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</si>
  <si>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</si>
  <si>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</si>
  <si>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</si>
  <si>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</si>
  <si>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</si>
  <si>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</si>
  <si>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</si>
  <si>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</si>
  <si>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</si>
  <si>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</si>
  <si>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</si>
  <si>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</si>
  <si>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</si>
  <si>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</si>
  <si>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</si>
  <si>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</si>
  <si>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</si>
  <si>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</si>
  <si>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</si>
  <si>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</si>
  <si>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</si>
  <si>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</si>
  <si>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</si>
  <si>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</si>
  <si>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</si>
  <si>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</si>
  <si>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</si>
  <si>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</si>
  <si>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</si>
  <si>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</si>
  <si>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</si>
  <si>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</si>
  <si>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</si>
  <si>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</si>
  <si>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</si>
  <si>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</si>
  <si>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</si>
  <si>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</si>
  <si>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</si>
  <si>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</si>
  <si>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</si>
  <si>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</si>
  <si>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</si>
  <si>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</si>
  <si>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</si>
  <si>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</si>
  <si>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</si>
  <si>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</si>
  <si>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</si>
  <si>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</si>
  <si>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</si>
  <si>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</si>
  <si>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</si>
  <si>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</si>
  <si>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</si>
  <si>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</si>
  <si>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</si>
  <si>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</si>
  <si>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</si>
  <si>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</si>
  <si>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</si>
  <si>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</si>
  <si>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</si>
  <si>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</si>
  <si>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</si>
  <si>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</si>
  <si>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</si>
  <si>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</si>
  <si>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</si>
  <si>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</si>
  <si>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</si>
  <si>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</si>
  <si>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</si>
  <si>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</si>
  <si>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</si>
  <si>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</si>
  <si>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</si>
  <si>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</si>
  <si>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</si>
  <si>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</si>
  <si>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</si>
  <si>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</si>
  <si>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</si>
  <si>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</si>
  <si>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</si>
  <si>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</si>
  <si>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</si>
  <si>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</si>
  <si>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</si>
  <si>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</si>
  <si>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</si>
  <si>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</si>
  <si>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</si>
  <si>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</si>
  <si>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</si>
  <si>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</si>
  <si>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</si>
  <si>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</si>
  <si>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</si>
  <si>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</si>
  <si>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</si>
  <si>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</si>
  <si>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</si>
  <si>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</si>
  <si>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</si>
  <si>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</si>
  <si>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</si>
  <si>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</si>
  <si>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</si>
  <si>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</si>
  <si>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</si>
  <si>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</si>
  <si>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</si>
  <si>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</si>
  <si>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</si>
  <si>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</si>
  <si>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</si>
  <si>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</si>
  <si>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</si>
  <si>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</si>
  <si>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</si>
  <si>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</si>
  <si>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</si>
  <si>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</si>
  <si>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</si>
  <si>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</si>
  <si>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</si>
  <si>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</si>
  <si>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</si>
  <si>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</si>
  <si>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</si>
  <si>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</si>
  <si>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</si>
  <si>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</si>
  <si>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</si>
  <si>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</si>
  <si>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</si>
  <si>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</si>
  <si>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</si>
  <si>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</si>
  <si>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</si>
  <si>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</si>
  <si>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</si>
  <si>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</si>
  <si>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</si>
  <si>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</si>
  <si>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</si>
  <si>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</si>
  <si>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</si>
  <si>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</si>
  <si>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</si>
  <si>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</si>
  <si>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</si>
  <si>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</si>
  <si>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</si>
  <si>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</si>
  <si>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</si>
  <si>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</si>
  <si>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</si>
  <si>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</si>
  <si>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</si>
  <si>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</si>
  <si>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</si>
  <si>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</si>
  <si>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</si>
  <si>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</si>
  <si>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</si>
  <si>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</si>
  <si>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</si>
  <si>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</si>
  <si>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</si>
  <si>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</si>
  <si>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</si>
  <si>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</si>
  <si>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</si>
  <si>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</si>
  <si>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</si>
  <si>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</si>
  <si>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</si>
  <si>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</si>
  <si>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</si>
  <si>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</si>
  <si>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</si>
  <si>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</si>
  <si>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</si>
  <si>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</si>
  <si>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</si>
  <si>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</si>
  <si>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</si>
  <si>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</si>
  <si>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</si>
  <si>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</si>
  <si>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</si>
  <si>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</si>
  <si>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</si>
  <si>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</si>
  <si>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</si>
  <si>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</si>
  <si>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</si>
  <si>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</si>
  <si>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</si>
  <si>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</si>
  <si>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</si>
  <si>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</si>
  <si>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</si>
  <si>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</si>
  <si>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</si>
  <si>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</si>
  <si>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</si>
  <si>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</si>
  <si>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</si>
  <si>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</si>
  <si>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</si>
  <si>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</si>
  <si>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</si>
  <si>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</si>
  <si>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</si>
  <si>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</si>
  <si>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</si>
  <si>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</si>
  <si>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</si>
  <si>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</si>
  <si>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</si>
  <si>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</si>
  <si>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</si>
  <si>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</si>
  <si>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</si>
  <si>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</si>
  <si>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</si>
  <si>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</si>
  <si>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</si>
  <si>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</si>
  <si>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</si>
  <si>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</si>
  <si>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</si>
  <si>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</si>
  <si>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</si>
  <si>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</si>
  <si>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</si>
  <si>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</si>
  <si>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</si>
  <si>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</si>
  <si>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</si>
  <si>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</si>
  <si>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</si>
  <si>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</si>
  <si>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</si>
  <si>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</si>
  <si>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</si>
  <si>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</si>
  <si>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</si>
  <si>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</si>
  <si>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</si>
  <si>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</si>
  <si>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</si>
  <si>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</si>
  <si>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</si>
  <si>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</si>
  <si>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</si>
  <si>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</si>
  <si>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</si>
  <si>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</si>
  <si>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</si>
  <si>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</si>
  <si>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</si>
  <si>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</si>
  <si>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</si>
  <si>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</si>
  <si>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</si>
  <si>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</si>
  <si>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</si>
  <si>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</si>
  <si>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</si>
  <si>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</si>
  <si>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</si>
  <si>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</si>
  <si>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</si>
  <si>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</si>
  <si>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</si>
  <si>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</si>
  <si>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</si>
  <si>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</si>
  <si>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</si>
  <si>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</si>
  <si>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</si>
  <si>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</si>
  <si>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</si>
  <si>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</si>
  <si>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</si>
  <si>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</si>
  <si>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</si>
  <si>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</si>
  <si>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</si>
  <si>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</si>
  <si>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</si>
  <si>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</si>
  <si>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</si>
  <si>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</si>
  <si>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</si>
  <si>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</si>
  <si>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</si>
  <si>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</si>
  <si>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</si>
  <si>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</si>
  <si>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</si>
  <si>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</si>
  <si>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</si>
  <si>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</si>
  <si>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</si>
  <si>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</si>
  <si>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</si>
  <si>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</si>
  <si>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</si>
  <si>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</si>
  <si>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</si>
  <si>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</si>
  <si>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</si>
  <si>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</si>
  <si>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</si>
  <si>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</si>
  <si>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</si>
  <si>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</si>
  <si>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</si>
  <si>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</si>
  <si>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</si>
  <si>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</si>
  <si>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</si>
  <si>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</si>
  <si>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</si>
  <si>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</si>
  <si>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</si>
  <si>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</si>
  <si>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</si>
  <si>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</si>
  <si>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</si>
  <si>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</si>
  <si>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</si>
  <si>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</si>
  <si>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</si>
  <si>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</si>
  <si>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</si>
  <si>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</si>
  <si>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</si>
  <si>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</si>
  <si>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</si>
  <si>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</si>
  <si>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</si>
  <si>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</si>
  <si>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</si>
  <si>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</si>
  <si>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</si>
  <si>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</si>
  <si>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</si>
  <si>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</si>
  <si>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</si>
  <si>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</si>
  <si>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</si>
  <si>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</si>
  <si>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</si>
  <si>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</si>
  <si>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</si>
  <si>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</si>
  <si>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</si>
  <si>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</si>
  <si>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</si>
  <si>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</si>
  <si>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</si>
  <si>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</si>
  <si>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</si>
  <si>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</si>
  <si>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</si>
  <si>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</si>
  <si>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</si>
  <si>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</si>
  <si>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</si>
  <si>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</si>
  <si>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</si>
  <si>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</si>
  <si>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</si>
  <si>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</si>
  <si>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</si>
  <si>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</si>
  <si>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</si>
  <si>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</si>
  <si>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</si>
  <si>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</si>
  <si>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</si>
  <si>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</si>
  <si>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</si>
  <si>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</si>
  <si>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</si>
  <si>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</si>
  <si>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</si>
  <si>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</si>
  <si>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</si>
  <si>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</si>
  <si>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</si>
  <si>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</si>
  <si>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</si>
  <si>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</si>
  <si>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</si>
  <si>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</si>
  <si>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</si>
  <si>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</si>
  <si>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</si>
  <si>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</si>
  <si>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</si>
  <si>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</si>
  <si>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</si>
  <si>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</si>
  <si>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</si>
  <si>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</si>
  <si>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</si>
  <si>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</si>
  <si>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</si>
  <si>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</si>
  <si>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</si>
  <si>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</si>
  <si>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</si>
  <si>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</si>
  <si>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</si>
  <si>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</si>
  <si>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</si>
  <si>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</si>
  <si>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</si>
  <si>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</si>
  <si>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</si>
  <si>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</si>
  <si>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</si>
  <si>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</si>
  <si>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</si>
  <si>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</si>
  <si>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</si>
  <si>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</si>
  <si>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</si>
  <si>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</si>
  <si>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</si>
  <si>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</si>
  <si>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</si>
  <si>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</si>
  <si>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</si>
  <si>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</si>
  <si>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</si>
  <si>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</si>
  <si>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</si>
  <si>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</si>
  <si>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</si>
  <si>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</si>
  <si>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</si>
  <si>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</si>
  <si>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</si>
  <si>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</si>
  <si>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</si>
  <si>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</si>
  <si>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</si>
  <si>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</si>
  <si>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</si>
  <si>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</si>
  <si>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</si>
  <si>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</si>
  <si>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</si>
  <si>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</si>
  <si>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</si>
  <si>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</si>
  <si>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</si>
  <si>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</si>
  <si>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</si>
  <si>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</si>
  <si>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</si>
  <si>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</si>
  <si>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</si>
  <si>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</si>
  <si>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</si>
  <si>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</si>
  <si>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</si>
  <si>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</si>
  <si>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</si>
  <si>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</si>
  <si>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</si>
  <si>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</si>
  <si>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</si>
  <si>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</si>
  <si>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</si>
  <si>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</si>
  <si>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</si>
  <si>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</si>
  <si>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</si>
  <si>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</si>
  <si>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</si>
  <si>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</si>
  <si>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</si>
  <si>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</si>
  <si>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</si>
  <si>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</si>
  <si>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</si>
  <si>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</si>
  <si>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</si>
  <si>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</si>
  <si>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</si>
  <si>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</si>
  <si>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</si>
  <si>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</si>
  <si>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</si>
  <si>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</si>
  <si>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</si>
  <si>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</si>
  <si>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</si>
  <si>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</si>
  <si>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</si>
  <si>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</si>
  <si>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</si>
  <si>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</si>
  <si>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</si>
  <si>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</si>
  <si>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</si>
  <si>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</si>
  <si>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</si>
  <si>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</si>
  <si>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</si>
  <si>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</si>
  <si>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</si>
  <si>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</si>
  <si>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</si>
  <si>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</si>
  <si>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</si>
  <si>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</si>
  <si>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</si>
  <si>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</si>
  <si>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</si>
  <si>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</si>
  <si>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</si>
  <si>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</si>
  <si>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</si>
  <si>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</si>
  <si>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</si>
  <si>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</si>
  <si>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</si>
  <si>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</si>
  <si>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</si>
  <si>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</si>
  <si>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</si>
  <si>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</si>
  <si>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</si>
  <si>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</si>
  <si>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</si>
  <si>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</si>
  <si>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</si>
  <si>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</si>
  <si>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</si>
  <si>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</si>
  <si>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</si>
  <si>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</si>
  <si>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</si>
  <si>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</si>
  <si>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</si>
  <si>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</si>
  <si>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</si>
  <si>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</si>
  <si>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</si>
  <si>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</si>
  <si>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</si>
  <si>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</si>
  <si>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</si>
  <si>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</si>
  <si>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</si>
  <si>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</si>
  <si>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</si>
  <si>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</si>
  <si>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</si>
  <si>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</si>
  <si>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</si>
  <si>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</si>
  <si>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</si>
  <si>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</si>
  <si>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</si>
  <si>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</si>
  <si>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</si>
  <si>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</si>
  <si>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</si>
  <si>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</si>
  <si>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</si>
  <si>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</si>
  <si>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</si>
  <si>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</si>
  <si>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</si>
  <si>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</si>
  <si>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</si>
  <si>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</si>
  <si>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</si>
  <si>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</si>
  <si>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</si>
  <si>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</si>
  <si>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</si>
  <si>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</si>
  <si>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</si>
  <si>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</si>
  <si>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</si>
  <si>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</si>
  <si>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</si>
  <si>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</si>
  <si>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</si>
  <si>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</si>
  <si>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</si>
  <si>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</si>
  <si>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</si>
  <si>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</si>
  <si>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</si>
  <si>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</si>
  <si>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</si>
  <si>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</si>
  <si>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</si>
  <si>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</si>
  <si>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</si>
  <si>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</si>
  <si>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</si>
  <si>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</si>
  <si>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</si>
  <si>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</si>
  <si>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</si>
  <si>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</si>
  <si>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</si>
  <si>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</si>
  <si>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</si>
  <si>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</si>
  <si>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</si>
  <si>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</si>
  <si>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</si>
  <si>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</si>
  <si>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</si>
  <si>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</si>
  <si>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</si>
  <si>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</si>
  <si>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</si>
  <si>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</si>
  <si>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</si>
  <si>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</si>
  <si>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</si>
  <si>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</si>
  <si>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</si>
  <si>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</si>
  <si>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</si>
  <si>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</si>
  <si>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</si>
  <si>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</si>
  <si>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</si>
  <si>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</si>
  <si>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</si>
  <si>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</si>
  <si>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</si>
  <si>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</si>
  <si>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</si>
  <si>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</si>
  <si>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</si>
  <si>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</si>
  <si>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</si>
  <si>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</si>
  <si>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</si>
  <si>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</si>
  <si>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</si>
  <si>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</si>
  <si>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</si>
  <si>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</si>
  <si>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</si>
  <si>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</si>
  <si>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</si>
  <si>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</si>
  <si>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</si>
  <si>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</si>
  <si>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</si>
  <si>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</si>
  <si>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</si>
  <si>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</si>
  <si>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</si>
  <si>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</si>
  <si>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</si>
  <si>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</si>
  <si>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</si>
  <si>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</si>
  <si>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</si>
  <si>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</si>
  <si>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</si>
  <si>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</si>
  <si>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</si>
  <si>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</si>
  <si>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</si>
  <si>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</si>
  <si>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</si>
  <si>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</si>
  <si>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</si>
  <si>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</si>
  <si>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</si>
  <si>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</si>
  <si>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</si>
  <si>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</si>
  <si>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</si>
  <si>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</si>
  <si>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</si>
  <si>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</si>
  <si>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</si>
  <si>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</si>
  <si>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</si>
  <si>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</si>
  <si>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</si>
  <si>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</si>
  <si>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</si>
  <si>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</si>
  <si>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</si>
  <si>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</si>
  <si>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</si>
  <si>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</si>
  <si>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</si>
  <si>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</si>
  <si>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</si>
  <si>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</si>
  <si>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</si>
  <si>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</si>
  <si>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</si>
  <si>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</si>
  <si>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</si>
  <si>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</si>
  <si>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</si>
  <si>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</si>
  <si>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</si>
  <si>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</si>
  <si>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</si>
  <si>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</si>
  <si>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</si>
  <si>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</si>
  <si>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</si>
  <si>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</si>
  <si>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</si>
  <si>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</si>
  <si>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</si>
  <si>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</si>
  <si>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</si>
  <si>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</si>
  <si>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</si>
  <si>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</si>
  <si>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</si>
  <si>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</si>
  <si>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</si>
  <si>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</si>
  <si>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</si>
  <si>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</si>
  <si>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</si>
  <si>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</si>
  <si>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</si>
  <si>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</si>
  <si>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</si>
  <si>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</si>
  <si>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</si>
  <si>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</si>
  <si>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</si>
  <si>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</si>
  <si>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</si>
  <si>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</si>
  <si>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</si>
  <si>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</si>
  <si>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</si>
  <si>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</si>
  <si>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</si>
  <si>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</si>
  <si>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</si>
  <si>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</si>
  <si>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</si>
  <si>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</si>
  <si>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</si>
  <si>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</si>
  <si>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</si>
  <si>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</si>
  <si>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</si>
  <si>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</si>
  <si>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</si>
  <si>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</si>
  <si>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</si>
  <si>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</si>
  <si>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</si>
  <si>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</si>
  <si>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</si>
  <si>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</si>
  <si>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</si>
  <si>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</si>
  <si>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</si>
  <si>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</si>
  <si>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</si>
  <si>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</si>
  <si>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</si>
  <si>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</si>
  <si>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</si>
  <si>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</si>
  <si>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</si>
  <si>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</si>
  <si>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</si>
  <si>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</si>
  <si>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</si>
  <si>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</si>
  <si>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</si>
  <si>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</si>
  <si>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</si>
  <si>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</si>
  <si>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</si>
  <si>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</si>
  <si>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</si>
  <si>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</si>
  <si>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</si>
  <si>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</si>
  <si>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</si>
  <si>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</si>
  <si>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</si>
  <si>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</si>
  <si>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</si>
  <si>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</si>
  <si>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</si>
  <si>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</si>
  <si>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</si>
  <si>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</si>
  <si>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</si>
  <si>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</si>
  <si>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</si>
  <si>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</si>
  <si>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</si>
  <si>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</si>
  <si>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</si>
  <si>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</si>
  <si>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</si>
  <si>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</si>
  <si>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</si>
  <si>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</si>
  <si>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</si>
  <si>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</si>
  <si>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</si>
  <si>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</si>
  <si>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</si>
  <si>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</si>
  <si>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</si>
  <si>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</si>
  <si>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</si>
  <si>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</si>
  <si>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</si>
  <si>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</si>
  <si>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</si>
  <si>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</si>
  <si>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</si>
  <si>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</si>
  <si>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</si>
  <si>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</si>
  <si>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</si>
  <si>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</si>
  <si>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</si>
  <si>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</si>
  <si>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</si>
  <si>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</si>
  <si>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</si>
  <si>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</si>
  <si>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</si>
  <si>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</si>
  <si>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</si>
  <si>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</si>
  <si>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</si>
  <si>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</si>
  <si>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</si>
  <si>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</si>
  <si>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</si>
  <si>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</si>
  <si>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</si>
  <si>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</si>
  <si>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</si>
  <si>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</si>
  <si>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</si>
  <si>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</si>
  <si>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</si>
  <si>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</si>
  <si>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</si>
  <si>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</si>
  <si>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</si>
  <si>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</si>
  <si>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</si>
  <si>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</si>
  <si>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</si>
  <si>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</si>
  <si>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</si>
  <si>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</si>
  <si>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</si>
  <si>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</si>
  <si>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</si>
  <si>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</si>
  <si>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</si>
  <si>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</si>
  <si>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</si>
  <si>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</si>
  <si>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</si>
  <si>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</si>
  <si>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</si>
  <si>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</si>
  <si>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</si>
  <si>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</si>
  <si>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</si>
  <si>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</si>
  <si>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</si>
  <si>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</si>
  <si>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</si>
  <si>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</si>
  <si>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</si>
  <si>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</si>
  <si>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</si>
  <si>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</si>
  <si>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</si>
  <si>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</si>
  <si>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</si>
  <si>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</si>
  <si>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</si>
  <si>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</si>
  <si>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</si>
  <si>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</si>
  <si>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</si>
  <si>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</si>
  <si>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</si>
  <si>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</si>
  <si>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</si>
  <si>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</si>
  <si>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</si>
  <si>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</si>
  <si>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</si>
  <si>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</si>
  <si>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</si>
  <si>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</si>
  <si>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</si>
  <si>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</si>
  <si>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</si>
  <si>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</si>
  <si>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</si>
  <si>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</si>
  <si>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</si>
  <si>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</si>
  <si>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</si>
  <si>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</si>
  <si>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</si>
  <si>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</si>
  <si>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</si>
  <si>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</si>
  <si>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</si>
  <si>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</si>
  <si>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</si>
  <si>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</si>
  <si>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</si>
  <si>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</si>
  <si>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</si>
  <si>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</si>
  <si>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</si>
  <si>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</si>
  <si>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</si>
  <si>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</si>
  <si>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</si>
  <si>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</si>
  <si>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</si>
  <si>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</si>
  <si>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</si>
  <si>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</si>
  <si>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</si>
  <si>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</si>
  <si>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</si>
  <si>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</si>
  <si>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</si>
  <si>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</si>
  <si>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</si>
  <si>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</si>
  <si>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</si>
  <si>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</si>
  <si>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</si>
  <si>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</si>
  <si>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</si>
  <si>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</si>
  <si>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</si>
  <si>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</si>
  <si>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</si>
  <si>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</si>
  <si>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</si>
  <si>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</si>
  <si>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</si>
  <si>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</si>
  <si>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</si>
  <si>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</si>
  <si>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</si>
  <si>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</si>
  <si>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</si>
  <si>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</si>
  <si>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</si>
  <si>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</si>
  <si>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</si>
  <si>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</si>
  <si>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</si>
  <si>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</si>
  <si>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</si>
  <si>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</si>
  <si>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</si>
  <si>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</si>
  <si>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</si>
  <si>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</si>
  <si>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</si>
  <si>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</si>
  <si>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</si>
  <si>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</si>
  <si>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</si>
  <si>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</si>
  <si>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</si>
  <si>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</si>
  <si>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</si>
  <si>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</si>
  <si>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</si>
  <si>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</si>
  <si>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</si>
  <si>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</si>
  <si>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</si>
  <si>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</si>
  <si>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</si>
  <si>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</si>
  <si>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</si>
  <si>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</si>
  <si>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</si>
  <si>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</si>
  <si>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</si>
  <si>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</si>
  <si>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</si>
  <si>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</si>
  <si>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</si>
  <si>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</si>
  <si>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</si>
  <si>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</si>
  <si>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</si>
  <si>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</si>
  <si>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</si>
  <si>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</si>
  <si>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</si>
  <si>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</si>
  <si>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</si>
  <si>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</si>
  <si>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</si>
  <si>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</si>
  <si>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</si>
  <si>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</si>
  <si>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</si>
  <si>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</si>
  <si>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</si>
  <si>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</si>
  <si>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</si>
  <si>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</si>
  <si>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</si>
  <si>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</si>
  <si>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</si>
  <si>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</si>
  <si>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</si>
  <si>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</si>
  <si>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</si>
  <si>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</si>
  <si>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</si>
  <si>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</si>
  <si>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</si>
  <si>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</si>
  <si>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</si>
  <si>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</si>
  <si>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</si>
  <si>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</si>
  <si>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</si>
  <si>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</si>
  <si>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</si>
  <si>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</si>
  <si>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</si>
  <si>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</si>
  <si>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</si>
  <si>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</si>
  <si>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</si>
  <si>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</si>
  <si>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</si>
  <si>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</si>
  <si>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</si>
  <si>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</si>
  <si>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</si>
  <si>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</si>
  <si>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</si>
  <si>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</si>
  <si>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</si>
  <si>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</si>
  <si>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</si>
  <si>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</si>
  <si>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</si>
  <si>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</si>
  <si>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</si>
  <si>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</si>
  <si>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</si>
  <si>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</si>
  <si>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</si>
  <si>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</si>
  <si>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</si>
  <si>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</si>
  <si>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</si>
  <si>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</si>
  <si>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</si>
  <si>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</si>
  <si>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</si>
  <si>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</si>
  <si>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</si>
  <si>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</si>
  <si>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</si>
  <si>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</si>
  <si>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</si>
  <si>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</si>
  <si>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</si>
  <si>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</si>
  <si>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</si>
  <si>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</si>
  <si>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</si>
  <si>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</si>
  <si>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</si>
  <si>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</si>
  <si>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</si>
  <si>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</si>
  <si>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</si>
  <si>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</si>
  <si>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</si>
  <si>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</si>
  <si>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</si>
  <si>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</si>
  <si>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</si>
  <si>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</si>
  <si>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</si>
  <si>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</si>
  <si>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</si>
  <si>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</si>
  <si>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</si>
  <si>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</si>
  <si>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</si>
  <si>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</si>
  <si>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</si>
  <si>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</si>
  <si>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</si>
  <si>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</si>
  <si>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</si>
  <si>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</si>
  <si>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</si>
  <si>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</si>
  <si>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</si>
  <si>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</si>
  <si>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</si>
  <si>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</si>
  <si>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</si>
  <si>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</si>
  <si>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</si>
  <si>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</si>
  <si>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</si>
  <si>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</si>
  <si>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</si>
  <si>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</si>
  <si>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</si>
  <si>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</si>
  <si>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</si>
  <si>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</si>
  <si>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</si>
  <si>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</si>
  <si>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</si>
  <si>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</si>
  <si>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</si>
  <si>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</si>
  <si>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</si>
  <si>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</si>
  <si>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</si>
  <si>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</si>
  <si>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</si>
  <si>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</si>
  <si>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</si>
  <si>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</si>
  <si>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</si>
  <si>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</si>
  <si>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</si>
  <si>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</si>
  <si>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</si>
  <si>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</si>
  <si>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</si>
  <si>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</si>
  <si>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</si>
  <si>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</si>
  <si>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</si>
  <si>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</si>
  <si>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</si>
  <si>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</si>
  <si>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</si>
  <si>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</si>
  <si>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</si>
  <si>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</si>
  <si>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</si>
  <si>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</si>
  <si>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</si>
  <si>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</si>
  <si>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</si>
  <si>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</si>
  <si>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</si>
  <si>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</si>
  <si>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</si>
  <si>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</si>
  <si>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</si>
  <si>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</si>
  <si>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</si>
  <si>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</si>
  <si>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</si>
  <si>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</si>
  <si>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</si>
  <si>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</si>
  <si>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</si>
  <si>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</si>
  <si>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</si>
  <si>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</si>
  <si>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</si>
  <si>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</si>
  <si>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</si>
  <si>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</si>
  <si>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</si>
  <si>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</si>
  <si>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</si>
  <si>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</si>
  <si>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</si>
  <si>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</si>
  <si>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</si>
  <si>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</si>
  <si>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</si>
  <si>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</si>
  <si>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</si>
  <si>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</si>
  <si>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</si>
  <si>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</si>
  <si>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</si>
  <si>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</si>
  <si>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</si>
  <si>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</si>
  <si>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</si>
  <si>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</si>
  <si>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</si>
  <si>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</si>
  <si>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</si>
  <si>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</si>
  <si>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</si>
  <si>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</si>
  <si>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</si>
  <si>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</si>
  <si>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</si>
  <si>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</si>
  <si>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</si>
  <si>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</si>
  <si>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</si>
  <si>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</si>
  <si>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</si>
  <si>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</si>
  <si>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</si>
  <si>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</si>
  <si>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</si>
  <si>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</si>
  <si>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</si>
  <si>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</si>
  <si>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</si>
  <si>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</si>
  <si>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</si>
  <si>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</si>
  <si>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</si>
  <si>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</si>
  <si>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</si>
  <si>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</si>
  <si>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</si>
  <si>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</si>
  <si>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</si>
  <si>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</si>
  <si>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</si>
  <si>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</si>
  <si>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</si>
  <si>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</si>
  <si>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</si>
  <si>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</si>
  <si>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</si>
  <si>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</si>
  <si>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</si>
  <si>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</si>
  <si>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</si>
  <si>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</si>
  <si>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</si>
  <si>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</si>
  <si>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</si>
  <si>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</si>
  <si>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</si>
  <si>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</si>
  <si>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</si>
  <si>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</si>
  <si>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</si>
  <si>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</si>
  <si>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</si>
  <si>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</si>
  <si>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</si>
  <si>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</si>
  <si>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</si>
  <si>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</si>
  <si>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</si>
  <si>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</si>
  <si>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</si>
  <si>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</si>
  <si>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</si>
  <si>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</si>
  <si>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</si>
  <si>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</si>
  <si>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</si>
  <si>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</si>
  <si>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</si>
  <si>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</si>
  <si>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</si>
  <si>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</si>
  <si>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</si>
  <si>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</si>
  <si>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</si>
  <si>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</si>
  <si>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</si>
  <si>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</si>
  <si>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</si>
  <si>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</si>
  <si>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</si>
  <si>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</si>
  <si>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</si>
  <si>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</si>
  <si>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</si>
  <si>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</si>
  <si>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</si>
  <si>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</si>
  <si>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</si>
  <si>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</si>
  <si>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</si>
  <si>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</si>
  <si>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</si>
  <si>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</si>
  <si>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</si>
  <si>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</si>
  <si>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</si>
  <si>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</si>
  <si>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</si>
  <si>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</si>
  <si>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</si>
  <si>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</si>
  <si>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</si>
  <si>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</si>
  <si>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</si>
  <si>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</si>
  <si>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</si>
  <si>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</si>
  <si>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</si>
  <si>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</si>
  <si>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</si>
  <si>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</si>
  <si>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</si>
  <si>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</si>
  <si>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</si>
  <si>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</si>
  <si>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</si>
  <si>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</si>
  <si>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</si>
  <si>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</si>
  <si>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</si>
  <si>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</si>
  <si>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</si>
  <si>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</si>
  <si>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</si>
  <si>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</si>
  <si>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</si>
  <si>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</si>
  <si>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</si>
  <si>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</si>
  <si>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</si>
  <si>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</si>
  <si>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</si>
  <si>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</si>
  <si>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</si>
  <si>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</si>
  <si>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</si>
  <si>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</si>
  <si>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</si>
  <si>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</si>
  <si>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</si>
  <si>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</si>
  <si>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</si>
  <si>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</si>
  <si>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</si>
  <si>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</si>
  <si>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</si>
  <si>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</si>
  <si>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</si>
  <si>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</si>
  <si>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</si>
  <si>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</si>
  <si>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</si>
  <si>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</si>
  <si>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</si>
  <si>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</si>
  <si>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</si>
  <si>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</si>
  <si>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</si>
  <si>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</si>
  <si>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</si>
  <si>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</si>
  <si>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</si>
  <si>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</si>
  <si>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</si>
  <si>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</si>
  <si>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</si>
  <si>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</si>
  <si>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</si>
  <si>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</si>
  <si>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</si>
  <si>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</si>
  <si>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</si>
  <si>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</si>
  <si>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</si>
  <si>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</si>
  <si>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</si>
  <si>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</si>
  <si>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</si>
  <si>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</si>
  <si>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</si>
  <si>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</si>
  <si>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</si>
  <si>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</si>
  <si>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</si>
  <si>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</si>
  <si>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</si>
  <si>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</si>
  <si>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</si>
  <si>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</si>
  <si>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</si>
  <si>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</si>
  <si>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</si>
  <si>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</si>
  <si>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</si>
  <si>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</si>
  <si>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</si>
  <si>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</si>
  <si>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</si>
  <si>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</si>
  <si>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</si>
  <si>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</si>
  <si>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</si>
  <si>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</si>
  <si>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</si>
  <si>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</si>
  <si>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</si>
  <si>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</si>
  <si>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</si>
  <si>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</si>
  <si>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</si>
  <si>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</si>
  <si>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</si>
  <si>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</si>
  <si>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</si>
  <si>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</si>
  <si>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</si>
  <si>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</si>
  <si>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</si>
  <si>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</si>
  <si>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</si>
  <si>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</si>
  <si>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</si>
  <si>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</si>
  <si>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</si>
  <si>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</si>
  <si>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</si>
  <si>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</si>
  <si>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</si>
  <si>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</si>
  <si>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</si>
  <si>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</si>
  <si>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</si>
  <si>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</si>
  <si>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</si>
  <si>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</si>
  <si>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</si>
  <si>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</si>
  <si>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</si>
  <si>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</si>
  <si>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</si>
  <si>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</si>
  <si>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</si>
  <si>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</si>
  <si>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</si>
  <si>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</si>
  <si>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</si>
  <si>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</si>
  <si>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</si>
  <si>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</si>
  <si>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</si>
  <si>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</si>
  <si>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</si>
  <si>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</si>
  <si>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</si>
  <si>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</si>
  <si>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</si>
  <si>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</si>
  <si>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</si>
  <si>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</si>
  <si>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</si>
  <si>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</si>
  <si>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</si>
  <si>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</si>
  <si>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</si>
  <si>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</si>
  <si>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</si>
  <si>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</si>
  <si>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</si>
  <si>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</si>
  <si>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</si>
  <si>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</si>
  <si>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</si>
  <si>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</si>
  <si>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</si>
  <si>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</si>
  <si>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</si>
  <si>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</si>
  <si>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</si>
  <si>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</si>
  <si>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</si>
  <si>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</si>
  <si>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</si>
  <si>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</si>
  <si>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</si>
  <si>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</si>
  <si>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</si>
  <si>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</si>
  <si>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</si>
  <si>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</si>
  <si>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</si>
  <si>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</si>
  <si>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</si>
  <si>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</si>
  <si>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</si>
  <si>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</si>
  <si>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</si>
  <si>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</si>
  <si>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</si>
  <si>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</si>
  <si>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</si>
  <si>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</si>
  <si>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</si>
  <si>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</si>
  <si>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</si>
  <si>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</si>
  <si>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</si>
  <si>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</si>
  <si>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</si>
  <si>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</si>
  <si>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</si>
  <si>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</si>
  <si>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</si>
  <si>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</si>
  <si>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</si>
  <si>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</si>
  <si>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</si>
  <si>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</si>
  <si>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</si>
  <si>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</si>
  <si>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</si>
  <si>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</si>
  <si>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</si>
  <si>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</si>
  <si>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</si>
  <si>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</si>
  <si>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</si>
  <si>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</si>
  <si>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</si>
  <si>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</si>
  <si>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</si>
  <si>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</si>
  <si>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</si>
  <si>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</si>
  <si>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</si>
  <si>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</si>
  <si>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</si>
  <si>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</si>
  <si>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</si>
  <si>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</si>
  <si>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</si>
  <si>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</si>
  <si>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</si>
  <si>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</si>
  <si>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</si>
  <si>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</si>
  <si>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</si>
  <si>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</si>
  <si>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</si>
  <si>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</si>
  <si>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</si>
  <si>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</si>
  <si>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</si>
  <si>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</si>
  <si>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</si>
  <si>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</si>
  <si>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</si>
  <si>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</si>
  <si>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</si>
  <si>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</si>
  <si>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</si>
  <si>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</si>
  <si>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</si>
  <si>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</si>
  <si>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</si>
  <si>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</si>
  <si>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</si>
  <si>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</si>
  <si>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</si>
  <si>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</si>
  <si>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</si>
  <si>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</si>
  <si>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</si>
  <si>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</si>
  <si>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</si>
  <si>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</si>
  <si>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</si>
  <si>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</si>
  <si>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</si>
  <si>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</si>
  <si>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</si>
  <si>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</si>
  <si>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</si>
  <si>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</si>
  <si>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</si>
  <si>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</si>
  <si>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</si>
  <si>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</si>
  <si>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</si>
  <si>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</si>
  <si>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</si>
  <si>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</si>
  <si>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</si>
  <si>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</si>
  <si>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</si>
  <si>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</si>
  <si>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</si>
  <si>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</si>
  <si>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</si>
  <si>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</si>
  <si>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</si>
  <si>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</si>
  <si>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</si>
  <si>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</si>
  <si>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</si>
  <si>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</si>
  <si>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</si>
  <si>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</si>
  <si>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</si>
  <si>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</si>
  <si>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</si>
  <si>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</si>
  <si>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</si>
  <si>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</si>
  <si>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</si>
  <si>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</si>
  <si>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</si>
  <si>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</si>
  <si>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</si>
  <si>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</si>
  <si>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</si>
  <si>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</si>
  <si>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</si>
  <si>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</si>
  <si>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</si>
  <si>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</si>
  <si>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</si>
  <si>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</si>
  <si>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</si>
  <si>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</si>
  <si>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</si>
  <si>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</si>
  <si>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</si>
  <si>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</si>
  <si>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</si>
  <si>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</si>
  <si>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</si>
  <si>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</si>
  <si>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</si>
  <si>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</si>
  <si>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</si>
  <si>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</si>
  <si>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</si>
  <si>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</si>
  <si>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</si>
  <si>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</si>
  <si>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</si>
  <si>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</si>
  <si>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</si>
  <si>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</si>
  <si>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</si>
  <si>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</si>
  <si>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</si>
  <si>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</si>
  <si>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</si>
  <si>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</si>
  <si>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</si>
  <si>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</si>
  <si>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</si>
  <si>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</si>
  <si>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</si>
  <si>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</si>
  <si>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</si>
  <si>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</si>
  <si>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</si>
  <si>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</si>
  <si>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</si>
  <si>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</si>
  <si>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</si>
  <si>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</si>
  <si>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</si>
  <si>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</si>
  <si>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</si>
  <si>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</si>
  <si>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</si>
  <si>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</si>
  <si>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</si>
  <si>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</si>
  <si>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</si>
  <si>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</si>
  <si>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</si>
  <si>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</si>
  <si>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</si>
  <si>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</si>
  <si>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</si>
  <si>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</si>
  <si>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</si>
  <si>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</si>
  <si>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</si>
  <si>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</si>
  <si>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</si>
  <si>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</si>
  <si>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</si>
  <si>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</si>
  <si>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</si>
  <si>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</si>
  <si>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</si>
  <si>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</si>
  <si>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</si>
  <si>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</si>
  <si>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</si>
  <si>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</si>
  <si>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</si>
  <si>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</si>
  <si>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</si>
  <si>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</si>
  <si>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</si>
  <si>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</si>
  <si>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</si>
  <si>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</si>
  <si>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</si>
  <si>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</si>
  <si>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</si>
  <si>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</si>
  <si>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</si>
  <si>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</si>
  <si>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</si>
  <si>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</si>
  <si>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</si>
  <si>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</si>
  <si>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</si>
  <si>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</si>
  <si>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</si>
  <si>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</si>
  <si>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</si>
  <si>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</si>
  <si>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</si>
  <si>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</si>
  <si>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</si>
  <si>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</si>
  <si>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</si>
  <si>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</si>
  <si>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</si>
  <si>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</si>
  <si>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</si>
  <si>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</si>
  <si>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</si>
  <si>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</si>
  <si>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</si>
  <si>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</si>
  <si>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</si>
  <si>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</si>
  <si>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</si>
  <si>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</si>
  <si>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</si>
  <si>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</si>
  <si>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</si>
  <si>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</si>
  <si>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</si>
  <si>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</si>
  <si>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</si>
  <si>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</si>
  <si>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</si>
  <si>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</si>
  <si>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</si>
  <si>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</si>
  <si>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</si>
  <si>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</si>
  <si>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</si>
  <si>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</si>
  <si>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</si>
  <si>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</si>
  <si>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</si>
  <si>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</si>
  <si>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</si>
  <si>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</si>
  <si>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</si>
  <si>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</si>
  <si>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</si>
  <si>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</si>
  <si>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</si>
  <si>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</si>
  <si>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</si>
  <si>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</si>
  <si>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</si>
  <si>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</si>
  <si>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</si>
  <si>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</si>
  <si>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</si>
  <si>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</si>
  <si>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</si>
  <si>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</si>
  <si>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</si>
  <si>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</si>
  <si>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</si>
  <si>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</si>
  <si>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</si>
  <si>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</si>
  <si>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</si>
  <si>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</si>
  <si>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</si>
  <si>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</si>
  <si>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</si>
  <si>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</si>
  <si>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</si>
  <si>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</si>
  <si>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</si>
  <si>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</si>
  <si>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</si>
  <si>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</si>
  <si>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</si>
  <si>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</si>
  <si>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</si>
  <si>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</si>
  <si>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</si>
  <si>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</si>
  <si>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</si>
  <si>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</si>
  <si>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</si>
  <si>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</si>
  <si>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</si>
  <si>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</si>
  <si>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</si>
  <si>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</si>
  <si>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</si>
  <si>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</si>
  <si>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</si>
  <si>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</si>
  <si>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</si>
  <si>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</si>
  <si>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</si>
  <si>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</si>
  <si>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</si>
  <si>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</si>
  <si>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</si>
  <si>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</si>
  <si>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</si>
  <si>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</si>
  <si>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</si>
  <si>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</si>
  <si>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</si>
  <si>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</si>
  <si>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</si>
  <si>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</si>
  <si>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</si>
  <si>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</si>
  <si>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</si>
  <si>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</si>
  <si>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</si>
  <si>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</si>
  <si>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</si>
  <si>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</si>
  <si>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</si>
  <si>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</si>
  <si>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</si>
  <si>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</si>
  <si>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</si>
  <si>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</si>
  <si>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</si>
  <si>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</si>
  <si>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</si>
  <si>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</si>
  <si>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</si>
  <si>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</si>
  <si>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</si>
  <si>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</si>
  <si>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</si>
  <si>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</si>
  <si>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</si>
  <si>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</si>
  <si>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</si>
  <si>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</si>
  <si>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</si>
  <si>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</si>
  <si>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</si>
  <si>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</si>
  <si>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</si>
  <si>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</si>
  <si>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</si>
  <si>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</si>
  <si>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</si>
  <si>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</si>
  <si>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</si>
  <si>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</si>
  <si>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</si>
  <si>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</si>
  <si>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</si>
  <si>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</si>
  <si>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</si>
  <si>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</si>
  <si>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</si>
  <si>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</si>
  <si>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</si>
  <si>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</si>
  <si>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</si>
  <si>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</si>
  <si>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</si>
  <si>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</si>
  <si>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</si>
  <si>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</si>
  <si>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</si>
  <si>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</si>
  <si>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</si>
  <si>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</si>
  <si>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</si>
  <si>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</si>
  <si>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</si>
  <si>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</si>
  <si>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</si>
  <si>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</si>
  <si>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</si>
  <si>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</si>
  <si>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</si>
  <si>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</si>
  <si>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</si>
  <si>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</si>
  <si>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</si>
  <si>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</si>
  <si>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</si>
  <si>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</si>
  <si>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</si>
  <si>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</si>
  <si>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</si>
  <si>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</si>
  <si>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</si>
  <si>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</si>
  <si>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</si>
  <si>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</si>
  <si>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</si>
  <si>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</si>
  <si>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</si>
  <si>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</si>
  <si>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</si>
  <si>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</si>
  <si>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</si>
  <si>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</si>
  <si>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</si>
  <si>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</si>
  <si>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</si>
  <si>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</si>
  <si>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</si>
  <si>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</si>
  <si>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</si>
  <si>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</si>
  <si>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</si>
  <si>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</si>
  <si>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</si>
  <si>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</si>
  <si>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</si>
  <si>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</si>
  <si>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</si>
  <si>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</si>
  <si>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</si>
  <si>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</si>
  <si>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</si>
  <si>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</si>
  <si>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</si>
  <si>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</si>
  <si>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</si>
  <si>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</si>
  <si>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</si>
  <si>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</si>
  <si>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</si>
  <si>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</si>
  <si>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</si>
  <si>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</si>
  <si>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</si>
  <si>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</si>
  <si>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</si>
  <si>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</si>
  <si>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</si>
  <si>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</si>
  <si>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</si>
  <si>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</si>
  <si>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</si>
  <si>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</si>
  <si>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</si>
  <si>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</si>
  <si>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</si>
  <si>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</si>
  <si>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</si>
  <si>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</si>
  <si>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</si>
  <si>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</si>
  <si>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</si>
  <si>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</si>
  <si>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</si>
  <si>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</si>
  <si>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</si>
  <si>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</si>
  <si>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</si>
  <si>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</si>
  <si>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</si>
  <si>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</si>
  <si>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</si>
  <si>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</si>
  <si>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</si>
  <si>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</si>
  <si>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</si>
  <si>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</si>
  <si>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</si>
  <si>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</si>
  <si>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</si>
  <si>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</si>
  <si>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</si>
  <si>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</si>
  <si>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</si>
  <si>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</si>
  <si>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</si>
  <si>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</si>
  <si>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</si>
  <si>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</si>
  <si>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</si>
  <si>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</si>
  <si>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</si>
  <si>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</si>
  <si>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</si>
  <si>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</si>
  <si>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</si>
  <si>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</si>
  <si>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</si>
  <si>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</si>
  <si>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</si>
  <si>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</si>
  <si>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</si>
  <si>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</si>
  <si>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</si>
  <si>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</si>
  <si>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</si>
  <si>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</si>
  <si>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</si>
  <si>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</si>
  <si>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</si>
  <si>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</si>
  <si>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</si>
  <si>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</si>
  <si>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</si>
  <si>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</si>
  <si>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</si>
  <si>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</si>
  <si>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</si>
  <si>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</si>
  <si>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</si>
  <si>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</si>
  <si>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</si>
  <si>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</si>
  <si>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</si>
  <si>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</si>
  <si>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</si>
  <si>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</si>
  <si>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</si>
  <si>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</si>
  <si>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</si>
  <si>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</si>
  <si>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</si>
  <si>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</si>
  <si>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</si>
  <si>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</si>
  <si>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</si>
  <si>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</si>
  <si>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</si>
  <si>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</si>
  <si>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</si>
  <si>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</si>
  <si>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</si>
  <si>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</si>
  <si>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</si>
  <si>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</si>
  <si>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</si>
  <si>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</si>
  <si>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</si>
  <si>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</si>
  <si>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</si>
  <si>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</si>
  <si>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</si>
  <si>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</si>
  <si>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</si>
  <si>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</si>
  <si>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</si>
  <si>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</si>
  <si>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</si>
  <si>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</si>
  <si>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</si>
  <si>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</si>
  <si>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</si>
  <si>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</si>
  <si>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</si>
  <si>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</si>
  <si>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</si>
  <si>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</si>
  <si>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</si>
  <si>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</si>
  <si>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</si>
  <si>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</si>
  <si>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</si>
  <si>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</si>
  <si>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</si>
  <si>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</si>
  <si>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</si>
  <si>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</si>
  <si>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</si>
  <si>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</si>
  <si>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</si>
  <si>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</si>
  <si>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</si>
  <si>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</si>
  <si>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</si>
  <si>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</si>
  <si>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</si>
  <si>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</si>
  <si>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</si>
  <si>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</si>
  <si>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</si>
  <si>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</si>
  <si>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</si>
  <si>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</si>
  <si>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</si>
  <si>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</si>
  <si>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</si>
  <si>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</si>
  <si>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</si>
  <si>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</si>
  <si>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</si>
  <si>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</si>
  <si>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</si>
  <si>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</si>
  <si>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</si>
  <si>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</si>
  <si>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</si>
  <si>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</si>
  <si>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</si>
  <si>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</si>
  <si>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</si>
  <si>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</si>
  <si>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</si>
  <si>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</si>
  <si>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</si>
  <si>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</si>
  <si>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</si>
  <si>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</si>
  <si>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</si>
  <si>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</si>
  <si>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</si>
  <si>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</si>
  <si>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</si>
  <si>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</si>
  <si>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</si>
  <si>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</si>
  <si>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</si>
  <si>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</si>
  <si>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</si>
  <si>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</si>
  <si>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</si>
  <si>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</si>
  <si>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</si>
  <si>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</si>
  <si>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</si>
  <si>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</si>
  <si>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</si>
  <si>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</si>
  <si>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</si>
  <si>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</si>
  <si>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</si>
  <si>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</si>
  <si>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</si>
  <si>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</si>
  <si>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</si>
  <si>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</si>
  <si>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</si>
  <si>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</si>
  <si>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</si>
  <si>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</si>
  <si>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</si>
  <si>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</si>
  <si>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</si>
  <si>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</si>
  <si>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</si>
  <si>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</si>
  <si>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</si>
  <si>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</si>
  <si>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</si>
  <si>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</si>
  <si>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</si>
  <si>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</si>
  <si>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</si>
  <si>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</si>
  <si>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</si>
  <si>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</si>
  <si>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</si>
  <si>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</si>
  <si>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</si>
  <si>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</si>
  <si>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</si>
  <si>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</si>
  <si>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</si>
  <si>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</si>
  <si>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</si>
  <si>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</si>
  <si>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</si>
  <si>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</si>
  <si>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</si>
  <si>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</si>
  <si>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</si>
  <si>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</si>
  <si>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</si>
  <si>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</si>
  <si>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</si>
  <si>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</si>
  <si>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</si>
  <si>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</si>
  <si>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</si>
  <si>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</si>
  <si>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</si>
  <si>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</si>
  <si>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</si>
  <si>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</si>
  <si>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</si>
  <si>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</si>
  <si>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</si>
  <si>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</si>
  <si>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</si>
  <si>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</si>
  <si>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</si>
  <si>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</si>
  <si>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</si>
  <si>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</si>
  <si>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</si>
  <si>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</si>
  <si>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</si>
  <si>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</si>
  <si>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</si>
  <si>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</si>
  <si>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</si>
  <si>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</si>
  <si>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</si>
  <si>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</si>
  <si>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</si>
  <si>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</si>
  <si>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</si>
  <si>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</si>
  <si>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</si>
  <si>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</si>
  <si>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</si>
  <si>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</si>
  <si>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</si>
  <si>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</si>
  <si>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</si>
  <si>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</si>
  <si>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</si>
  <si>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</si>
  <si>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</si>
  <si>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</si>
  <si>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</si>
  <si>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</si>
  <si>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</si>
  <si>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</si>
  <si>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</si>
  <si>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</si>
  <si>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</si>
  <si>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</si>
  <si>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</si>
  <si>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</si>
  <si>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</si>
  <si>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</si>
  <si>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</si>
  <si>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</si>
  <si>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</si>
  <si>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</si>
  <si>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</si>
  <si>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</si>
  <si>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</si>
  <si>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</si>
  <si>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</si>
  <si>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</si>
  <si>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</si>
  <si>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</si>
  <si>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</si>
  <si>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</si>
  <si>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</si>
  <si>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</si>
  <si>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</si>
  <si>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</si>
  <si>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</si>
  <si>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</si>
  <si>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</si>
  <si>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</si>
  <si>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</si>
  <si>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</si>
  <si>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</si>
  <si>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</si>
  <si>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</si>
  <si>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</si>
  <si>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</si>
  <si>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</si>
  <si>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</si>
  <si>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</si>
  <si>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</si>
  <si>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</si>
  <si>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</si>
  <si>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</si>
  <si>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</si>
  <si>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</si>
  <si>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</si>
  <si>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</si>
  <si>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</si>
  <si>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</si>
  <si>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</si>
  <si>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</si>
  <si>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</si>
  <si>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</si>
  <si>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</si>
  <si>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</si>
  <si>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</si>
  <si>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</si>
  <si>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</si>
  <si>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</si>
  <si>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</si>
  <si>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</si>
  <si>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</si>
  <si>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</si>
  <si>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</si>
  <si>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</si>
  <si>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</si>
  <si>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</si>
  <si>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</si>
  <si>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</si>
  <si>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</si>
  <si>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</si>
  <si>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</si>
  <si>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</si>
  <si>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</si>
  <si>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</si>
  <si>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</si>
  <si>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</si>
  <si>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</si>
  <si>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</si>
  <si>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</si>
  <si>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</si>
  <si>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</si>
  <si>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</si>
  <si>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</si>
  <si>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</si>
  <si>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</si>
  <si>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</si>
  <si>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</si>
  <si>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</si>
  <si>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</si>
  <si>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</si>
  <si>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</si>
  <si>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</si>
  <si>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</si>
  <si>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</si>
  <si>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</si>
  <si>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</si>
  <si>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</si>
  <si>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</si>
  <si>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</si>
  <si>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</si>
  <si>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</si>
  <si>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</si>
  <si>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</si>
  <si>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</si>
  <si>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</si>
  <si>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</si>
  <si>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</si>
  <si>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</si>
  <si>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</si>
  <si>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</si>
  <si>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</si>
  <si>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</si>
  <si>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</si>
  <si>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</si>
  <si>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</si>
  <si>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</si>
  <si>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</si>
  <si>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</si>
  <si>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</si>
  <si>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</si>
  <si>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</si>
  <si>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</si>
  <si>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</si>
  <si>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</si>
  <si>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</si>
  <si>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</si>
  <si>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</si>
  <si>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</si>
  <si>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</si>
  <si>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</si>
  <si>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</si>
  <si>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</si>
  <si>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</si>
  <si>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</si>
  <si>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</si>
  <si>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</si>
  <si>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</si>
  <si>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</si>
  <si>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</si>
  <si>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</si>
  <si>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</si>
  <si>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</si>
  <si>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</si>
  <si>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</si>
  <si>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</si>
  <si>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</si>
  <si>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</si>
  <si>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</si>
  <si>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</si>
  <si>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</si>
  <si>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</si>
  <si>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</si>
  <si>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</si>
  <si>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</si>
  <si>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</si>
  <si>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</si>
  <si>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</si>
  <si>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</si>
  <si>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</si>
  <si>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</si>
  <si>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</si>
  <si>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</si>
  <si>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</si>
  <si>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</si>
  <si>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</si>
  <si>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</si>
  <si>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</si>
  <si>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</si>
  <si>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</si>
  <si>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</si>
  <si>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</si>
  <si>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</si>
  <si>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</si>
  <si>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</si>
  <si>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</si>
  <si>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</si>
  <si>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</si>
  <si>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</si>
  <si>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</si>
  <si>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</si>
  <si>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</si>
  <si>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</si>
  <si>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</si>
  <si>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</si>
  <si>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</si>
  <si>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</si>
  <si>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</si>
  <si>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</si>
  <si>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</si>
  <si>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</si>
  <si>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</si>
  <si>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</si>
  <si>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</si>
  <si>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</si>
  <si>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</si>
  <si>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</si>
  <si>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</si>
  <si>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</si>
  <si>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</si>
  <si>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</si>
  <si>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</si>
  <si>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</si>
  <si>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</si>
  <si>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</si>
  <si>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</si>
  <si>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</si>
  <si>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</si>
  <si>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</si>
  <si>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</si>
  <si>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</si>
  <si>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</si>
  <si>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</si>
  <si>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</si>
  <si>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</si>
  <si>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</si>
  <si>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</si>
  <si>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</si>
  <si>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</si>
  <si>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</si>
  <si>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</si>
  <si>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</si>
  <si>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</si>
  <si>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</si>
  <si>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</si>
  <si>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</si>
  <si>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</si>
  <si>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</si>
  <si>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</si>
  <si>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</si>
  <si>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</si>
  <si>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</si>
  <si>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</si>
  <si>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</si>
  <si>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</si>
  <si>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</si>
  <si>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</si>
  <si>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</si>
  <si>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</si>
  <si>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</si>
  <si>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</si>
  <si>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</si>
  <si>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</si>
  <si>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</si>
  <si>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</si>
  <si>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</si>
  <si>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</si>
  <si>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</si>
  <si>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</si>
  <si>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</si>
  <si>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</si>
  <si>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</si>
  <si>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</si>
  <si>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</si>
  <si>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</si>
  <si>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</si>
  <si>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</si>
  <si>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</si>
  <si>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</si>
  <si>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</si>
  <si>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</si>
  <si>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</si>
  <si>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</si>
  <si>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</si>
  <si>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</si>
  <si>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</si>
  <si>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</si>
  <si>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</si>
  <si>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</si>
  <si>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</si>
  <si>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</si>
  <si>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</si>
  <si>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</si>
  <si>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</si>
  <si>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</si>
  <si>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</si>
  <si>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</si>
  <si>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</si>
  <si>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</si>
  <si>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</si>
  <si>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</si>
  <si>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</si>
  <si>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</si>
  <si>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</si>
  <si>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</si>
  <si>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</si>
  <si>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</si>
  <si>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</si>
  <si>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</si>
  <si>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</si>
  <si>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</si>
  <si>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</si>
  <si>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</si>
  <si>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</si>
  <si>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</si>
  <si>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</si>
  <si>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</si>
  <si>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</si>
  <si>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</si>
  <si>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</si>
  <si>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</si>
  <si>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</si>
  <si>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</si>
  <si>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</si>
  <si>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</si>
  <si>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</si>
  <si>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</si>
  <si>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</si>
  <si>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</si>
  <si>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</si>
  <si>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</si>
  <si>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</si>
  <si>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</si>
  <si>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</si>
  <si>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</si>
  <si>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</si>
  <si>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</si>
  <si>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</si>
  <si>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</si>
  <si>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</si>
  <si>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</si>
  <si>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</si>
  <si>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</si>
  <si>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</si>
  <si>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</si>
  <si>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</si>
  <si>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</si>
  <si>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</si>
  <si>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</si>
  <si>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</si>
  <si>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</si>
  <si>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</si>
  <si>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</si>
  <si>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</si>
  <si>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</si>
  <si>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</si>
  <si>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</si>
  <si>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</si>
  <si>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</si>
  <si>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</si>
  <si>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</si>
  <si>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</si>
  <si>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</si>
  <si>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</si>
  <si>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</si>
  <si>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</si>
  <si>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</si>
  <si>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</si>
  <si>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</si>
  <si>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</si>
  <si>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</si>
  <si>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</si>
  <si>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</si>
  <si>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</si>
  <si>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</si>
  <si>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</si>
  <si>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</si>
  <si>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</si>
  <si>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</si>
  <si>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</si>
  <si>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</si>
  <si>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</si>
  <si>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</si>
  <si>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</si>
  <si>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</si>
  <si>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</si>
  <si>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</si>
  <si>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</si>
  <si>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</si>
  <si>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</si>
  <si>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</si>
  <si>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</si>
  <si>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</si>
  <si>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</si>
  <si>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</si>
  <si>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</si>
  <si>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</si>
  <si>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</si>
  <si>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</si>
  <si>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</si>
  <si>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</si>
  <si>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</si>
  <si>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</si>
  <si>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</si>
  <si>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</si>
  <si>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</si>
  <si>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</si>
  <si>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</si>
  <si>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</si>
  <si>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</si>
  <si>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</si>
  <si>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</si>
  <si>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</si>
  <si>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</si>
  <si>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</si>
  <si>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</si>
  <si>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</si>
  <si>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</si>
  <si>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</si>
  <si>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</si>
  <si>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</si>
  <si>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</si>
  <si>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</si>
  <si>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</si>
  <si>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</si>
  <si>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</si>
  <si>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</si>
  <si>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</si>
  <si>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</si>
  <si>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</si>
  <si>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</si>
  <si>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</si>
  <si>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</si>
  <si>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</si>
  <si>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</si>
  <si>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</si>
  <si>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</si>
  <si>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</si>
  <si>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</si>
  <si>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</si>
  <si>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</si>
  <si>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</si>
  <si>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</si>
  <si>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</si>
  <si>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</si>
  <si>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</si>
  <si>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</si>
  <si>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</si>
  <si>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</si>
  <si>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</si>
  <si>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</si>
  <si>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</si>
  <si>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</si>
  <si>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</si>
  <si>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</si>
  <si>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</si>
  <si>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</si>
  <si>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</si>
  <si>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</si>
  <si>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</si>
  <si>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</si>
  <si>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</si>
  <si>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</si>
  <si>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</si>
  <si>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</si>
  <si>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</si>
  <si>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</si>
  <si>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</si>
  <si>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</si>
  <si>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</si>
  <si>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</si>
  <si>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</si>
  <si>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</si>
  <si>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</si>
  <si>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</si>
  <si>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</si>
  <si>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</si>
  <si>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</si>
  <si>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</si>
  <si>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</si>
  <si>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</si>
  <si>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</si>
  <si>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</si>
  <si>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</si>
  <si>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</si>
  <si>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</si>
  <si>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</si>
  <si>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</si>
  <si>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</si>
  <si>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</si>
  <si>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</si>
  <si>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</si>
  <si>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</si>
  <si>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</si>
  <si>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</si>
  <si>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</si>
  <si>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</si>
  <si>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</si>
  <si>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</si>
  <si>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</si>
  <si>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</si>
  <si>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</si>
  <si>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</si>
  <si>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</si>
  <si>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</si>
  <si>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</si>
  <si>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</si>
  <si>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</si>
  <si>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</si>
  <si>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</si>
  <si>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</si>
  <si>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</si>
  <si>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</si>
  <si>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</si>
  <si>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</si>
  <si>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</si>
  <si>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</si>
  <si>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</si>
  <si>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</si>
  <si>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</si>
  <si>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</si>
  <si>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</si>
  <si>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</si>
  <si>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</si>
  <si>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</si>
  <si>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</si>
  <si>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</si>
  <si>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</si>
  <si>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</si>
  <si>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</si>
  <si>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</si>
  <si>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</si>
  <si>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</si>
  <si>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</si>
  <si>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</si>
  <si>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</si>
  <si>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</si>
  <si>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</si>
  <si>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</si>
  <si>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</si>
  <si>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</si>
  <si>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</si>
  <si>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</si>
  <si>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</si>
  <si>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</si>
  <si>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</si>
  <si>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</si>
  <si>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</si>
  <si>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</si>
  <si>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</si>
  <si>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</si>
  <si>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</si>
  <si>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</si>
  <si>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</si>
  <si>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</si>
  <si>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</si>
  <si>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</si>
  <si>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</si>
  <si>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</si>
  <si>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</si>
  <si>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</si>
  <si>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</si>
  <si>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</si>
  <si>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</si>
  <si>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</si>
  <si>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</si>
  <si>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</si>
  <si>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</si>
  <si>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</si>
  <si>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</si>
  <si>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</si>
  <si>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</si>
  <si>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</si>
  <si>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</si>
  <si>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</si>
  <si>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</si>
  <si>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</si>
  <si>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</si>
  <si>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</si>
  <si>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</si>
  <si>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</si>
  <si>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</si>
  <si>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</si>
  <si>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</si>
  <si>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</si>
  <si>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</si>
  <si>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</si>
  <si>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</si>
  <si>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</si>
  <si>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</si>
  <si>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</si>
  <si>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</si>
  <si>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</si>
  <si>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</si>
  <si>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</si>
  <si>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</si>
  <si>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</si>
  <si>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</si>
  <si>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</si>
  <si>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</si>
  <si>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</si>
  <si>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</si>
  <si>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</si>
  <si>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</si>
  <si>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</si>
  <si>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</si>
  <si>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</si>
  <si>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</si>
  <si>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</si>
  <si>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</si>
  <si>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</si>
  <si>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</si>
  <si>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</si>
  <si>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</si>
  <si>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</si>
  <si>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</si>
  <si>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</si>
  <si>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</si>
  <si>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</si>
  <si>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</si>
  <si>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</si>
  <si>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</si>
  <si>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</si>
  <si>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</si>
  <si>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</si>
  <si>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</si>
  <si>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</si>
  <si>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</si>
  <si>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</si>
  <si>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</si>
  <si>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</si>
  <si>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</si>
  <si>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</si>
  <si>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</si>
  <si>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</si>
  <si>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</si>
  <si>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</si>
  <si>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</si>
  <si>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</si>
  <si>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</si>
  <si>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</si>
  <si>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</si>
  <si>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</si>
  <si>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</si>
  <si>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</si>
  <si>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</si>
  <si>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</si>
  <si>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</si>
  <si>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</si>
  <si>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</si>
  <si>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</si>
  <si>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</si>
  <si>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</si>
  <si>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</si>
  <si>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</si>
  <si>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</si>
  <si>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</si>
  <si>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</si>
  <si>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</si>
  <si>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</si>
  <si>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</si>
  <si>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</si>
  <si>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</si>
  <si>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</si>
  <si>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</si>
  <si>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</si>
  <si>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</si>
  <si>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</si>
  <si>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</si>
  <si>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</si>
  <si>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</si>
  <si>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</si>
  <si>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</si>
  <si>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</si>
  <si>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</si>
  <si>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</si>
  <si>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</si>
  <si>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</si>
  <si>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</si>
  <si>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</si>
  <si>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</si>
  <si>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</si>
  <si>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</si>
  <si>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</si>
  <si>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</si>
  <si>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</si>
  <si>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</si>
  <si>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</si>
  <si>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</si>
  <si>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</si>
  <si>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</si>
  <si>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</si>
  <si>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</si>
  <si>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</si>
  <si>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</si>
  <si>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</si>
  <si>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</si>
  <si>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</si>
  <si>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</si>
  <si>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</si>
  <si>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</si>
  <si>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</si>
  <si>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</si>
  <si>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</si>
  <si>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</si>
  <si>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</si>
  <si>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</si>
  <si>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</si>
  <si>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</si>
  <si>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</si>
  <si>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</si>
  <si>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</si>
  <si>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</si>
  <si>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</si>
  <si>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</si>
  <si>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</si>
  <si>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</si>
  <si>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</si>
  <si>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</si>
  <si>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</si>
  <si>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</si>
  <si>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</si>
  <si>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</si>
  <si>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</si>
  <si>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</si>
  <si>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</si>
  <si>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</si>
  <si>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</si>
  <si>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</si>
  <si>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</si>
  <si>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</si>
  <si>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</si>
  <si>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</si>
  <si>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</si>
  <si>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</si>
  <si>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</si>
  <si>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</si>
  <si>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</si>
  <si>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</si>
  <si>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</si>
  <si>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</si>
  <si>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</si>
  <si>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</si>
  <si>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</si>
  <si>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</si>
  <si>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</si>
  <si>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</si>
  <si>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</si>
  <si>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</si>
  <si>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</si>
  <si>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</si>
  <si>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</si>
  <si>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</si>
  <si>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</si>
  <si>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</si>
  <si>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</si>
  <si>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</si>
  <si>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</si>
  <si>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</si>
  <si>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</si>
  <si>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</si>
  <si>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</si>
  <si>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</si>
  <si>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</si>
  <si>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</si>
  <si>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</si>
  <si>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</si>
  <si>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</si>
  <si>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</si>
  <si>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</si>
  <si>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</si>
  <si>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</si>
  <si>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</si>
  <si>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</si>
  <si>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</si>
  <si>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</si>
  <si>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</si>
  <si>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</si>
  <si>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</si>
  <si>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</si>
  <si>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</si>
  <si>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</si>
  <si>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</si>
  <si>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</si>
  <si>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</si>
  <si>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</si>
  <si>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</si>
  <si>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</si>
  <si>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</si>
  <si>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</si>
  <si>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</si>
  <si>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</si>
  <si>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</si>
  <si>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</si>
  <si>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</si>
  <si>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</si>
  <si>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</si>
  <si>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</si>
  <si>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</si>
  <si>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</si>
  <si>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</si>
  <si>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</si>
  <si>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</si>
  <si>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</si>
  <si>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</si>
  <si>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</si>
  <si>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</si>
  <si>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</si>
  <si>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</si>
  <si>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</si>
  <si>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</si>
  <si>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</si>
  <si>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</si>
  <si>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</si>
  <si>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</si>
  <si>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</si>
  <si>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</si>
  <si>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</si>
  <si>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</si>
  <si>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</si>
  <si>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</si>
  <si>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</si>
  <si>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</si>
  <si>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</si>
  <si>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</si>
  <si>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</si>
  <si>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</si>
  <si>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</si>
  <si>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</si>
  <si>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</si>
  <si>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</si>
  <si>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</si>
  <si>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</si>
  <si>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</si>
  <si>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</si>
  <si>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</si>
  <si>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</si>
  <si>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</si>
  <si>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</si>
  <si>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</si>
  <si>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</si>
  <si>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</si>
  <si>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</si>
  <si>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</si>
  <si>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</si>
  <si>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</si>
  <si>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</si>
  <si>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</si>
  <si>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</si>
  <si>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</si>
  <si>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</si>
  <si>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</si>
  <si>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</si>
  <si>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</si>
  <si>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</si>
  <si>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</si>
  <si>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</si>
  <si>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</si>
  <si>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</si>
  <si>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</si>
  <si>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</si>
  <si>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</si>
  <si>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</si>
  <si>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</si>
  <si>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</si>
  <si>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</si>
  <si>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</si>
  <si>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</si>
  <si>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</si>
  <si>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</si>
  <si>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</si>
  <si>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</si>
  <si>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</si>
  <si>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</si>
  <si>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</si>
  <si>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</si>
  <si>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</si>
  <si>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</si>
  <si>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</si>
  <si>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</si>
  <si>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</si>
  <si>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</si>
  <si>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</si>
  <si>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</si>
  <si>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</si>
  <si>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</si>
  <si>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</si>
  <si>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</si>
  <si>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</si>
  <si>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</si>
  <si>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</si>
  <si>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</si>
  <si>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</si>
  <si>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</si>
  <si>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</si>
  <si>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</si>
  <si>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</si>
  <si>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</si>
  <si>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</si>
  <si>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</si>
  <si>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</si>
  <si>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</si>
  <si>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</si>
  <si>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</si>
  <si>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</si>
  <si>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</si>
  <si>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</si>
  <si>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</si>
  <si>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</si>
  <si>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</si>
  <si>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</si>
  <si>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</si>
  <si>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</si>
  <si>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</si>
  <si>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</si>
  <si>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</si>
  <si>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</si>
  <si>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</si>
  <si>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</si>
  <si>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</si>
  <si>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</si>
  <si>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</si>
  <si>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</si>
  <si>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</si>
  <si>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</si>
  <si>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</si>
  <si>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</si>
  <si>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</si>
  <si>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</si>
  <si>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</si>
  <si>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</si>
  <si>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</si>
  <si>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</si>
  <si>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</si>
  <si>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</si>
  <si>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</si>
  <si>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</si>
  <si>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</si>
  <si>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</si>
  <si>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</si>
  <si>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</si>
  <si>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</si>
  <si>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</si>
  <si>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</si>
  <si>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</si>
  <si>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</si>
  <si>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</si>
  <si>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</si>
  <si>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</si>
  <si>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</si>
  <si>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</si>
  <si>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</si>
  <si>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</si>
  <si>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</si>
  <si>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</si>
  <si>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</si>
  <si>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</si>
  <si>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</si>
  <si>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</si>
  <si>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</si>
  <si>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</si>
  <si>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</si>
  <si>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</si>
  <si>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</si>
  <si>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</si>
  <si>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</si>
  <si>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</si>
  <si>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</si>
  <si>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</si>
  <si>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</si>
  <si>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</si>
  <si>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</si>
  <si>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</si>
  <si>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</si>
  <si>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</si>
  <si>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</si>
  <si>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</si>
  <si>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</si>
  <si>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</si>
  <si>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</si>
  <si>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</si>
  <si>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</si>
  <si>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</si>
  <si>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</si>
  <si>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</si>
  <si>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</si>
  <si>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</si>
  <si>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</si>
  <si>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</si>
  <si>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</si>
  <si>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</si>
  <si>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</si>
  <si>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</si>
  <si>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</si>
  <si>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</si>
  <si>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</si>
  <si>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</si>
  <si>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</si>
  <si>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</si>
  <si>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</si>
  <si>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</si>
  <si>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</si>
  <si>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</si>
  <si>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</si>
  <si>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</si>
  <si>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</si>
  <si>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</si>
  <si>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</si>
  <si>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</si>
  <si>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</si>
  <si>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</si>
  <si>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</si>
  <si>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</si>
  <si>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</si>
  <si>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</si>
  <si>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</si>
  <si>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</si>
  <si>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</si>
  <si>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</si>
  <si>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</si>
  <si>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</si>
  <si>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</si>
  <si>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</si>
  <si>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</si>
  <si>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</si>
  <si>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</si>
  <si>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</si>
  <si>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</si>
  <si>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</si>
  <si>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</si>
  <si>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</si>
  <si>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</si>
  <si>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</si>
  <si>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</si>
  <si>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</si>
  <si>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</si>
  <si>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</si>
  <si>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</si>
  <si>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</si>
  <si>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</si>
  <si>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</si>
  <si>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</si>
  <si>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</si>
  <si>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</si>
  <si>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</si>
  <si>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</si>
  <si>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</si>
  <si>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</si>
  <si>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</si>
  <si>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</si>
  <si>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</si>
  <si>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</si>
  <si>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</si>
  <si>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</si>
  <si>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</si>
  <si>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</si>
  <si>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</si>
  <si>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</si>
  <si>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</si>
  <si>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</si>
  <si>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</si>
  <si>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</si>
  <si>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</si>
  <si>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</si>
  <si>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</si>
  <si>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</si>
  <si>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</si>
  <si>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</si>
  <si>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</si>
  <si>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</si>
  <si>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</si>
  <si>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</si>
  <si>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</si>
  <si>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</si>
  <si>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</si>
  <si>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</si>
  <si>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</si>
  <si>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</si>
  <si>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</si>
  <si>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</si>
  <si>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</si>
  <si>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</si>
  <si>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</si>
  <si>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</si>
  <si>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</si>
  <si>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</si>
  <si>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</si>
  <si>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</si>
  <si>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</si>
  <si>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</si>
  <si>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</si>
  <si>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</si>
  <si>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</si>
  <si>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</si>
  <si>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</si>
  <si>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</si>
  <si>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</si>
  <si>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</si>
  <si>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</si>
  <si>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</si>
  <si>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</si>
  <si>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</si>
  <si>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</si>
  <si>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</si>
  <si>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</si>
  <si>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</si>
  <si>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</si>
  <si>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</si>
  <si>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</si>
  <si>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</si>
  <si>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</si>
  <si>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</si>
  <si>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</si>
  <si>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</si>
  <si>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</si>
  <si>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</si>
  <si>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</si>
  <si>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</si>
  <si>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</si>
  <si>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</si>
  <si>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</si>
  <si>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</si>
  <si>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</si>
  <si>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</si>
  <si>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</si>
  <si>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</si>
  <si>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</si>
  <si>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</si>
  <si>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</si>
  <si>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</si>
  <si>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</si>
  <si>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</si>
  <si>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</si>
  <si>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</si>
  <si>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</si>
  <si>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</si>
  <si>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</si>
  <si>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</si>
  <si>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</si>
  <si>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</si>
  <si>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</si>
  <si>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</si>
  <si>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</si>
  <si>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</si>
  <si>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</si>
  <si>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</si>
  <si>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</si>
  <si>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</si>
  <si>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</si>
  <si>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</si>
  <si>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</si>
  <si>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</si>
  <si>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</si>
  <si>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</si>
  <si>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</si>
  <si>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</si>
  <si>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</si>
  <si>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</si>
  <si>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</si>
  <si>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</si>
  <si>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</si>
  <si>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</si>
  <si>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</si>
  <si>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</si>
  <si>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</si>
  <si>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</si>
  <si>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</si>
  <si>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</si>
  <si>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</si>
  <si>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</si>
  <si>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</si>
  <si>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</si>
  <si>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</si>
  <si>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</si>
  <si>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</si>
  <si>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</si>
  <si>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</si>
  <si>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</si>
  <si>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</si>
  <si>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</si>
  <si>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</si>
  <si>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</si>
  <si>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</si>
  <si>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</si>
  <si>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</si>
  <si>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</si>
  <si>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</si>
  <si>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</si>
  <si>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</si>
  <si>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</si>
  <si>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</si>
  <si>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</si>
  <si>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</si>
  <si>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</si>
  <si>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</si>
  <si>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</si>
  <si>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</si>
  <si>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</si>
  <si>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</si>
  <si>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</si>
  <si>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</si>
  <si>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</si>
  <si>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</si>
  <si>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</si>
  <si>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</si>
  <si>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</si>
  <si>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</si>
  <si>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</si>
  <si>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</si>
  <si>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</si>
  <si>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</si>
  <si>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</si>
  <si>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</si>
  <si>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</si>
  <si>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</si>
  <si>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</si>
  <si>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</si>
  <si>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</si>
  <si>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</si>
  <si>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</si>
  <si>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</si>
  <si>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</si>
  <si>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</si>
  <si>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</si>
  <si>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</si>
  <si>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</si>
  <si>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</si>
  <si>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</si>
  <si>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</si>
  <si>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</si>
  <si>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</si>
  <si>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</si>
  <si>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</si>
  <si>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</si>
  <si>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</si>
  <si>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</si>
  <si>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</si>
  <si>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</si>
  <si>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</si>
  <si>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</si>
  <si>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</si>
  <si>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</si>
  <si>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</si>
  <si>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</si>
  <si>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</si>
  <si>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</si>
  <si>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</si>
  <si>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</si>
  <si>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</si>
  <si>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</si>
  <si>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</si>
  <si>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</si>
  <si>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</si>
  <si>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</si>
  <si>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</si>
  <si>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</si>
  <si>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</si>
  <si>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</si>
  <si>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</si>
  <si>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</si>
  <si>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</si>
  <si>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</si>
  <si>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</si>
  <si>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</si>
  <si>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</si>
  <si>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</si>
  <si>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</si>
  <si>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</si>
  <si>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</si>
  <si>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</si>
  <si>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</si>
  <si>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</si>
  <si>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</si>
  <si>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</si>
  <si>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</si>
  <si>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</si>
  <si>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</si>
  <si>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</si>
  <si>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</si>
  <si>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</si>
  <si>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</si>
  <si>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</si>
  <si>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</si>
  <si>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</si>
  <si>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</si>
  <si>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</si>
  <si>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</si>
  <si>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</si>
  <si>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</si>
  <si>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</si>
  <si>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</si>
  <si>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</si>
  <si>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</si>
  <si>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</si>
  <si>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</si>
  <si>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</si>
  <si>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</si>
  <si>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</si>
  <si>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</si>
  <si>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</si>
  <si>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</si>
  <si>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</si>
  <si>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</si>
  <si>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</si>
  <si>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</si>
  <si>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</si>
  <si>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</si>
  <si>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</si>
  <si>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</si>
  <si>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</si>
  <si>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</si>
  <si>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</si>
  <si>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</si>
  <si>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</si>
  <si>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</si>
  <si>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</si>
  <si>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</si>
  <si>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</si>
  <si>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</si>
  <si>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</si>
  <si>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</si>
  <si>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</si>
  <si>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</si>
  <si>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</si>
  <si>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</si>
  <si>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</si>
  <si>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</si>
  <si>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</si>
  <si>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</si>
  <si>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</si>
  <si>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</si>
  <si>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</si>
  <si>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</si>
  <si>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</si>
  <si>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</si>
  <si>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</si>
  <si>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</si>
  <si>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</si>
  <si>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</si>
  <si>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</si>
  <si>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</si>
  <si>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</si>
  <si>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</si>
  <si>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</si>
  <si>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</si>
  <si>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</si>
  <si>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</si>
  <si>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</si>
  <si>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</si>
  <si>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</si>
  <si>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</si>
  <si>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</si>
  <si>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</si>
  <si>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</si>
  <si>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</si>
  <si>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</si>
  <si>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</si>
  <si>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</si>
  <si>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</si>
  <si>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</si>
  <si>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</si>
  <si>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</si>
  <si>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</si>
  <si>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</si>
  <si>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</si>
  <si>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</si>
  <si>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</si>
  <si>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</si>
  <si>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</si>
  <si>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</si>
  <si>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</si>
  <si>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</si>
  <si>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</si>
  <si>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</si>
  <si>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</si>
  <si>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</si>
  <si>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</si>
  <si>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</si>
  <si>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</si>
  <si>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</si>
  <si>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</si>
  <si>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</si>
  <si>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</si>
  <si>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</si>
  <si>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</si>
  <si>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</si>
  <si>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</si>
  <si>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</si>
  <si>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</si>
  <si>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</si>
  <si>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</si>
  <si>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</si>
  <si>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</si>
  <si>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</si>
  <si>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</si>
  <si>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</si>
  <si>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</si>
  <si>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</si>
  <si>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</si>
  <si>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</si>
  <si>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</si>
  <si>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</si>
  <si>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</si>
  <si>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</si>
  <si>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</si>
  <si>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</si>
  <si>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</si>
  <si>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</si>
  <si>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</si>
  <si>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</si>
  <si>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</si>
  <si>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</si>
  <si>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</si>
  <si>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</si>
  <si>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</si>
  <si>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</si>
  <si>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</si>
  <si>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</si>
  <si>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</si>
  <si>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</si>
  <si>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</si>
  <si>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</si>
  <si>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</si>
  <si>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</si>
  <si>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</si>
  <si>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</si>
  <si>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</si>
  <si>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</si>
  <si>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</si>
  <si>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</si>
  <si>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</si>
  <si>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</si>
  <si>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</si>
  <si>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</si>
  <si>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</si>
  <si>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</si>
  <si>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</si>
  <si>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</si>
  <si>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</si>
  <si>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</si>
  <si>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</si>
  <si>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</si>
  <si>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</si>
  <si>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</si>
  <si>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</si>
  <si>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</si>
  <si>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</si>
  <si>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</si>
  <si>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</si>
  <si>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</si>
  <si>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</si>
  <si>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</si>
  <si>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</si>
  <si>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</si>
  <si>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</si>
  <si>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</si>
  <si>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</si>
  <si>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</si>
  <si>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</si>
  <si>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</si>
  <si>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</si>
  <si>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</si>
  <si>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</si>
  <si>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</si>
  <si>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</si>
  <si>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</si>
  <si>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</si>
  <si>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</si>
  <si>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</si>
  <si>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</si>
  <si>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</si>
  <si>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</si>
  <si>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</si>
  <si>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</si>
  <si>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</si>
  <si>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</si>
  <si>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</si>
  <si>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</si>
  <si>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</si>
  <si>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</si>
  <si>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</si>
  <si>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</si>
  <si>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</si>
  <si>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</si>
  <si>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</si>
  <si>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</si>
  <si>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</si>
  <si>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</si>
  <si>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</si>
  <si>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</si>
  <si>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</si>
  <si>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</si>
  <si>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</si>
  <si>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</si>
  <si>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</si>
  <si>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</si>
  <si>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</si>
  <si>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</si>
  <si>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</si>
  <si>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</si>
  <si>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</si>
  <si>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</si>
  <si>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</si>
  <si>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</si>
  <si>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</si>
  <si>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</si>
  <si>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</si>
  <si>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</si>
  <si>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</si>
  <si>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</si>
  <si>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</si>
  <si>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</si>
  <si>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</si>
  <si>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</si>
  <si>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</si>
  <si>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</si>
  <si>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</si>
  <si>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</si>
  <si>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</si>
  <si>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</si>
  <si>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</si>
  <si>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</si>
  <si>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</si>
  <si>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</si>
  <si>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</si>
  <si>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</si>
  <si>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</si>
  <si>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</si>
  <si>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</si>
  <si>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</si>
  <si>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</si>
  <si>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</si>
  <si>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</si>
  <si>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</si>
  <si>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</si>
  <si>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</si>
  <si>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</si>
  <si>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</si>
  <si>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</si>
  <si>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</si>
  <si>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</si>
  <si>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</si>
  <si>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</si>
  <si>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</si>
  <si>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</si>
  <si>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</si>
  <si>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</si>
  <si>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</si>
  <si>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</si>
  <si>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</si>
  <si>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</si>
  <si>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</si>
  <si>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</si>
  <si>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</si>
  <si>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</si>
  <si>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</si>
  <si>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</si>
  <si>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</si>
  <si>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</si>
  <si>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</si>
  <si>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</si>
  <si>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</si>
  <si>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</si>
  <si>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</si>
  <si>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</si>
  <si>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</si>
  <si>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</si>
  <si>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</si>
  <si>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</si>
  <si>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</si>
  <si>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</si>
  <si>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</si>
  <si>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</si>
  <si>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</si>
  <si>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</si>
  <si>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</si>
  <si>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</si>
  <si>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</si>
  <si>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</si>
  <si>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</si>
  <si>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</si>
  <si>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</si>
  <si>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</si>
  <si>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</si>
  <si>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</si>
  <si>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</si>
  <si>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</si>
  <si>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</si>
  <si>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</si>
  <si>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</si>
  <si>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</si>
  <si>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</si>
  <si>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</si>
  <si>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</si>
  <si>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</si>
  <si>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</si>
  <si>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</si>
  <si>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</si>
  <si>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</si>
  <si>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</si>
  <si>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</si>
  <si>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</si>
  <si>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</si>
  <si>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</si>
  <si>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</si>
  <si>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</si>
  <si>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</si>
  <si>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</si>
  <si>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</si>
  <si>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</si>
  <si>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</si>
  <si>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</si>
  <si>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</si>
  <si>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</si>
  <si>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</si>
  <si>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</si>
  <si>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</si>
  <si>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</si>
  <si>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</si>
  <si>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</si>
  <si>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</si>
  <si>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</si>
  <si>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</si>
  <si>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</si>
  <si>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</si>
  <si>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</si>
  <si>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</si>
  <si>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</si>
  <si>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</si>
  <si>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</si>
  <si>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</si>
  <si>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</si>
  <si>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</si>
  <si>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</si>
  <si>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</si>
  <si>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</si>
  <si>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</si>
  <si>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</si>
  <si>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</si>
  <si>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</si>
  <si>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</si>
  <si>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</si>
  <si>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</si>
  <si>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</si>
  <si>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</si>
  <si>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</si>
  <si>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</si>
  <si>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</si>
  <si>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</si>
  <si>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</si>
  <si>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</si>
  <si>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</si>
  <si>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</si>
  <si>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</si>
  <si>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</si>
  <si>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</si>
  <si>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</si>
  <si>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</si>
  <si>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</si>
  <si>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</si>
  <si>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</si>
  <si>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</si>
  <si>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</si>
  <si>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</si>
  <si>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</si>
  <si>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</si>
  <si>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</si>
  <si>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</si>
  <si>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</si>
  <si>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</si>
  <si>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</si>
  <si>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</si>
  <si>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</si>
  <si>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</si>
  <si>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</si>
  <si>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</si>
  <si>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</si>
  <si>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</si>
  <si>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</si>
  <si>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</si>
  <si>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</si>
  <si>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</si>
  <si>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</si>
  <si>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</si>
  <si>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</si>
  <si>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</si>
  <si>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</si>
  <si>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</si>
  <si>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</si>
  <si>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</si>
  <si>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</si>
  <si>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</si>
  <si>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</si>
  <si>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</si>
  <si>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</si>
  <si>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</si>
  <si>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</si>
  <si>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</si>
  <si>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</si>
  <si>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</si>
  <si>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</si>
  <si>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</si>
  <si>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</si>
  <si>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</si>
  <si>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</si>
  <si>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</si>
  <si>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</si>
  <si>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</si>
  <si>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</si>
  <si>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</si>
  <si>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</si>
  <si>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</si>
  <si>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</si>
  <si>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</si>
  <si>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</si>
  <si>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</si>
  <si>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</si>
  <si>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</si>
  <si>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</si>
  <si>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</si>
  <si>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</si>
  <si>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</si>
  <si>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</si>
  <si>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</si>
  <si>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</si>
  <si>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</si>
  <si>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</si>
  <si>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</si>
  <si>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</si>
  <si>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</si>
  <si>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</si>
  <si>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</si>
  <si>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</si>
  <si>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</si>
  <si>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</si>
  <si>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</si>
  <si>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</si>
  <si>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</si>
  <si>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</si>
  <si>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</si>
  <si>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</si>
  <si>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</si>
  <si>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</si>
  <si>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</si>
  <si>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</si>
  <si>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</si>
  <si>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</si>
  <si>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</si>
  <si>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</si>
  <si>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</si>
  <si>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</si>
  <si>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</si>
  <si>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</si>
  <si>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</si>
  <si>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</si>
  <si>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</si>
  <si>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</si>
  <si>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</si>
  <si>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</si>
  <si>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</si>
  <si>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</si>
  <si>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</si>
  <si>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</si>
  <si>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</si>
  <si>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</si>
  <si>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</si>
  <si>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</si>
  <si>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</si>
  <si>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</si>
  <si>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</si>
  <si>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</si>
  <si>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</si>
  <si>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</si>
  <si>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</si>
  <si>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</si>
  <si>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</si>
  <si>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</si>
  <si>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</si>
  <si>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</si>
  <si>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</si>
  <si>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</si>
  <si>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</si>
  <si>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</si>
  <si>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</si>
  <si>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</si>
  <si>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</si>
  <si>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</si>
  <si>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</si>
  <si>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</si>
  <si>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</si>
  <si>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</si>
  <si>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</si>
  <si>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</si>
  <si>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</si>
  <si>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</si>
  <si>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</si>
  <si>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</si>
  <si>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</si>
  <si>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</si>
  <si>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</si>
  <si>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</si>
  <si>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</si>
  <si>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</si>
  <si>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</si>
  <si>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</si>
  <si>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</si>
  <si>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</si>
  <si>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</si>
  <si>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</si>
  <si>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</si>
  <si>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</si>
  <si>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</si>
  <si>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</si>
  <si>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</si>
  <si>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</si>
  <si>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</si>
  <si>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</si>
  <si>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</si>
  <si>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</si>
  <si>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</si>
  <si>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</si>
  <si>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</si>
  <si>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</si>
  <si>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</si>
  <si>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</si>
  <si>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</si>
  <si>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</si>
  <si>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</si>
  <si>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</si>
  <si>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</si>
  <si>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</si>
  <si>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</si>
  <si>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</si>
  <si>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</si>
  <si>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</si>
  <si>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</si>
  <si>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</si>
  <si>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</si>
  <si>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</si>
  <si>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</si>
  <si>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</si>
  <si>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</si>
  <si>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</si>
  <si>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</si>
  <si>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</si>
  <si>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</si>
  <si>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</si>
  <si>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</si>
  <si>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</si>
  <si>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</si>
  <si>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</si>
  <si>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</si>
  <si>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</si>
  <si>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</si>
  <si>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</si>
  <si>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</si>
  <si>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</si>
  <si>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</si>
  <si>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</si>
  <si>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</si>
  <si>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</si>
  <si>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</si>
  <si>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</si>
  <si>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</si>
  <si>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</si>
  <si>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</si>
  <si>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</si>
  <si>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</si>
  <si>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</si>
  <si>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</si>
  <si>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</si>
  <si>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</si>
  <si>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</si>
  <si>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</si>
  <si>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</si>
  <si>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</si>
  <si>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</si>
  <si>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</si>
  <si>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</si>
  <si>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</si>
  <si>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</si>
  <si>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</si>
  <si>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</si>
  <si>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</si>
  <si>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</si>
  <si>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</si>
  <si>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</si>
  <si>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</si>
  <si>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</si>
  <si>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</si>
  <si>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</si>
  <si>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</si>
  <si>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</si>
  <si>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</si>
  <si>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</si>
  <si>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</si>
  <si>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</si>
  <si>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</si>
  <si>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</si>
  <si>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</si>
  <si>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</si>
  <si>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</si>
  <si>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</si>
  <si>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</si>
  <si>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</si>
  <si>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</si>
  <si>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</si>
  <si>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</si>
  <si>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</si>
  <si>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</si>
  <si>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</si>
  <si>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</si>
  <si>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</si>
  <si>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</si>
  <si>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</si>
  <si>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</si>
  <si>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</si>
  <si>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</si>
  <si>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</si>
  <si>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</si>
  <si>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</si>
  <si>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</si>
  <si>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</si>
  <si>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</si>
  <si>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</si>
  <si>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</si>
  <si>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</si>
  <si>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</si>
  <si>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</si>
  <si>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</si>
  <si>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</si>
  <si>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</si>
  <si>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</si>
  <si>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</si>
  <si>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</si>
  <si>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</si>
  <si>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</si>
  <si>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</si>
  <si>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</si>
  <si>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</si>
  <si>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</si>
  <si>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</si>
  <si>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</si>
  <si>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</si>
  <si>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</si>
  <si>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</si>
  <si>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</si>
  <si>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</si>
  <si>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</si>
  <si>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</si>
  <si>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</si>
  <si>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</si>
  <si>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</si>
  <si>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</si>
  <si>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</si>
  <si>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</si>
  <si>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</si>
  <si>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</si>
  <si>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</si>
  <si>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</si>
  <si>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</si>
  <si>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</si>
  <si>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</si>
  <si>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</si>
  <si>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</si>
  <si>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</si>
  <si>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</si>
  <si>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</si>
  <si>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</si>
  <si>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</si>
  <si>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</si>
  <si>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</si>
  <si>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</si>
  <si>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</si>
  <si>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</si>
  <si>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</si>
  <si>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</si>
  <si>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</si>
  <si>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</si>
  <si>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</si>
  <si>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</si>
  <si>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</si>
  <si>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</si>
  <si>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</si>
  <si>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</si>
  <si>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</si>
  <si>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</si>
  <si>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</si>
  <si>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</si>
  <si>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</si>
  <si>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</si>
  <si>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</si>
  <si>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</si>
  <si>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</si>
  <si>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</si>
  <si>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</si>
  <si>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</si>
  <si>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</si>
  <si>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</si>
  <si>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</si>
  <si>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</si>
  <si>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</si>
  <si>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</si>
  <si>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</si>
  <si>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</si>
  <si>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</si>
  <si>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</si>
  <si>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</si>
  <si>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</si>
  <si>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</si>
  <si>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</si>
  <si>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</si>
  <si>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</si>
  <si>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</si>
  <si>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</si>
  <si>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</si>
  <si>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</si>
  <si>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</si>
  <si>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</si>
  <si>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</si>
  <si>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</si>
  <si>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</si>
  <si>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</si>
  <si>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</si>
  <si>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</si>
  <si>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</si>
  <si>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</si>
  <si>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</si>
  <si>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</si>
  <si>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</si>
  <si>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</si>
  <si>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</si>
  <si>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</si>
  <si>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</si>
  <si>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</si>
  <si>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</si>
  <si>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</si>
  <si>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</si>
  <si>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</si>
  <si>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</si>
  <si>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</si>
  <si>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</si>
  <si>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</si>
  <si>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</si>
  <si>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</si>
  <si>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</si>
  <si>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</si>
  <si>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</si>
  <si>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</si>
  <si>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</si>
  <si>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</si>
  <si>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</si>
  <si>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</si>
  <si>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</si>
  <si>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</si>
  <si>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</si>
  <si>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</si>
  <si>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</si>
  <si>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</si>
  <si>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</si>
  <si>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</si>
  <si>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</si>
  <si>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</si>
  <si>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</si>
  <si>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</si>
  <si>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</si>
  <si>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</si>
  <si>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</si>
  <si>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</si>
  <si>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</si>
  <si>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</si>
  <si>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</si>
  <si>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</si>
  <si>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</si>
  <si>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</si>
  <si>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</si>
  <si>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</si>
  <si>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</si>
  <si>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</si>
  <si>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</si>
  <si>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</si>
  <si>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</si>
  <si>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</si>
  <si>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</si>
  <si>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</si>
  <si>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</si>
  <si>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</si>
  <si>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</si>
  <si>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</si>
  <si>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</si>
  <si>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</si>
  <si>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</si>
  <si>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</si>
  <si>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</si>
  <si>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</si>
  <si>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</si>
  <si>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</si>
  <si>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</si>
  <si>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</si>
  <si>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</si>
  <si>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</si>
  <si>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</si>
  <si>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</si>
  <si>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</si>
  <si>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</si>
  <si>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</si>
  <si>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</si>
  <si>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</si>
  <si>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</si>
  <si>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</si>
  <si>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</si>
  <si>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</si>
  <si>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</si>
  <si>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</si>
  <si>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</si>
  <si>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</si>
  <si>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</si>
  <si>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</si>
  <si>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</si>
  <si>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</si>
  <si>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</si>
  <si>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</si>
  <si>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</si>
  <si>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</si>
  <si>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</si>
  <si>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</si>
  <si>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</si>
  <si>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</si>
  <si>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</si>
  <si>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</si>
  <si>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</si>
  <si>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</si>
  <si>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</si>
  <si>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</si>
  <si>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</si>
  <si>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</si>
  <si>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</si>
  <si>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</si>
  <si>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</si>
  <si>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</si>
  <si>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</si>
  <si>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</si>
  <si>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</si>
  <si>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</si>
  <si>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</si>
  <si>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</si>
  <si>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</si>
  <si>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</si>
  <si>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</si>
  <si>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</si>
  <si>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</si>
  <si>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</si>
  <si>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</si>
  <si>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</si>
  <si>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</si>
  <si>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</si>
  <si>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</si>
  <si>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</si>
  <si>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</si>
  <si>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</si>
  <si>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</si>
  <si>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</si>
  <si>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</si>
  <si>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</si>
  <si>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</si>
  <si>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</si>
  <si>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</si>
  <si>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</si>
  <si>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</si>
  <si>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</si>
  <si>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</si>
  <si>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</si>
  <si>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</si>
  <si>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</si>
  <si>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</si>
  <si>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</si>
  <si>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</si>
  <si>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</si>
  <si>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</si>
  <si>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</si>
  <si>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</si>
  <si>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</si>
  <si>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</si>
  <si>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</si>
  <si>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</si>
  <si>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</si>
  <si>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</si>
  <si>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</si>
  <si>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</si>
  <si>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</si>
  <si>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</si>
  <si>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</si>
  <si>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</si>
  <si>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</si>
  <si>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</si>
  <si>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</si>
  <si>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</si>
  <si>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</si>
  <si>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</si>
  <si>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</si>
  <si>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</si>
  <si>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</si>
  <si>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</si>
  <si>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</si>
  <si>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</si>
  <si>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</si>
  <si>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</si>
  <si>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</si>
  <si>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</si>
  <si>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</si>
  <si>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</si>
  <si>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</si>
  <si>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</si>
  <si>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</si>
  <si>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</si>
  <si>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</si>
  <si>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</si>
  <si>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</si>
  <si>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</si>
  <si>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</si>
  <si>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</si>
  <si>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</si>
  <si>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</si>
  <si>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</si>
  <si>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</si>
  <si>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</si>
  <si>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</si>
  <si>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</si>
  <si>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</si>
  <si>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</si>
  <si>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</si>
  <si>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</si>
  <si>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</si>
  <si>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</si>
  <si>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</si>
  <si>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</si>
  <si>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</si>
  <si>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</si>
  <si>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</si>
  <si>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</si>
  <si>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</si>
  <si>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</si>
  <si>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</si>
  <si>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</si>
  <si>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</si>
  <si>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</si>
  <si>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</si>
  <si>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</si>
  <si>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</si>
  <si>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</si>
  <si>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</si>
  <si>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</si>
  <si>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</si>
  <si>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</si>
  <si>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</si>
  <si>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</si>
  <si>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</si>
  <si>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</si>
  <si>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</si>
  <si>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</si>
  <si>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</si>
  <si>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</si>
  <si>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</si>
  <si>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</si>
  <si>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</si>
  <si>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</si>
  <si>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</si>
  <si>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</si>
  <si>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</si>
  <si>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</si>
  <si>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</si>
  <si>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</si>
  <si>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</si>
  <si>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</si>
  <si>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</si>
  <si>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</si>
  <si>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</si>
  <si>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</si>
  <si>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</si>
  <si>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</si>
  <si>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</si>
  <si>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</si>
  <si>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</si>
  <si>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</si>
  <si>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</si>
  <si>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</si>
  <si>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</si>
  <si>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</si>
  <si>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</si>
  <si>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</si>
  <si>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</si>
  <si>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</si>
  <si>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</si>
  <si>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</si>
  <si>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</si>
  <si>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</si>
  <si>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</si>
  <si>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</si>
  <si>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</si>
  <si>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</si>
  <si>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</si>
  <si>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</si>
  <si>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</si>
  <si>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</si>
  <si>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</si>
  <si>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</si>
  <si>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</si>
  <si>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</si>
  <si>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</si>
  <si>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</si>
  <si>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</si>
  <si>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</si>
  <si>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</si>
  <si>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</si>
  <si>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</si>
  <si>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</si>
  <si>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</si>
  <si>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</si>
  <si>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</si>
  <si>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</si>
  <si>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</si>
  <si>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</si>
  <si>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</si>
  <si>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</si>
  <si>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</si>
  <si>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</si>
  <si>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</si>
  <si>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</si>
  <si>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</si>
  <si>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</si>
  <si>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</si>
  <si>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</si>
  <si>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</si>
  <si>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</si>
  <si>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</si>
  <si>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</si>
  <si>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</si>
  <si>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</si>
  <si>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</si>
  <si>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</si>
  <si>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</si>
  <si>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</si>
  <si>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</si>
  <si>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</si>
  <si>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</si>
  <si>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</si>
  <si>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</si>
  <si>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</si>
  <si>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</si>
  <si>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</si>
  <si>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</si>
  <si>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</si>
  <si>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</si>
  <si>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</si>
  <si>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</si>
  <si>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</si>
  <si>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</si>
  <si>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</si>
  <si>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</si>
  <si>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</si>
  <si>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</si>
  <si>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</si>
  <si>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</si>
  <si>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</si>
  <si>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</si>
  <si>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</si>
  <si>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</si>
  <si>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</si>
  <si>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</si>
  <si>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</si>
  <si>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</si>
  <si>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</si>
  <si>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</si>
  <si>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</si>
  <si>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</si>
  <si>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</si>
  <si>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</si>
  <si>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</si>
  <si>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</si>
  <si>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</si>
  <si>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</si>
  <si>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</si>
  <si>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</si>
  <si>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</si>
  <si>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</si>
  <si>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</si>
  <si>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</si>
  <si>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</si>
  <si>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</si>
  <si>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</si>
  <si>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</si>
  <si>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</si>
  <si>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</si>
  <si>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</si>
  <si>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</si>
  <si>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</si>
  <si>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</si>
  <si>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</si>
  <si>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</si>
  <si>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</si>
  <si>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</si>
  <si>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</si>
  <si>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</si>
  <si>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</si>
  <si>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</si>
  <si>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</si>
  <si>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</si>
  <si>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</si>
  <si>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</si>
  <si>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</si>
  <si>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</si>
  <si>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</si>
  <si>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</si>
  <si>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</si>
  <si>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</si>
  <si>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</si>
  <si>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</si>
  <si>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</si>
  <si>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</si>
  <si>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</si>
  <si>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</si>
  <si>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</si>
  <si>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</si>
  <si>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</si>
  <si>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</si>
  <si>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</si>
  <si>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</si>
  <si>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</si>
  <si>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</si>
  <si>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</si>
  <si>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</si>
  <si>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</si>
  <si>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</si>
  <si>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</si>
  <si>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</si>
  <si>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</si>
  <si>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</si>
  <si>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</si>
  <si>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</si>
  <si>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</si>
  <si>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</si>
  <si>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</si>
  <si>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</si>
  <si>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</si>
  <si>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</si>
  <si>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</si>
  <si>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</si>
  <si>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</si>
  <si>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</si>
  <si>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</si>
  <si>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</si>
  <si>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</si>
  <si>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</si>
  <si>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</si>
  <si>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</si>
  <si>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</si>
  <si>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</si>
  <si>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</si>
  <si>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</si>
  <si>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</si>
  <si>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</si>
  <si>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</si>
  <si>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</si>
  <si>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</si>
  <si>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</si>
  <si>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</si>
  <si>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</si>
  <si>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</si>
  <si>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</si>
  <si>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</si>
  <si>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</si>
  <si>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</si>
  <si>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</si>
  <si>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</si>
  <si>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</si>
  <si>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</si>
  <si>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</si>
  <si>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</si>
  <si>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</si>
  <si>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</si>
  <si>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</si>
  <si>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</si>
  <si>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</si>
  <si>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</si>
  <si>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</si>
  <si>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</si>
  <si>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</si>
  <si>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</si>
  <si>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</si>
  <si>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</si>
  <si>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</si>
  <si>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</si>
  <si>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</si>
  <si>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</si>
  <si>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</si>
  <si>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</si>
  <si>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</si>
  <si>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</si>
  <si>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</si>
  <si>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</si>
  <si>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</si>
  <si>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</si>
  <si>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</si>
  <si>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</si>
  <si>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</si>
  <si>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</si>
  <si>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</si>
  <si>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</si>
  <si>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</si>
  <si>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</si>
  <si>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</si>
  <si>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</si>
  <si>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</si>
  <si>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</si>
  <si>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</si>
  <si>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</si>
  <si>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</si>
  <si>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</si>
  <si>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</si>
  <si>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</si>
  <si>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</si>
  <si>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</si>
  <si>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</si>
  <si>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</si>
  <si>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</si>
  <si>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</si>
  <si>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</si>
  <si>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</si>
  <si>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</si>
  <si>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</si>
  <si>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</si>
  <si>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</si>
  <si>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</si>
  <si>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</si>
  <si>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</si>
  <si>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</si>
  <si>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</si>
  <si>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</si>
  <si>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</si>
  <si>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</si>
  <si>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</si>
  <si>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</si>
  <si>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</si>
  <si>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</si>
  <si>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</si>
  <si>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</si>
  <si>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</si>
  <si>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</si>
  <si>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</si>
  <si>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</si>
  <si>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</si>
  <si>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</si>
  <si>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</si>
  <si>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</si>
  <si>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</si>
  <si>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</si>
  <si>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</si>
  <si>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</si>
  <si>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</si>
  <si>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</si>
  <si>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</si>
  <si>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</si>
  <si>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</si>
  <si>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</si>
  <si>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</si>
  <si>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</si>
  <si>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</si>
  <si>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</si>
  <si>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</si>
  <si>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</si>
  <si>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</si>
  <si>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</si>
  <si>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</si>
  <si>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</si>
  <si>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</si>
  <si>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</si>
  <si>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</si>
  <si>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</si>
  <si>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</si>
  <si>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</si>
  <si>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</si>
  <si>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</si>
  <si>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</si>
  <si>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</si>
  <si>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</si>
  <si>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</si>
  <si>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</si>
  <si>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</si>
  <si>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</si>
  <si>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</si>
  <si>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</si>
  <si>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</si>
  <si>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</si>
  <si>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</si>
  <si>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</si>
  <si>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</si>
  <si>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</si>
  <si>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</si>
  <si>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</si>
  <si>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</si>
  <si>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</si>
  <si>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</si>
  <si>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</si>
  <si>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</si>
  <si>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</si>
  <si>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</si>
  <si>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</si>
  <si>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</si>
  <si>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</si>
  <si>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</si>
  <si>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</si>
  <si>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</si>
  <si>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</si>
  <si>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</si>
  <si>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</si>
  <si>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</si>
  <si>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</si>
  <si>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</si>
  <si>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</si>
  <si>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</si>
  <si>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</si>
  <si>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</si>
  <si>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</si>
  <si>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</si>
  <si>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</si>
  <si>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</si>
  <si>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</si>
  <si>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</si>
  <si>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</si>
  <si>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</si>
  <si>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</si>
  <si>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</si>
  <si>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</si>
  <si>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</si>
  <si>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</si>
  <si>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</si>
  <si>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</si>
  <si>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</si>
  <si>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</si>
  <si>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</si>
  <si>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</si>
  <si>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</si>
  <si>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</si>
  <si>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</si>
  <si>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</si>
  <si>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</si>
  <si>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</si>
  <si>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</si>
  <si>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</si>
  <si>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</si>
  <si>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</si>
  <si>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</si>
  <si>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</si>
  <si>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</si>
  <si>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</si>
  <si>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</si>
  <si>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</si>
  <si>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</si>
  <si>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</si>
  <si>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</si>
  <si>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</si>
  <si>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</si>
  <si>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</si>
  <si>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</si>
  <si>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</si>
  <si>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</si>
  <si>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</si>
  <si>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</si>
  <si>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</si>
  <si>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</si>
  <si>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</si>
  <si>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</si>
  <si>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</si>
  <si>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</si>
  <si>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</si>
  <si>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</si>
  <si>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</si>
  <si>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</si>
  <si>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</si>
  <si>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</si>
  <si>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</si>
  <si>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</si>
  <si>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</si>
  <si>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</si>
  <si>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</si>
  <si>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</si>
  <si>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</si>
  <si>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</si>
  <si>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</si>
  <si>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</si>
  <si>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</si>
  <si>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</si>
  <si>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</si>
  <si>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</si>
  <si>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</si>
  <si>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</si>
  <si>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</si>
  <si>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</si>
  <si>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</si>
  <si>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</si>
  <si>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</si>
  <si>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</si>
  <si>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</si>
  <si>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</si>
  <si>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</si>
  <si>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</si>
  <si>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</si>
  <si>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</si>
  <si>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</si>
  <si>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</si>
  <si>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</si>
  <si>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</si>
  <si>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</si>
  <si>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</si>
  <si>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</si>
  <si>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</si>
  <si>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</si>
  <si>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</si>
  <si>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</si>
  <si>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</si>
  <si>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</si>
  <si>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</si>
  <si>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</si>
  <si>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</si>
  <si>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</si>
  <si>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</si>
  <si>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</si>
  <si>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</si>
  <si>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</si>
  <si>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</si>
  <si>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</si>
  <si>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</si>
  <si>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</si>
  <si>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</si>
  <si>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</si>
  <si>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</si>
  <si>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</si>
  <si>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</si>
  <si>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</si>
  <si>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</si>
  <si>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</si>
  <si>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</si>
  <si>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</si>
  <si>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</si>
  <si>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</si>
  <si>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</si>
  <si>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</si>
  <si>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</si>
  <si>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</si>
  <si>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</si>
  <si>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</si>
  <si>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</si>
  <si>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</si>
  <si>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</si>
  <si>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</si>
  <si>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</si>
  <si>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</si>
  <si>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</si>
  <si>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</si>
  <si>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</si>
  <si>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</si>
  <si>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</si>
  <si>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</si>
  <si>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</si>
  <si>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</si>
  <si>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</si>
  <si>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</si>
  <si>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</si>
  <si>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</si>
  <si>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</si>
  <si>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</si>
  <si>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</si>
  <si>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</si>
  <si>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</si>
  <si>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</si>
  <si>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</si>
  <si>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</si>
  <si>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</si>
  <si>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</si>
  <si>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</si>
  <si>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</si>
  <si>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</si>
  <si>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</si>
  <si>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</si>
  <si>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</si>
  <si>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</si>
  <si>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</si>
  <si>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</si>
  <si>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</si>
  <si>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</si>
  <si>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</si>
  <si>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</si>
  <si>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</si>
  <si>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</si>
  <si>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</si>
  <si>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</si>
  <si>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</si>
  <si>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</si>
  <si>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</si>
  <si>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</si>
  <si>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</si>
  <si>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</si>
  <si>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</si>
  <si>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</si>
  <si>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</si>
  <si>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</si>
  <si>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</si>
  <si>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</si>
  <si>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</si>
  <si>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</si>
  <si>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</si>
  <si>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</si>
  <si>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</si>
  <si>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</si>
  <si>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</si>
  <si>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</si>
  <si>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</si>
  <si>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</si>
  <si>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</si>
  <si>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</si>
  <si>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</si>
  <si>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</si>
  <si>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</si>
  <si>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</si>
  <si>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</si>
  <si>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</si>
  <si>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</si>
  <si>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</si>
  <si>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</si>
  <si>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</si>
  <si>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</si>
  <si>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</si>
  <si>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</si>
  <si>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</si>
  <si>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</si>
  <si>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</si>
  <si>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</si>
  <si>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</si>
  <si>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</si>
  <si>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</si>
  <si>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</si>
  <si>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</si>
  <si>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</si>
  <si>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</si>
  <si>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</si>
  <si>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</si>
  <si>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</si>
  <si>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</si>
  <si>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</si>
  <si>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</si>
  <si>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</si>
  <si>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</si>
  <si>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</si>
  <si>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</si>
  <si>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</si>
  <si>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</si>
  <si>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</si>
  <si>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</si>
  <si>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</si>
  <si>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</si>
  <si>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</si>
  <si>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</si>
  <si>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</si>
  <si>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</si>
  <si>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</si>
  <si>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</si>
  <si>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</si>
  <si>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</si>
  <si>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</si>
  <si>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</si>
  <si>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</si>
  <si>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</si>
  <si>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</si>
  <si>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</si>
  <si>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</si>
  <si>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</si>
  <si>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</si>
  <si>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</si>
  <si>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</si>
  <si>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</si>
  <si>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</si>
  <si>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</si>
  <si>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</si>
  <si>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</si>
  <si>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</si>
  <si>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</si>
  <si>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</si>
  <si>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</si>
  <si>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</si>
  <si>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</si>
  <si>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</si>
  <si>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</si>
  <si>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</si>
  <si>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</si>
  <si>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</si>
  <si>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</si>
  <si>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</si>
  <si>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</si>
  <si>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</si>
  <si>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</si>
  <si>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</si>
  <si>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</si>
  <si>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</si>
  <si>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</si>
  <si>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</si>
  <si>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</si>
  <si>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</si>
  <si>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</si>
  <si>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</si>
  <si>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</si>
  <si>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</si>
  <si>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</si>
  <si>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</si>
  <si>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</si>
  <si>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</si>
  <si>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</si>
  <si>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</si>
  <si>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</si>
  <si>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</si>
  <si>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</si>
  <si>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</si>
  <si>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</si>
  <si>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</si>
  <si>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</si>
  <si>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</si>
  <si>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</si>
  <si>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</si>
  <si>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</si>
  <si>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</si>
  <si>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</si>
  <si>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</si>
  <si>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</si>
  <si>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</si>
  <si>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</si>
  <si>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</si>
  <si>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</si>
  <si>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</si>
  <si>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</si>
  <si>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</si>
  <si>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</si>
  <si>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</si>
  <si>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</si>
  <si>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</si>
  <si>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</si>
  <si>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</si>
  <si>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</si>
  <si>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</si>
  <si>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</si>
  <si>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</si>
  <si>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</si>
  <si>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</si>
  <si>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</si>
  <si>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</si>
  <si>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</si>
  <si>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</si>
  <si>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</si>
  <si>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</si>
  <si>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</si>
  <si>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</si>
  <si>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</si>
  <si>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</si>
  <si>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</si>
  <si>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</si>
  <si>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</si>
  <si>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</si>
  <si>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</si>
  <si>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</si>
  <si>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</si>
  <si>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</si>
  <si>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</si>
  <si>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</si>
  <si>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</si>
  <si>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</si>
  <si>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</si>
  <si>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</si>
  <si>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</si>
  <si>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</si>
  <si>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</si>
  <si>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</si>
  <si>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</si>
  <si>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</si>
  <si>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</si>
  <si>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</si>
  <si>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</si>
  <si>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</si>
  <si>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</si>
  <si>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</si>
  <si>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</si>
  <si>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</si>
  <si>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</si>
  <si>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</si>
  <si>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</si>
  <si>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</si>
  <si>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</si>
  <si>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</si>
  <si>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</si>
  <si>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</si>
  <si>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</si>
  <si>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</si>
  <si>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</si>
  <si>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</si>
  <si>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</si>
  <si>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</si>
  <si>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</si>
  <si>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</si>
  <si>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</si>
  <si>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</si>
  <si>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</si>
  <si>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</si>
  <si>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</si>
  <si>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</si>
  <si>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</si>
  <si>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</si>
  <si>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</si>
  <si>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</si>
  <si>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</si>
  <si>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</si>
  <si>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</si>
  <si>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</si>
  <si>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</si>
  <si>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</si>
  <si>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</si>
  <si>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</si>
  <si>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</si>
  <si>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</si>
  <si>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</si>
  <si>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</si>
  <si>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</si>
  <si>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</si>
  <si>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</si>
  <si>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</si>
  <si>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</si>
  <si>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</si>
  <si>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</si>
  <si>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</si>
  <si>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</si>
  <si>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</si>
  <si>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</si>
  <si>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</si>
  <si>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</si>
  <si>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</si>
  <si>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</si>
  <si>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</si>
  <si>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</si>
  <si>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</si>
  <si>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</si>
  <si>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</si>
  <si>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</si>
  <si>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</si>
  <si>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</si>
  <si>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</si>
  <si>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</si>
  <si>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</si>
  <si>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</si>
  <si>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</si>
  <si>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</si>
  <si>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</si>
  <si>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</si>
  <si>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</si>
  <si>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</si>
  <si>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</si>
  <si>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</si>
  <si>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</si>
  <si>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</si>
  <si>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</si>
  <si>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</si>
  <si>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</si>
  <si>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</si>
  <si>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</si>
  <si>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</si>
  <si>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</si>
  <si>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</si>
  <si>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</si>
  <si>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</si>
  <si>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</si>
  <si>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</si>
  <si>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</si>
  <si>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</si>
  <si>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</si>
  <si>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</si>
  <si>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</si>
  <si>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</si>
  <si>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</si>
  <si>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</si>
  <si>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</si>
  <si>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</si>
  <si>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</si>
  <si>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</si>
  <si>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</si>
  <si>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</si>
  <si>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</si>
  <si>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</si>
  <si>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</si>
  <si>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</si>
  <si>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</si>
  <si>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</si>
  <si>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</si>
  <si>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</si>
  <si>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</si>
  <si>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</si>
  <si>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</si>
  <si>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</si>
  <si>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</si>
  <si>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</si>
  <si>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</si>
  <si>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</si>
  <si>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</si>
  <si>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</si>
  <si>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</si>
  <si>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</si>
  <si>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</si>
  <si>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</si>
  <si>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</si>
  <si>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</si>
  <si>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</si>
  <si>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</si>
  <si>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</si>
  <si>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</si>
  <si>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</si>
  <si>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</si>
  <si>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</si>
  <si>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</si>
  <si>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</si>
  <si>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</si>
  <si>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</si>
  <si>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</si>
  <si>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</si>
  <si>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</si>
  <si>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</si>
  <si>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</si>
  <si>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</si>
  <si>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</si>
  <si>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</si>
  <si>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</si>
  <si>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</si>
  <si>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</si>
  <si>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</si>
  <si>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</si>
  <si>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</si>
  <si>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</si>
  <si>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</si>
  <si>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</si>
  <si>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</si>
  <si>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</si>
  <si>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</si>
  <si>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</si>
  <si>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</si>
  <si>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</si>
  <si>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</si>
  <si>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</si>
  <si>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</si>
  <si>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</si>
  <si>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</si>
  <si>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</si>
  <si>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</si>
  <si>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</si>
  <si>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</si>
  <si>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</si>
  <si>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</si>
  <si>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</si>
  <si>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</si>
  <si>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</si>
  <si>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</si>
  <si>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</si>
  <si>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</si>
  <si>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</si>
  <si>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</si>
  <si>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</si>
  <si>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</si>
  <si>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</si>
  <si>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</si>
  <si>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</si>
  <si>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</si>
  <si>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</si>
  <si>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</si>
  <si>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</si>
  <si>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</si>
  <si>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</si>
  <si>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</si>
  <si>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</si>
  <si>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</si>
  <si>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</si>
  <si>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</si>
  <si>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</si>
  <si>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</si>
  <si>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</si>
  <si>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</si>
  <si>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</si>
  <si>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</si>
  <si>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</si>
  <si>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</si>
  <si>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</si>
  <si>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</si>
  <si>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</si>
  <si>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</si>
  <si>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</si>
  <si>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設定頁面最下方「禮包兌換」</t>
    <phoneticPr fontId="2" type="noConversion"/>
  </si>
  <si>
    <t>vip666</t>
    <phoneticPr fontId="2" type="noConversion"/>
  </si>
  <si>
    <t>vip888</t>
    <phoneticPr fontId="2" type="noConversion"/>
  </si>
  <si>
    <t>SVIP666</t>
    <phoneticPr fontId="2" type="noConversion"/>
  </si>
  <si>
    <t>SVIP777</t>
    <phoneticPr fontId="2" type="noConversion"/>
  </si>
  <si>
    <t>SVIP888</t>
    <phoneticPr fontId="2" type="noConversion"/>
  </si>
  <si>
    <t>問劍666</t>
    <phoneticPr fontId="2" type="noConversion"/>
  </si>
  <si>
    <t>問劍888</t>
    <phoneticPr fontId="2" type="noConversion"/>
  </si>
  <si>
    <t>點選主畫面左上角</t>
    <phoneticPr fontId="2" type="noConversion"/>
  </si>
  <si>
    <t>點選個人資料頁面左下角的按鈕</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</si>
  <si>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</si>
  <si>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</si>
  <si>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</si>
  <si>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</si>
  <si>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</si>
  <si>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</si>
  <si>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</si>
  <si>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</si>
  <si>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</si>
  <si>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</si>
  <si>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</si>
  <si>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</si>
  <si>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</si>
  <si>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</si>
  <si>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</si>
  <si>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</si>
  <si>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</si>
  <si>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</si>
  <si>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</si>
  <si>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</si>
  <si>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</si>
  <si>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</si>
  <si>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</si>
  <si>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</si>
  <si>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</si>
  <si>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</si>
  <si>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</si>
  <si>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</si>
  <si>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</si>
  <si>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</si>
  <si>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</si>
  <si>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</si>
  <si>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</si>
  <si>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</si>
  <si>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遊戲強調團隊合作與個人策略的完美結合，每次開局都充滿變數，緊張感爆棚。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</si>
  <si>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突破次元壁！超幻想 MMOARPG 大作《星落》正式降臨！這款遊戲以精緻細膩的日系動漫風格，打造了一個宏大且充滿奇幻色彩的「星之彼端」世界。遊戲的核心特色在於其華麗暢快的即時戰鬥系統，結合獨特的連攜技能與豐富的養成線路，讓每一場戰鬥都充滿策略性與視覺衝擊力。不僅如此，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</si>
</sst>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tabSelected="1" zoomScaleNormal="100" workbookViewId="0">
      <pane xSplit="1" ySplit="1" topLeftCell="I301" activePane="bottomRight" state="frozen"/>
      <selection pane="topRight" activeCell="B1" sqref="B1"/>
      <selection pane="bottomLeft" activeCell="A2" sqref="A2"/>
      <selection pane="bottomRight" activeCell="I314" sqref="I314"/>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c r="L309" s="1" t="s">
        <v>4654</v>
      </c>
      <c r="M309" s="59">
        <v>2867</v>
      </c>
      <c r="N309" s="1" t="s">
        <v>4655</v>
      </c>
      <c r="O309" s="59">
        <v>1500</v>
      </c>
      <c r="P309" s="1" t="s">
        <v>4656</v>
      </c>
      <c r="Q309" s="59">
        <v>887</v>
      </c>
      <c r="R309" s="1" t="s">
        <v>5819</v>
      </c>
      <c r="S309" s="59">
        <v>439</v>
      </c>
      <c r="T309" s="1" t="s">
        <v>4657</v>
      </c>
      <c r="U309" s="59">
        <v>159</v>
      </c>
      <c r="V309" s="1" t="s">
        <v>4658</v>
      </c>
      <c r="W309" s="59">
        <v>32</v>
      </c>
      <c r="X309" s="1" t="s">
        <v>5820</v>
      </c>
      <c r="Y309" s="59">
        <v>159</v>
      </c>
      <c r="Z309" s="1" t="s">
        <v>5821</v>
      </c>
      <c r="AA309" s="59">
        <v>296</v>
      </c>
      <c r="AB309" s="1" t="s">
        <v>5822</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5" si="14">IF(A312="", "", "gift-codes.html?game=" &amp; A312)</f>
        <v>gift-codes.html?game=英雄來搞鬼</v>
      </c>
      <c r="G312" s="2" t="s">
        <v>5737</v>
      </c>
      <c r="H312" s="38" t="str">
        <f t="shared" ref="H312:H375"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thickBot="1">
      <c r="A313" s="59" t="s">
        <v>5802</v>
      </c>
      <c r="C313" s="37" t="s">
        <v>5770</v>
      </c>
      <c r="D313" s="38" t="s">
        <v>5776</v>
      </c>
      <c r="E313" s="38" t="s">
        <v>5777</v>
      </c>
      <c r="F313" s="37" t="str">
        <f t="shared" si="14"/>
        <v>gift-codes.html?game=RO新世代：攜手同行</v>
      </c>
      <c r="G313" s="2" t="s">
        <v>5806</v>
      </c>
      <c r="H313" s="38" t="str">
        <f t="shared" si="15"/>
        <v>https://www.ssbuy.tw/game-detail.html?game=RO新世代：攜手同行</v>
      </c>
      <c r="I313" s="39" t="s">
        <v>5823</v>
      </c>
      <c r="J313" s="2" t="s">
        <v>5424</v>
      </c>
      <c r="K313" s="88" t="s">
        <v>5454</v>
      </c>
    </row>
    <row r="314" spans="1:31" ht="22.5" customHeight="1" thickBot="1">
      <c r="A314" s="83" t="s">
        <v>5803</v>
      </c>
      <c r="C314" s="37" t="s">
        <v>5767</v>
      </c>
      <c r="D314" s="38" t="s">
        <v>5768</v>
      </c>
      <c r="E314" s="38" t="s">
        <v>5769</v>
      </c>
      <c r="F314" s="37" t="str">
        <f t="shared" si="14"/>
        <v>gift-codes.html?game=星落</v>
      </c>
      <c r="G314" s="2" t="s">
        <v>5807</v>
      </c>
      <c r="H314" s="38" t="str">
        <f t="shared" si="15"/>
        <v>https://www.ssbuy.tw/game-detail.html?game=星落</v>
      </c>
      <c r="I314" s="39" t="s">
        <v>5826</v>
      </c>
      <c r="J314" s="2" t="s">
        <v>5424</v>
      </c>
      <c r="K314" s="88" t="s">
        <v>5454</v>
      </c>
    </row>
    <row r="315" spans="1:31" ht="22.5" customHeight="1" thickBot="1">
      <c r="A315" s="83" t="s">
        <v>5804</v>
      </c>
      <c r="C315" s="37" t="s">
        <v>5771</v>
      </c>
      <c r="D315" s="38" t="s">
        <v>5772</v>
      </c>
      <c r="E315" s="38" t="s">
        <v>5778</v>
      </c>
      <c r="F315" s="37" t="str">
        <f t="shared" si="14"/>
        <v>gift-codes.html?game=超自然行動組</v>
      </c>
      <c r="G315" s="2" t="s">
        <v>5808</v>
      </c>
      <c r="H315" s="38" t="str">
        <f t="shared" si="15"/>
        <v>https://www.ssbuy.tw/game-detail.html?game=超自然行動組</v>
      </c>
      <c r="I315" s="39" t="s">
        <v>5825</v>
      </c>
      <c r="J315" s="2" t="s">
        <v>5424</v>
      </c>
      <c r="K315" s="88" t="s">
        <v>5454</v>
      </c>
      <c r="L315" s="1" t="s">
        <v>5810</v>
      </c>
      <c r="M315" s="59">
        <v>2605</v>
      </c>
      <c r="N315" s="1" t="s">
        <v>5811</v>
      </c>
      <c r="O315" s="59">
        <v>1323</v>
      </c>
      <c r="P315" s="1" t="s">
        <v>5812</v>
      </c>
      <c r="Q315" s="59">
        <v>797</v>
      </c>
      <c r="R315" s="1" t="s">
        <v>5813</v>
      </c>
      <c r="S315" s="59">
        <v>600</v>
      </c>
      <c r="T315" s="1" t="s">
        <v>5814</v>
      </c>
      <c r="U315" s="59">
        <v>281</v>
      </c>
      <c r="V315" s="1" t="s">
        <v>5815</v>
      </c>
      <c r="W315" s="59">
        <v>140</v>
      </c>
      <c r="X315" s="1" t="s">
        <v>5816</v>
      </c>
      <c r="Y315" s="59">
        <v>86</v>
      </c>
      <c r="Z315" s="1" t="s">
        <v>5817</v>
      </c>
      <c r="AA315" s="59">
        <v>591</v>
      </c>
      <c r="AB315" s="1" t="s">
        <v>5818</v>
      </c>
      <c r="AC315" s="59">
        <v>314</v>
      </c>
    </row>
    <row r="316" spans="1:31" ht="22.5" customHeight="1" thickBot="1">
      <c r="A316" s="83" t="s">
        <v>5805</v>
      </c>
      <c r="C316" s="37" t="s">
        <v>5773</v>
      </c>
      <c r="D316" s="38" t="s">
        <v>5774</v>
      </c>
      <c r="E316" s="38" t="s">
        <v>5775</v>
      </c>
      <c r="F316" s="37" t="str">
        <f t="shared" si="14"/>
        <v>gift-codes.html?game=問劍長生</v>
      </c>
      <c r="G316" s="2" t="s">
        <v>5809</v>
      </c>
      <c r="H316" s="38" t="str">
        <f t="shared" si="15"/>
        <v>https://www.ssbuy.tw/game-detail.html?game=問劍長生</v>
      </c>
      <c r="I316" s="39" t="s">
        <v>5824</v>
      </c>
      <c r="J316" s="2" t="s">
        <v>5424</v>
      </c>
      <c r="K316" s="88" t="s">
        <v>5454</v>
      </c>
    </row>
    <row r="317" spans="1:31" ht="22.5" customHeight="1">
      <c r="F317" s="37" t="str">
        <f t="shared" si="14"/>
        <v/>
      </c>
      <c r="H317" s="38" t="str">
        <f t="shared" si="15"/>
        <v/>
      </c>
    </row>
    <row r="318" spans="1:31" ht="22.5" customHeight="1">
      <c r="F318" s="37" t="str">
        <f t="shared" si="14"/>
        <v/>
      </c>
      <c r="H318" s="38" t="str">
        <f t="shared" si="15"/>
        <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s>
  <pageMargins left="0.7" right="0.7" top="0.75" bottom="0.75" header="0.3" footer="0.3"/>
  <pageSetup paperSize="9" orientation="portrait" r:id="rId29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workbookViewId="0">
      <pane xSplit="1" ySplit="1" topLeftCell="I300" activePane="bottomRight" state="frozen"/>
      <selection pane="topRight" activeCell="B1" sqref="B1"/>
      <selection pane="bottomLeft" activeCell="A2" sqref="A2"/>
      <selection pane="bottomRight" activeCell="AG313" sqref="AG313"/>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31">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1">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1">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1">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1">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5761</v>
      </c>
      <c r="G309" s="10" t="s">
        <v>5762</v>
      </c>
      <c r="H309" s="10" t="s">
        <v>2625</v>
      </c>
      <c r="K309" s="89" t="s">
        <v>5510</v>
      </c>
      <c r="L309" s="10" t="s">
        <v>5511</v>
      </c>
      <c r="M309" s="15" t="s">
        <v>5755</v>
      </c>
      <c r="N309" s="10" t="s">
        <v>5756</v>
      </c>
      <c r="O309" s="15" t="s">
        <v>5757</v>
      </c>
      <c r="P309" s="10" t="s">
        <v>5758</v>
      </c>
      <c r="Q309" s="15" t="s">
        <v>5759</v>
      </c>
      <c r="R309" s="10" t="s">
        <v>5760</v>
      </c>
      <c r="S309" s="15" t="s">
        <v>5763</v>
      </c>
      <c r="U309" s="15" t="s">
        <v>5765</v>
      </c>
      <c r="W309" s="15" t="s">
        <v>5764</v>
      </c>
      <c r="Y309" s="15" t="s">
        <v>5766</v>
      </c>
    </row>
    <row r="310" spans="1:31">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31">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1">
      <c r="A312" s="10" t="str">
        <f>IF(games!A312="", "", games!A312)</f>
        <v>英雄來搞鬼</v>
      </c>
      <c r="C312" s="10" t="str">
        <f t="shared" ref="C312:C375" si="14">IF(A312="","", "giftcodesbanner/" &amp; A312 &amp; "-禮包碼.jpg")</f>
        <v>giftcodesbanner/英雄來搞鬼-禮包碼.jpg</v>
      </c>
      <c r="D312" s="10" t="str">
        <f t="shared" ref="D312:D375"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row>
    <row r="313" spans="1:31">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5238</v>
      </c>
      <c r="K313" s="89" t="s">
        <v>5510</v>
      </c>
      <c r="L313" s="10" t="s">
        <v>5511</v>
      </c>
      <c r="M313" s="15" t="s">
        <v>5792</v>
      </c>
      <c r="O313" s="15" t="s">
        <v>5793</v>
      </c>
      <c r="Q313" s="15" t="s">
        <v>5794</v>
      </c>
      <c r="S313" s="15" t="s">
        <v>5795</v>
      </c>
      <c r="U313" s="15" t="s">
        <v>5796</v>
      </c>
      <c r="W313" s="15" t="s">
        <v>5797</v>
      </c>
      <c r="Y313" s="15" t="s">
        <v>5798</v>
      </c>
      <c r="AA313" s="15" t="s">
        <v>5799</v>
      </c>
      <c r="AC313" s="15" t="s">
        <v>5800</v>
      </c>
      <c r="AE313" s="15" t="s">
        <v>5801</v>
      </c>
    </row>
    <row r="314" spans="1:31">
      <c r="A314" s="10" t="str">
        <f>IF(games!A314="", "", games!A314)</f>
        <v>星落</v>
      </c>
      <c r="C314" s="10" t="str">
        <f t="shared" si="14"/>
        <v>giftcodesbanner/星落-禮包碼.jpg</v>
      </c>
      <c r="D314" s="10" t="str">
        <f t="shared" si="15"/>
        <v>https://www.ssbuy.tw/gift-codes.html?game=星落</v>
      </c>
      <c r="E314" s="11" t="str">
        <f>IF(games!I314&lt;&gt;"", games!I314, "")</f>
        <v>突破次元壁！超幻想 MMOARPG 大作《星落》正式降臨！這款遊戲以精緻細膩的日系動漫風格，打造了一個宏大且充滿奇幻色彩的「星之彼端」世界。遊戲的核心特色在於其華麗暢快的即時戰鬥系統，結合獨特的連攜技能與豐富的養成線路，讓每一場戰鬥都充滿策略性與視覺衝擊力。不僅如此，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5789</v>
      </c>
      <c r="G314" s="10" t="s">
        <v>5790</v>
      </c>
      <c r="H314" s="10" t="s">
        <v>2625</v>
      </c>
      <c r="K314" s="89" t="s">
        <v>5510</v>
      </c>
      <c r="L314" s="10" t="s">
        <v>5511</v>
      </c>
      <c r="M314" s="15" t="s">
        <v>5791</v>
      </c>
    </row>
    <row r="315" spans="1:31">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遊戲強調團隊合作與個人策略的完美結合，每次開局都充滿變數，緊張感爆棚。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1">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5779</v>
      </c>
      <c r="G316" s="10" t="s">
        <v>5780</v>
      </c>
      <c r="H316" s="10" t="s">
        <v>5781</v>
      </c>
      <c r="I316" s="10" t="s">
        <v>2625</v>
      </c>
      <c r="K316" s="89" t="s">
        <v>5510</v>
      </c>
      <c r="L316" s="10" t="s">
        <v>5511</v>
      </c>
      <c r="M316" s="15" t="s">
        <v>5782</v>
      </c>
      <c r="O316" s="15" t="s">
        <v>3331</v>
      </c>
      <c r="Q316" s="15" t="s">
        <v>5783</v>
      </c>
      <c r="S316" s="15" t="s">
        <v>5784</v>
      </c>
      <c r="U316" s="15" t="s">
        <v>5785</v>
      </c>
      <c r="W316" s="15" t="s">
        <v>5786</v>
      </c>
      <c r="Y316" s="15" t="s">
        <v>5787</v>
      </c>
      <c r="AA316" s="15" t="s">
        <v>5788</v>
      </c>
    </row>
    <row r="317" spans="1:31">
      <c r="A317" s="10" t="str">
        <f>IF(games!A317="", "", games!A317)</f>
        <v/>
      </c>
      <c r="C317" s="10" t="str">
        <f t="shared" si="14"/>
        <v/>
      </c>
      <c r="D317" s="10" t="str">
        <f t="shared" si="15"/>
        <v/>
      </c>
      <c r="E317" s="11" t="str">
        <f>IF(games!I317&lt;&gt;"", games!I317, "")</f>
        <v/>
      </c>
    </row>
    <row r="318" spans="1:31">
      <c r="A318" s="10" t="str">
        <f>IF(games!A318="", "", games!A318)</f>
        <v/>
      </c>
      <c r="C318" s="10" t="str">
        <f t="shared" si="14"/>
        <v/>
      </c>
      <c r="D318" s="10" t="str">
        <f t="shared" si="15"/>
        <v/>
      </c>
      <c r="E318" s="11" t="str">
        <f>IF(games!I318&lt;&gt;"", games!I318, "")</f>
        <v/>
      </c>
    </row>
    <row r="319" spans="1:31">
      <c r="A319" s="10" t="str">
        <f>IF(games!A319="", "", games!A319)</f>
        <v/>
      </c>
      <c r="C319" s="10" t="str">
        <f t="shared" si="14"/>
        <v/>
      </c>
      <c r="D319" s="10" t="str">
        <f t="shared" si="15"/>
        <v/>
      </c>
      <c r="E319" s="11" t="str">
        <f>IF(games!I319&lt;&gt;"", games!I319, "")</f>
        <v/>
      </c>
    </row>
    <row r="320" spans="1:31">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A368" s="10" t="str">
        <f>IF(games!A368="", "", games!A368)</f>
        <v/>
      </c>
      <c r="C368" s="10" t="str">
        <f t="shared" si="14"/>
        <v/>
      </c>
      <c r="D368" s="10" t="str">
        <f t="shared" si="15"/>
        <v/>
      </c>
      <c r="E368" s="11" t="str">
        <f>IF(games!I368&lt;&gt;"", games!I368, "")</f>
        <v/>
      </c>
    </row>
    <row r="369" spans="1:5">
      <c r="A369" s="10" t="str">
        <f>IF(games!A369="", "", games!A369)</f>
        <v/>
      </c>
      <c r="C369" s="10" t="str">
        <f t="shared" si="14"/>
        <v/>
      </c>
      <c r="D369" s="10" t="str">
        <f t="shared" si="15"/>
        <v/>
      </c>
      <c r="E369" s="11" t="str">
        <f>IF(games!I369&lt;&gt;"", games!I369, "")</f>
        <v/>
      </c>
    </row>
    <row r="370" spans="1:5">
      <c r="A370" s="10" t="str">
        <f>IF(games!A370="", "", games!A370)</f>
        <v/>
      </c>
      <c r="C370" s="10" t="str">
        <f t="shared" si="14"/>
        <v/>
      </c>
      <c r="D370" s="10" t="str">
        <f t="shared" si="15"/>
        <v/>
      </c>
      <c r="E370" s="11" t="str">
        <f>IF(games!I370&lt;&gt;"", games!I370, "")</f>
        <v/>
      </c>
    </row>
    <row r="371" spans="1:5">
      <c r="C371" s="10" t="str">
        <f t="shared" si="14"/>
        <v/>
      </c>
      <c r="D371" s="10" t="str">
        <f t="shared" si="15"/>
        <v/>
      </c>
      <c r="E371" s="11" t="str">
        <f>IF(games!I371&lt;&gt;"", games!I371, "")</f>
        <v/>
      </c>
    </row>
    <row r="372" spans="1:5">
      <c r="C372" s="10" t="str">
        <f t="shared" si="14"/>
        <v/>
      </c>
      <c r="D372" s="10" t="str">
        <f t="shared" si="15"/>
        <v/>
      </c>
      <c r="E372" s="11" t="str">
        <f>IF(games!I372&lt;&gt;"", games!I372, "")</f>
        <v/>
      </c>
    </row>
    <row r="373" spans="1:5">
      <c r="C373" s="10" t="str">
        <f t="shared" si="14"/>
        <v/>
      </c>
      <c r="D373" s="10" t="str">
        <f t="shared" si="15"/>
        <v/>
      </c>
      <c r="E373" s="11" t="str">
        <f>IF(games!I373&lt;&gt;"", games!I373, "")</f>
        <v/>
      </c>
    </row>
    <row r="374" spans="1:5">
      <c r="C374" s="10" t="str">
        <f t="shared" si="14"/>
        <v/>
      </c>
      <c r="D374" s="10" t="str">
        <f t="shared" si="15"/>
        <v/>
      </c>
      <c r="E374" s="11" t="str">
        <f>IF(games!I374&lt;&gt;"", games!I374, "")</f>
        <v/>
      </c>
    </row>
    <row r="375" spans="1:5">
      <c r="C375" s="10" t="str">
        <f t="shared" si="14"/>
        <v/>
      </c>
      <c r="D375" s="10" t="str">
        <f t="shared" si="15"/>
        <v/>
      </c>
      <c r="E375" s="11" t="str">
        <f>IF(games!I375&lt;&gt;"", games!I375, "")</f>
        <v/>
      </c>
    </row>
    <row r="376" spans="1:5">
      <c r="C376" s="10" t="str">
        <f t="shared" ref="C376:C434" si="16">IF(A376="","", "giftcodesbanner/" &amp; A376 &amp; "-禮包碼.jpg")</f>
        <v/>
      </c>
      <c r="D376" s="10" t="str">
        <f t="shared" ref="D376:D434" si="17">IF(A376="","", "https://www.ssbuy.tw/gift-codes.html?game="&amp;A376)</f>
        <v/>
      </c>
      <c r="E376" s="11" t="str">
        <f>IF(games!I376&lt;&gt;"", games!I376, "")</f>
        <v/>
      </c>
    </row>
    <row r="377" spans="1:5">
      <c r="C377" s="10" t="str">
        <f t="shared" si="16"/>
        <v/>
      </c>
      <c r="D377" s="10" t="str">
        <f t="shared" si="17"/>
        <v/>
      </c>
      <c r="E377" s="11" t="str">
        <f>IF(games!I377&lt;&gt;"", games!I377, "")</f>
        <v/>
      </c>
    </row>
    <row r="378" spans="1:5">
      <c r="C378" s="10" t="str">
        <f t="shared" si="16"/>
        <v/>
      </c>
      <c r="D378" s="10" t="str">
        <f t="shared" si="17"/>
        <v/>
      </c>
      <c r="E378" s="11" t="str">
        <f>IF(games!I378&lt;&gt;"", games!I378, "")</f>
        <v/>
      </c>
    </row>
    <row r="379" spans="1:5">
      <c r="C379" s="10" t="str">
        <f t="shared" si="16"/>
        <v/>
      </c>
      <c r="D379" s="10" t="str">
        <f t="shared" si="17"/>
        <v/>
      </c>
      <c r="E379" s="11" t="str">
        <f>IF(games!I379&lt;&gt;"", games!I379, "")</f>
        <v/>
      </c>
    </row>
    <row r="380" spans="1:5">
      <c r="C380" s="10" t="str">
        <f t="shared" si="16"/>
        <v/>
      </c>
      <c r="D380" s="10" t="str">
        <f t="shared" si="17"/>
        <v/>
      </c>
      <c r="E380" s="11" t="str">
        <f>IF(games!I380&lt;&gt;"", games!I380, "")</f>
        <v/>
      </c>
    </row>
    <row r="381" spans="1:5">
      <c r="C381" s="10" t="str">
        <f t="shared" si="16"/>
        <v/>
      </c>
      <c r="D381" s="10" t="str">
        <f t="shared" si="17"/>
        <v/>
      </c>
      <c r="E381" s="11" t="str">
        <f>IF(games!I381&lt;&gt;"", games!I381, "")</f>
        <v/>
      </c>
    </row>
    <row r="382" spans="1:5">
      <c r="C382" s="10" t="str">
        <f t="shared" si="16"/>
        <v/>
      </c>
      <c r="D382" s="10" t="str">
        <f t="shared" si="17"/>
        <v/>
      </c>
      <c r="E382" s="11" t="str">
        <f>IF(games!I382&lt;&gt;"", games!I382, "")</f>
        <v/>
      </c>
    </row>
    <row r="383" spans="1:5">
      <c r="C383" s="10" t="str">
        <f t="shared" si="16"/>
        <v/>
      </c>
      <c r="D383" s="10" t="str">
        <f t="shared" si="17"/>
        <v/>
      </c>
      <c r="E383" s="11" t="str">
        <f>IF(games!I383&lt;&gt;"", games!I383, "")</f>
        <v/>
      </c>
    </row>
    <row r="384" spans="1: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s>
  <pageMargins left="0.7" right="0.7" top="0.75" bottom="0.75" header="0.3" footer="0.3"/>
  <pageSetup paperSize="9" orientation="portrait" r:id="rId5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2025-11-22T13:19:19Z</dcterms:modified>
</cp:coreProperties>
</file>