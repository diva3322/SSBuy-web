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<sst xmlns="http://schemas.openxmlformats.org/spreadsheetml/2006/main" count="8758" uniqueCount="5970">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</sst>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printerSettings" Target="../printerSettings/printerSettings1.bin"/><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tabSelected="1" zoomScaleNormal="100" workbookViewId="0">
      <pane xSplit="1" ySplit="1" topLeftCell="J313" activePane="bottomRight" state="frozen"/>
      <selection pane="topRight" activeCell="B1" sqref="B1"/>
      <selection pane="bottomLeft" activeCell="A2" sqref="A2"/>
      <selection pane="bottomRight" activeCell="X325" sqref="X325"/>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2" si="14">IF(A312="", "", "gift-codes.html?game=" &amp; A312)</f>
        <v>gift-codes.html?game=英雄來搞鬼</v>
      </c>
      <c r="G312" s="2" t="s">
        <v>5734</v>
      </c>
      <c r="H312" s="38" t="str">
        <f t="shared" ref="H312:H372"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29"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29"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5961</v>
      </c>
      <c r="M322" s="59">
        <v>2899</v>
      </c>
      <c r="N322" s="1" t="s">
        <v>5962</v>
      </c>
      <c r="O322" s="59">
        <v>1517</v>
      </c>
      <c r="P322" s="1" t="s">
        <v>5963</v>
      </c>
      <c r="Q322" s="59">
        <v>897</v>
      </c>
      <c r="R322" s="1" t="s">
        <v>5964</v>
      </c>
      <c r="S322" s="59">
        <v>761</v>
      </c>
      <c r="T322" s="1" t="s">
        <v>5965</v>
      </c>
      <c r="U322" s="59">
        <v>607</v>
      </c>
      <c r="V322" s="1" t="s">
        <v>5966</v>
      </c>
      <c r="W322" s="59">
        <v>444</v>
      </c>
      <c r="X322" s="1" t="s">
        <v>5967</v>
      </c>
      <c r="Y322" s="59">
        <v>299</v>
      </c>
      <c r="Z322" s="1" t="s">
        <v>5968</v>
      </c>
      <c r="AA322" s="59">
        <v>161</v>
      </c>
      <c r="AB322" s="1" t="s">
        <v>5969</v>
      </c>
      <c r="AC322" s="59">
        <v>32</v>
      </c>
    </row>
    <row r="323" spans="1:29"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5961</v>
      </c>
      <c r="M323" s="59">
        <v>2899</v>
      </c>
      <c r="N323" s="1" t="s">
        <v>5962</v>
      </c>
      <c r="O323" s="59">
        <v>1517</v>
      </c>
      <c r="P323" s="1" t="s">
        <v>5963</v>
      </c>
      <c r="Q323" s="59">
        <v>897</v>
      </c>
      <c r="R323" s="1" t="s">
        <v>5964</v>
      </c>
      <c r="S323" s="59">
        <v>761</v>
      </c>
      <c r="T323" s="1" t="s">
        <v>5965</v>
      </c>
      <c r="U323" s="59">
        <v>607</v>
      </c>
      <c r="V323" s="1" t="s">
        <v>5966</v>
      </c>
      <c r="W323" s="59">
        <v>444</v>
      </c>
      <c r="X323" s="1" t="s">
        <v>5967</v>
      </c>
      <c r="Y323" s="59">
        <v>299</v>
      </c>
      <c r="Z323" s="1" t="s">
        <v>5968</v>
      </c>
      <c r="AA323" s="59">
        <v>161</v>
      </c>
      <c r="AB323" s="1" t="s">
        <v>5969</v>
      </c>
      <c r="AC323" s="59">
        <v>32</v>
      </c>
    </row>
    <row r="324" spans="1:29"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5961</v>
      </c>
      <c r="M324" s="59">
        <v>2899</v>
      </c>
      <c r="N324" s="1" t="s">
        <v>5962</v>
      </c>
      <c r="O324" s="59">
        <v>1517</v>
      </c>
      <c r="P324" s="1" t="s">
        <v>5963</v>
      </c>
      <c r="Q324" s="59">
        <v>897</v>
      </c>
      <c r="R324" s="1" t="s">
        <v>5964</v>
      </c>
      <c r="S324" s="59">
        <v>761</v>
      </c>
      <c r="T324" s="1" t="s">
        <v>5965</v>
      </c>
      <c r="U324" s="59">
        <v>607</v>
      </c>
      <c r="V324" s="1" t="s">
        <v>5966</v>
      </c>
      <c r="W324" s="59">
        <v>444</v>
      </c>
      <c r="X324" s="1" t="s">
        <v>5967</v>
      </c>
      <c r="Y324" s="59">
        <v>299</v>
      </c>
      <c r="Z324" s="1" t="s">
        <v>5968</v>
      </c>
      <c r="AA324" s="59">
        <v>161</v>
      </c>
      <c r="AB324" s="1" t="s">
        <v>5969</v>
      </c>
      <c r="AC324" s="59">
        <v>32</v>
      </c>
    </row>
    <row r="325" spans="1:29" ht="22.5" customHeight="1">
      <c r="F325" s="37" t="str">
        <f t="shared" si="14"/>
        <v/>
      </c>
      <c r="H325" s="38" t="str">
        <f t="shared" si="15"/>
        <v/>
      </c>
    </row>
    <row r="326" spans="1:29" ht="22.5" customHeight="1">
      <c r="F326" s="37" t="str">
        <f t="shared" si="14"/>
        <v/>
      </c>
      <c r="H326" s="38" t="str">
        <f t="shared" si="15"/>
        <v/>
      </c>
    </row>
    <row r="327" spans="1:29" ht="22.5" customHeight="1">
      <c r="F327" s="37" t="str">
        <f t="shared" si="14"/>
        <v/>
      </c>
      <c r="H327" s="38" t="str">
        <f t="shared" si="15"/>
        <v/>
      </c>
    </row>
    <row r="328" spans="1:29" ht="22.5" customHeight="1">
      <c r="F328" s="37" t="str">
        <f t="shared" si="14"/>
        <v/>
      </c>
      <c r="H328" s="38" t="str">
        <f t="shared" si="15"/>
        <v/>
      </c>
    </row>
    <row r="329" spans="1:29" ht="22.5" customHeight="1">
      <c r="F329" s="37" t="str">
        <f t="shared" si="14"/>
        <v/>
      </c>
      <c r="H329" s="38" t="str">
        <f t="shared" si="15"/>
        <v/>
      </c>
    </row>
    <row r="330" spans="1:29" ht="22.5" customHeight="1">
      <c r="F330" s="37" t="str">
        <f t="shared" si="14"/>
        <v/>
      </c>
      <c r="H330" s="38" t="str">
        <f t="shared" si="15"/>
        <v/>
      </c>
    </row>
    <row r="331" spans="1:29" ht="22.5" customHeight="1">
      <c r="F331" s="37" t="str">
        <f t="shared" si="14"/>
        <v/>
      </c>
      <c r="H331" s="38" t="str">
        <f t="shared" si="15"/>
        <v/>
      </c>
    </row>
    <row r="332" spans="1:29" ht="22.5" customHeight="1">
      <c r="F332" s="37" t="str">
        <f t="shared" si="14"/>
        <v/>
      </c>
      <c r="H332" s="38" t="str">
        <f t="shared" si="15"/>
        <v/>
      </c>
    </row>
    <row r="333" spans="1:29" ht="22.5" customHeight="1">
      <c r="F333" s="37" t="str">
        <f t="shared" si="14"/>
        <v/>
      </c>
      <c r="H333" s="38" t="str">
        <f t="shared" si="15"/>
        <v/>
      </c>
    </row>
    <row r="334" spans="1:29" ht="22.5" customHeight="1">
      <c r="F334" s="37" t="str">
        <f t="shared" si="14"/>
        <v/>
      </c>
      <c r="H334" s="38" t="str">
        <f t="shared" si="15"/>
        <v/>
      </c>
    </row>
    <row r="335" spans="1:29" ht="22.5" customHeight="1">
      <c r="F335" s="37" t="str">
        <f t="shared" si="14"/>
        <v/>
      </c>
      <c r="H335" s="38" t="str">
        <f t="shared" si="15"/>
        <v/>
      </c>
    </row>
    <row r="336" spans="1:29"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hyperlink ref="G316" r:id="rId292"/>
    <hyperlink ref="G318" r:id="rId293"/>
    <hyperlink ref="G319" r:id="rId294"/>
    <hyperlink ref="G320" r:id="rId295"/>
    <hyperlink ref="G321"/>
    <hyperlink ref="G322" r:id="rId296"/>
    <hyperlink ref="E323" r:id="rId297"/>
  </hyperlinks>
  <pageMargins left="0.7" right="0.7" top="0.75" bottom="0.75" header="0.3" footer="0.3"/>
  <pageSetup paperSize="9" orientation="portrait" r:id="rId29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workbookViewId="0">
      <pane xSplit="1" ySplit="1" topLeftCell="F306" activePane="bottomRight" state="frozen"/>
      <selection pane="topRight" activeCell="B1" sqref="B1"/>
      <selection pane="bottomLeft" activeCell="A2" sqref="A2"/>
      <selection pane="bottomRight" activeCell="I322" sqref="I322"/>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16">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5238</v>
      </c>
      <c r="K321" s="89" t="s">
        <v>5510</v>
      </c>
      <c r="L321" s="10" t="s">
        <v>5511</v>
      </c>
    </row>
    <row r="322" spans="1:16">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16">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5238</v>
      </c>
      <c r="K323" s="89" t="s">
        <v>5510</v>
      </c>
      <c r="L323" s="10" t="s">
        <v>5511</v>
      </c>
    </row>
    <row r="324" spans="1:16">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5238</v>
      </c>
      <c r="K324" s="89" t="s">
        <v>5510</v>
      </c>
      <c r="L324" s="10" t="s">
        <v>5511</v>
      </c>
      <c r="M324" s="15" t="s">
        <v>5955</v>
      </c>
      <c r="O324" s="15" t="s">
        <v>5956</v>
      </c>
      <c r="P324" s="10" t="s">
        <v>5957</v>
      </c>
    </row>
    <row r="325" spans="1:16">
      <c r="A325" s="10" t="str">
        <f>IF(games!A325="", "", games!A325)</f>
        <v/>
      </c>
      <c r="C325" s="10" t="str">
        <f t="shared" si="14"/>
        <v/>
      </c>
      <c r="D325" s="10" t="str">
        <f t="shared" si="15"/>
        <v/>
      </c>
      <c r="E325" s="11" t="str">
        <f>IF(games!I325&lt;&gt;"", games!I325, "")</f>
        <v/>
      </c>
    </row>
    <row r="326" spans="1:16">
      <c r="A326" s="10" t="str">
        <f>IF(games!A326="", "", games!A326)</f>
        <v/>
      </c>
      <c r="C326" s="10" t="str">
        <f t="shared" si="14"/>
        <v/>
      </c>
      <c r="D326" s="10" t="str">
        <f t="shared" si="15"/>
        <v/>
      </c>
      <c r="E326" s="11" t="str">
        <f>IF(games!I326&lt;&gt;"", games!I326, "")</f>
        <v/>
      </c>
    </row>
    <row r="327" spans="1:16">
      <c r="A327" s="10" t="str">
        <f>IF(games!A327="", "", games!A327)</f>
        <v/>
      </c>
      <c r="C327" s="10" t="str">
        <f t="shared" si="14"/>
        <v/>
      </c>
      <c r="D327" s="10" t="str">
        <f t="shared" si="15"/>
        <v/>
      </c>
      <c r="E327" s="11" t="str">
        <f>IF(games!I327&lt;&gt;"", games!I327, "")</f>
        <v/>
      </c>
    </row>
    <row r="328" spans="1:16">
      <c r="A328" s="10" t="str">
        <f>IF(games!A328="", "", games!A328)</f>
        <v/>
      </c>
      <c r="C328" s="10" t="str">
        <f t="shared" si="14"/>
        <v/>
      </c>
      <c r="D328" s="10" t="str">
        <f t="shared" si="15"/>
        <v/>
      </c>
      <c r="E328" s="11" t="str">
        <f>IF(games!I328&lt;&gt;"", games!I328, "")</f>
        <v/>
      </c>
    </row>
    <row r="329" spans="1:16">
      <c r="A329" s="10" t="str">
        <f>IF(games!A329="", "", games!A329)</f>
        <v/>
      </c>
      <c r="C329" s="10" t="str">
        <f t="shared" si="14"/>
        <v/>
      </c>
      <c r="D329" s="10" t="str">
        <f t="shared" si="15"/>
        <v/>
      </c>
      <c r="E329" s="11" t="str">
        <f>IF(games!I329&lt;&gt;"", games!I329, "")</f>
        <v/>
      </c>
    </row>
    <row r="330" spans="1:16">
      <c r="A330" s="10" t="str">
        <f>IF(games!A330="", "", games!A330)</f>
        <v/>
      </c>
      <c r="C330" s="10" t="str">
        <f t="shared" si="14"/>
        <v/>
      </c>
      <c r="D330" s="10" t="str">
        <f t="shared" si="15"/>
        <v/>
      </c>
      <c r="E330" s="11" t="str">
        <f>IF(games!I330&lt;&gt;"", games!I330, "")</f>
        <v/>
      </c>
    </row>
    <row r="331" spans="1:16">
      <c r="A331" s="10" t="str">
        <f>IF(games!A331="", "", games!A331)</f>
        <v/>
      </c>
      <c r="C331" s="10" t="str">
        <f t="shared" si="14"/>
        <v/>
      </c>
      <c r="D331" s="10" t="str">
        <f t="shared" si="15"/>
        <v/>
      </c>
      <c r="E331" s="11" t="str">
        <f>IF(games!I331&lt;&gt;"", games!I331, "")</f>
        <v/>
      </c>
    </row>
    <row r="332" spans="1:16">
      <c r="A332" s="10" t="str">
        <f>IF(games!A332="", "", games!A332)</f>
        <v/>
      </c>
      <c r="C332" s="10" t="str">
        <f t="shared" si="14"/>
        <v/>
      </c>
      <c r="D332" s="10" t="str">
        <f t="shared" si="15"/>
        <v/>
      </c>
      <c r="E332" s="11" t="str">
        <f>IF(games!I332&lt;&gt;"", games!I332, "")</f>
        <v/>
      </c>
    </row>
    <row r="333" spans="1:16">
      <c r="A333" s="10" t="str">
        <f>IF(games!A333="", "", games!A333)</f>
        <v/>
      </c>
      <c r="C333" s="10" t="str">
        <f t="shared" si="14"/>
        <v/>
      </c>
      <c r="D333" s="10" t="str">
        <f t="shared" si="15"/>
        <v/>
      </c>
      <c r="E333" s="11" t="str">
        <f>IF(games!I333&lt;&gt;"", games!I333, "")</f>
        <v/>
      </c>
    </row>
    <row r="334" spans="1:16">
      <c r="A334" s="10" t="str">
        <f>IF(games!A334="", "", games!A334)</f>
        <v/>
      </c>
      <c r="C334" s="10" t="str">
        <f t="shared" si="14"/>
        <v/>
      </c>
      <c r="D334" s="10" t="str">
        <f t="shared" si="15"/>
        <v/>
      </c>
      <c r="E334" s="11" t="str">
        <f>IF(games!I334&lt;&gt;"", games!I334, "")</f>
        <v/>
      </c>
    </row>
    <row r="335" spans="1:16">
      <c r="A335" s="10" t="str">
        <f>IF(games!A335="", "", games!A335)</f>
        <v/>
      </c>
      <c r="C335" s="10" t="str">
        <f t="shared" si="14"/>
        <v/>
      </c>
      <c r="D335" s="10" t="str">
        <f t="shared" si="15"/>
        <v/>
      </c>
      <c r="E335" s="11" t="str">
        <f>IF(games!I335&lt;&gt;"", games!I335, "")</f>
        <v/>
      </c>
    </row>
    <row r="336" spans="1:16">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s>
  <pageMargins left="0.7" right="0.7" top="0.75" bottom="0.75" header="0.3" footer="0.3"/>
  <pageSetup paperSize="9" orientation="portrait" r:id="rId5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2025-12-01T11:22:32Z</dcterms:modified>
</cp:coreProperties>
</file>