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<sst xmlns="http://schemas.openxmlformats.org/spreadsheetml/2006/main" count="8888" uniqueCount="6066">
  <si>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</si>
  <si>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</si>
  <si>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</si>
  <si>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</si>
  <si>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</si>
  <si>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</si>
  <si>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</si>
  <si>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</si>
  <si>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</si>
  <si>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</si>
  <si>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</si>
  <si>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</si>
  <si>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</si>
  <si>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</si>
  <si>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</si>
  <si>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</si>
  <si>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</si>
  <si>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</si>
  <si>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</si>
  <si>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</si>
  <si>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</si>
  <si>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</si>
  <si>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</si>
  <si>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</si>
  <si>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</si>
  <si>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</si>
  <si>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</si>
  <si>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</si>
  <si>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</si>
  <si>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</si>
  <si>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</si>
  <si>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</si>
  <si>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</si>
  <si>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</si>
  <si>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</si>
  <si>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</si>
  <si>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</si>
  <si>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</si>
  <si>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</si>
  <si>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</si>
  <si>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</si>
  <si>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</si>
  <si>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</si>
  <si>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</si>
  <si>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</si>
  <si>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</si>
  <si>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</si>
  <si>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</si>
  <si>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</si>
  <si>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</si>
  <si>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</si>
  <si>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</si>
  <si>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</si>
  <si>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</si>
  <si>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</si>
  <si>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</si>
  <si>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</si>
  <si>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</si>
  <si>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</si>
  <si>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</si>
  <si>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</si>
  <si>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</si>
  <si>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</si>
  <si>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</si>
  <si>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</si>
  <si>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</si>
  <si>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</si>
  <si>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</si>
  <si>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</si>
  <si>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</si>
  <si>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</si>
  <si>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</si>
  <si>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</si>
  <si>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</si>
  <si>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</si>
  <si>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</si>
  <si>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</si>
  <si>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</si>
  <si>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</si>
  <si>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</si>
  <si>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</si>
  <si>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</si>
  <si>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</si>
  <si>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</si>
  <si>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</si>
  <si>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</si>
  <si>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</si>
  <si>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</si>
  <si>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</si>
  <si>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</si>
  <si>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</si>
  <si>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</si>
  <si>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</si>
  <si>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</si>
  <si>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</si>
  <si>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</si>
  <si>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</si>
  <si>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</si>
  <si>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</si>
  <si>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</si>
  <si>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</si>
  <si>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</si>
  <si>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</si>
  <si>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</si>
  <si>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</si>
  <si>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</si>
  <si>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</si>
  <si>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</si>
  <si>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</si>
  <si>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</si>
  <si>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</si>
  <si>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</si>
  <si>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</si>
  <si>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</si>
  <si>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</si>
  <si>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</si>
  <si>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</si>
  <si>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</si>
  <si>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</si>
  <si>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</si>
  <si>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</si>
  <si>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</si>
  <si>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</si>
  <si>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</si>
  <si>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</si>
  <si>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</si>
  <si>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</si>
  <si>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</si>
  <si>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</si>
  <si>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</si>
  <si>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</si>
  <si>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</si>
  <si>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</si>
  <si>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</si>
  <si>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</si>
  <si>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</si>
  <si>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</si>
  <si>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</si>
  <si>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</si>
  <si>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</si>
  <si>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</si>
  <si>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</si>
  <si>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</si>
  <si>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</si>
  <si>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</si>
  <si>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</si>
  <si>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</si>
  <si>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</si>
  <si>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</si>
  <si>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</si>
  <si>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</si>
  <si>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</si>
  <si>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</si>
  <si>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</si>
  <si>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</si>
  <si>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</si>
  <si>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</si>
  <si>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</si>
  <si>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</si>
  <si>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</si>
  <si>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</si>
  <si>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</si>
  <si>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</si>
  <si>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</si>
  <si>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</si>
  <si>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</si>
  <si>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</si>
  <si>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</si>
  <si>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</si>
  <si>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</si>
  <si>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</si>
  <si>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</si>
  <si>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</si>
  <si>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</si>
  <si>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</si>
  <si>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</si>
  <si>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</si>
  <si>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</si>
  <si>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</si>
  <si>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</si>
  <si>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</si>
  <si>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</si>
  <si>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</si>
  <si>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</si>
  <si>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</si>
  <si>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</si>
  <si>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</si>
  <si>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</si>
  <si>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</si>
  <si>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</si>
  <si>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</si>
  <si>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</si>
  <si>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</si>
  <si>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</si>
  <si>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</si>
  <si>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</si>
  <si>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</si>
  <si>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</si>
  <si>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</si>
  <si>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</si>
  <si>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</si>
  <si>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</si>
  <si>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</si>
  <si>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</si>
  <si>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</si>
  <si>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</si>
  <si>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</si>
  <si>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</si>
  <si>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</si>
  <si>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</si>
  <si>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</si>
  <si>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</si>
  <si>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</si>
  <si>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</si>
  <si>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</si>
  <si>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</si>
  <si>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</si>
  <si>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</si>
  <si>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</si>
  <si>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</si>
  <si>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</si>
  <si>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</si>
  <si>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</si>
  <si>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</si>
  <si>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</si>
  <si>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</si>
  <si>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</si>
  <si>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</si>
  <si>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</si>
  <si>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</si>
  <si>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</si>
  <si>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</si>
  <si>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</si>
  <si>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</si>
  <si>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</si>
  <si>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</si>
  <si>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</si>
  <si>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</si>
  <si>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</si>
  <si>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</si>
  <si>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</si>
  <si>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</si>
  <si>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</si>
  <si>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</si>
  <si>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</si>
  <si>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</si>
  <si>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</si>
  <si>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</si>
  <si>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</si>
  <si>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</si>
  <si>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</si>
  <si>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</si>
  <si>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</si>
  <si>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</si>
  <si>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</si>
  <si>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</si>
  <si>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</si>
  <si>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</si>
  <si>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</si>
  <si>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</si>
  <si>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</si>
  <si>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</si>
  <si>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</si>
  <si>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</si>
  <si>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</si>
  <si>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</si>
  <si>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</si>
  <si>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</si>
  <si>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</si>
  <si>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</si>
  <si>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</si>
  <si>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</si>
  <si>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</si>
  <si>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</si>
  <si>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</si>
  <si>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</si>
  <si>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</si>
  <si>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</si>
  <si>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</si>
  <si>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</si>
  <si>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</si>
  <si>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</si>
  <si>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</si>
  <si>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</si>
  <si>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</si>
  <si>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</si>
  <si>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</si>
  <si>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</si>
  <si>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</si>
  <si>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</si>
  <si>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</si>
  <si>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</si>
  <si>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</si>
  <si>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</si>
  <si>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</si>
  <si>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</si>
  <si>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</si>
  <si>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</si>
  <si>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</si>
  <si>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</si>
  <si>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</si>
  <si>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</si>
  <si>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</si>
  <si>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</si>
  <si>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</si>
  <si>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</si>
  <si>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</si>
  <si>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</si>
  <si>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</si>
  <si>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</si>
  <si>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</si>
  <si>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</si>
  <si>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</si>
  <si>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</si>
  <si>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</si>
  <si>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</si>
  <si>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</si>
  <si>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</si>
  <si>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</si>
  <si>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</si>
  <si>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</si>
  <si>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</si>
  <si>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</si>
  <si>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</si>
  <si>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</si>
  <si>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</si>
  <si>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</si>
  <si>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</si>
  <si>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</si>
  <si>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</si>
  <si>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</si>
  <si>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</si>
  <si>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</si>
  <si>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</si>
  <si>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</si>
  <si>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</si>
  <si>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</si>
  <si>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</si>
  <si>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</si>
  <si>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</si>
  <si>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</si>
  <si>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</si>
  <si>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</si>
  <si>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</si>
  <si>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</si>
  <si>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</si>
  <si>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</si>
  <si>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</si>
  <si>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</si>
  <si>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</si>
  <si>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</si>
  <si>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</si>
  <si>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</si>
  <si>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</si>
  <si>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</si>
  <si>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</si>
  <si>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</si>
  <si>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</si>
  <si>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</si>
  <si>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</si>
  <si>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</si>
  <si>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</si>
  <si>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</si>
  <si>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</si>
  <si>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</si>
  <si>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</si>
  <si>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</si>
  <si>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</si>
  <si>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</si>
  <si>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</si>
  <si>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</si>
  <si>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</si>
  <si>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</si>
  <si>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</si>
  <si>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</si>
  <si>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</si>
  <si>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</si>
  <si>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</si>
  <si>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</si>
  <si>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</si>
  <si>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</si>
  <si>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</si>
  <si>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</si>
  <si>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</si>
  <si>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</si>
  <si>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</si>
  <si>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</si>
  <si>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</si>
  <si>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</si>
  <si>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</si>
  <si>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</si>
  <si>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</si>
  <si>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</si>
  <si>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</si>
  <si>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</si>
  <si>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</si>
  <si>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</si>
  <si>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</si>
  <si>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</si>
  <si>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</si>
  <si>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</si>
  <si>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</si>
  <si>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</si>
  <si>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</si>
  <si>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</si>
  <si>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</si>
  <si>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</si>
  <si>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</si>
  <si>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</si>
  <si>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</si>
  <si>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</si>
  <si>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</si>
  <si>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</si>
  <si>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</si>
  <si>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</si>
  <si>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</si>
  <si>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</si>
  <si>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</si>
  <si>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</si>
  <si>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</si>
  <si>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</si>
  <si>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</si>
  <si>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</si>
  <si>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</si>
  <si>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</si>
  <si>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</si>
  <si>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</si>
  <si>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</si>
  <si>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</si>
  <si>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</si>
  <si>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</si>
  <si>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</si>
  <si>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</si>
  <si>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</si>
  <si>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</si>
  <si>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</si>
  <si>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</si>
  <si>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</si>
  <si>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</si>
  <si>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</si>
  <si>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</si>
  <si>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</si>
  <si>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</si>
  <si>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</si>
  <si>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</si>
  <si>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</si>
  <si>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</si>
  <si>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</si>
  <si>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</si>
  <si>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</si>
  <si>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</si>
  <si>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</si>
  <si>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</si>
  <si>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</si>
  <si>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</si>
  <si>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</si>
  <si>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</si>
  <si>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</si>
  <si>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</si>
  <si>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</si>
  <si>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</si>
  <si>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</si>
  <si>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</si>
  <si>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</si>
  <si>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</si>
  <si>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</si>
  <si>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</si>
  <si>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</si>
  <si>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</si>
  <si>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</si>
  <si>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</si>
  <si>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</si>
  <si>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</si>
  <si>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</si>
  <si>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</si>
  <si>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</si>
  <si>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</si>
  <si>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</si>
  <si>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</si>
  <si>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</si>
  <si>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</si>
  <si>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</si>
  <si>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</si>
  <si>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</si>
  <si>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</si>
  <si>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</si>
  <si>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</si>
  <si>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</si>
  <si>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</si>
  <si>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</si>
  <si>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</si>
  <si>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</si>
  <si>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</si>
  <si>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</si>
  <si>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</si>
  <si>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</si>
  <si>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</si>
  <si>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</si>
  <si>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</si>
  <si>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</si>
  <si>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</si>
  <si>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</si>
  <si>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</si>
  <si>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</si>
  <si>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</si>
  <si>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</si>
  <si>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</si>
  <si>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</si>
  <si>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</si>
  <si>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</si>
  <si>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</si>
  <si>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</si>
  <si>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</si>
  <si>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</si>
  <si>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</si>
  <si>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</si>
  <si>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</si>
  <si>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</si>
  <si>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</si>
  <si>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</si>
  <si>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</si>
  <si>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</si>
  <si>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</si>
  <si>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</si>
  <si>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</si>
  <si>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</si>
  <si>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</si>
  <si>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</si>
  <si>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</si>
  <si>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</si>
  <si>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</si>
  <si>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</si>
  <si>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</si>
  <si>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</si>
  <si>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</si>
  <si>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</si>
  <si>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</si>
  <si>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</si>
  <si>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</si>
  <si>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</si>
  <si>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</si>
  <si>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</si>
  <si>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</si>
  <si>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</si>
  <si>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</si>
  <si>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</si>
  <si>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</si>
  <si>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</si>
  <si>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</si>
  <si>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</si>
  <si>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</si>
  <si>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</si>
  <si>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</si>
  <si>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</si>
  <si>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</si>
  <si>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</si>
  <si>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</si>
  <si>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</si>
  <si>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</si>
  <si>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</si>
  <si>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</si>
  <si>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</si>
  <si>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</si>
  <si>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</si>
  <si>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</si>
  <si>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</si>
  <si>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</si>
  <si>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</si>
  <si>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</si>
  <si>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</si>
  <si>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</si>
  <si>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</si>
  <si>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</si>
  <si>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</si>
  <si>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</si>
  <si>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</si>
  <si>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</si>
  <si>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</si>
  <si>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</si>
  <si>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</si>
  <si>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</si>
  <si>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</si>
  <si>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</si>
  <si>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</si>
  <si>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</si>
  <si>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</si>
  <si>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</si>
  <si>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</si>
  <si>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</si>
  <si>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</si>
  <si>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</si>
  <si>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</si>
  <si>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</si>
  <si>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</si>
  <si>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</si>
  <si>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</si>
  <si>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</si>
  <si>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</si>
  <si>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</si>
  <si>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</si>
  <si>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</si>
  <si>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</si>
  <si>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</si>
  <si>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</si>
  <si>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</si>
  <si>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</si>
  <si>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</si>
  <si>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</si>
  <si>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</si>
  <si>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</si>
  <si>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</si>
  <si>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</si>
  <si>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</si>
  <si>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</si>
  <si>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</si>
  <si>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</si>
  <si>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</si>
  <si>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</si>
  <si>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</si>
  <si>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</si>
  <si>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</si>
  <si>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</si>
  <si>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</si>
  <si>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</si>
  <si>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</si>
  <si>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</si>
  <si>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</si>
  <si>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</si>
  <si>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</si>
  <si>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</si>
  <si>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</si>
  <si>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</si>
  <si>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</si>
  <si>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</si>
  <si>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</si>
  <si>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</si>
  <si>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</si>
  <si>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</si>
  <si>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</si>
  <si>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</si>
  <si>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</si>
  <si>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</si>
  <si>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</si>
  <si>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</si>
  <si>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</si>
  <si>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</si>
  <si>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</si>
  <si>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</si>
  <si>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</si>
  <si>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</si>
  <si>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</si>
  <si>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</si>
  <si>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</si>
  <si>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</si>
  <si>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</si>
  <si>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</si>
  <si>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</si>
  <si>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</si>
  <si>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</si>
  <si>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</si>
  <si>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</si>
  <si>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</si>
  <si>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</si>
  <si>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</si>
  <si>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</si>
  <si>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</si>
  <si>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</si>
  <si>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</si>
  <si>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</si>
  <si>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</si>
  <si>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</si>
  <si>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</si>
  <si>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</si>
  <si>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</si>
  <si>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</si>
  <si>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</si>
  <si>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</si>
  <si>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</si>
  <si>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</si>
  <si>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</si>
  <si>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</si>
  <si>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</si>
  <si>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</si>
  <si>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</si>
  <si>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</si>
  <si>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</si>
  <si>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</si>
  <si>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</si>
  <si>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</si>
  <si>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</si>
  <si>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</si>
  <si>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</si>
  <si>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</si>
  <si>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</si>
  <si>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</si>
  <si>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</si>
  <si>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</si>
  <si>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</si>
  <si>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</si>
  <si>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</si>
  <si>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</si>
  <si>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</si>
  <si>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</si>
  <si>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</si>
  <si>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</si>
  <si>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</si>
  <si>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</si>
  <si>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</si>
  <si>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</si>
  <si>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</si>
  <si>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</si>
  <si>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</si>
  <si>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</si>
  <si>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</si>
  <si>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</si>
  <si>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</si>
  <si>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</si>
  <si>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</si>
  <si>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</si>
  <si>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</si>
  <si>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</si>
  <si>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</si>
  <si>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</si>
  <si>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</si>
  <si>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</si>
  <si>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</si>
  <si>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</si>
  <si>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</si>
  <si>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</si>
  <si>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</si>
  <si>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</si>
  <si>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</si>
  <si>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</si>
  <si>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</si>
  <si>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</si>
  <si>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</si>
  <si>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</si>
  <si>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</si>
  <si>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</si>
  <si>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</si>
  <si>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</si>
  <si>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</si>
  <si>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</si>
  <si>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</si>
  <si>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</si>
  <si>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</si>
  <si>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</si>
  <si>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</si>
  <si>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</si>
  <si>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</si>
  <si>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</si>
  <si>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</si>
  <si>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</si>
  <si>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</si>
  <si>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</si>
  <si>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</si>
  <si>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</si>
  <si>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</si>
  <si>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</si>
  <si>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</si>
  <si>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</si>
  <si>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</si>
  <si>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</si>
  <si>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</si>
  <si>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</si>
  <si>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</si>
  <si>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</si>
  <si>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</si>
  <si>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</si>
  <si>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</si>
  <si>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</si>
  <si>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</si>
  <si>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</si>
  <si>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</si>
  <si>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</si>
  <si>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</si>
  <si>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</si>
  <si>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</si>
  <si>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</si>
  <si>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</si>
  <si>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</si>
  <si>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</si>
  <si>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</si>
  <si>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</si>
  <si>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</si>
  <si>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</si>
  <si>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</si>
  <si>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</si>
  <si>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</si>
  <si>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</si>
  <si>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</si>
  <si>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</si>
  <si>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</si>
  <si>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</si>
  <si>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</si>
  <si>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</si>
  <si>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</si>
  <si>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</si>
  <si>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</si>
  <si>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</si>
  <si>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</si>
  <si>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</si>
  <si>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</si>
  <si>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</si>
  <si>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</si>
  <si>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</si>
  <si>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</si>
  <si>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</si>
  <si>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</si>
  <si>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</si>
  <si>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</si>
  <si>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</si>
  <si>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</si>
  <si>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</si>
  <si>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</si>
  <si>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</si>
  <si>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</si>
  <si>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</si>
  <si>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</si>
  <si>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</si>
  <si>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</si>
  <si>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</si>
  <si>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</si>
  <si>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</si>
  <si>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</si>
  <si>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</si>
  <si>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</si>
  <si>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</si>
  <si>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</si>
  <si>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</si>
  <si>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</si>
  <si>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</si>
  <si>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</si>
  <si>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</si>
  <si>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</si>
  <si>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</si>
  <si>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</si>
  <si>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</si>
  <si>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</si>
  <si>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</si>
  <si>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</si>
  <si>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</si>
  <si>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</si>
  <si>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</si>
  <si>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</si>
  <si>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</si>
  <si>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</si>
  <si>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</si>
  <si>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</si>
  <si>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</si>
  <si>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</si>
  <si>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</si>
  <si>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</si>
  <si>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</si>
  <si>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</si>
  <si>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</si>
  <si>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</si>
  <si>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</si>
  <si>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</si>
  <si>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</si>
  <si>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</si>
  <si>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</si>
  <si>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</si>
  <si>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</si>
  <si>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</si>
  <si>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</si>
  <si>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</si>
  <si>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</si>
  <si>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</si>
  <si>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</si>
  <si>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</si>
  <si>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</si>
  <si>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</si>
  <si>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</si>
  <si>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</si>
  <si>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</si>
  <si>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</si>
  <si>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</si>
  <si>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</si>
  <si>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</si>
  <si>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</si>
  <si>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</si>
  <si>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</si>
  <si>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</si>
  <si>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</si>
  <si>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</si>
  <si>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</si>
  <si>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</si>
  <si>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</si>
  <si>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</si>
  <si>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</si>
  <si>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</si>
  <si>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</si>
  <si>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</si>
  <si>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</si>
  <si>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</si>
  <si>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</si>
  <si>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</si>
  <si>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</si>
  <si>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</si>
  <si>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</si>
  <si>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</si>
  <si>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</si>
  <si>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</si>
  <si>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</si>
  <si>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</si>
  <si>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</si>
  <si>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</si>
  <si>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</si>
  <si>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</si>
  <si>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</si>
  <si>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</si>
  <si>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</si>
  <si>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</si>
  <si>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</si>
  <si>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</si>
  <si>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</si>
  <si>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</si>
  <si>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</si>
  <si>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</si>
  <si>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</si>
  <si>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</si>
  <si>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</si>
  <si>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</si>
  <si>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</si>
  <si>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</si>
  <si>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</si>
  <si>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</si>
  <si>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</si>
  <si>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</si>
  <si>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</si>
  <si>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</si>
  <si>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</si>
  <si>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</si>
  <si>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</si>
  <si>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</si>
  <si>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</si>
  <si>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</si>
  <si>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</si>
  <si>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</si>
  <si>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</si>
  <si>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</si>
  <si>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</si>
  <si>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</si>
  <si>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</si>
  <si>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</si>
  <si>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</si>
  <si>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</si>
  <si>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</si>
  <si>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</si>
  <si>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</si>
  <si>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</si>
  <si>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</si>
  <si>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</si>
  <si>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</si>
  <si>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</si>
  <si>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</si>
  <si>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</si>
  <si>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</si>
  <si>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</si>
  <si>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</si>
  <si>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</si>
  <si>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</si>
  <si>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</si>
  <si>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</si>
  <si>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</si>
  <si>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</si>
  <si>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</si>
  <si>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</si>
  <si>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</si>
  <si>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</si>
  <si>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</si>
  <si>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</si>
  <si>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</si>
  <si>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</si>
  <si>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</si>
  <si>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</si>
  <si>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</si>
  <si>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</si>
  <si>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</si>
  <si>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</si>
  <si>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</si>
  <si>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</si>
  <si>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</si>
  <si>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</si>
  <si>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</si>
  <si>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</si>
  <si>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</si>
  <si>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</si>
  <si>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</si>
  <si>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</si>
  <si>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</si>
  <si>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</si>
  <si>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</si>
  <si>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</si>
  <si>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</si>
  <si>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</si>
  <si>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</si>
  <si>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</si>
  <si>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</si>
  <si>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</si>
  <si>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</si>
  <si>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</si>
  <si>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</si>
  <si>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</si>
  <si>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</si>
  <si>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</si>
  <si>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</si>
  <si>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</si>
  <si>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</si>
  <si>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</si>
  <si>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</si>
  <si>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</si>
  <si>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</si>
  <si>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</si>
  <si>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</si>
  <si>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</si>
  <si>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</si>
  <si>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</si>
  <si>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</si>
  <si>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</si>
  <si>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</si>
  <si>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</si>
  <si>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</si>
  <si>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</si>
  <si>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</si>
  <si>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</si>
  <si>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</si>
  <si>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</si>
  <si>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</si>
  <si>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</si>
  <si>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</si>
  <si>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</si>
  <si>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</si>
  <si>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</si>
  <si>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</si>
  <si>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</si>
  <si>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</si>
  <si>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</si>
  <si>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</si>
  <si>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</si>
  <si>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</si>
  <si>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</si>
  <si>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</si>
  <si>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</si>
  <si>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</si>
  <si>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</si>
  <si>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</si>
  <si>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</si>
  <si>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</si>
  <si>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</si>
  <si>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</si>
  <si>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</si>
  <si>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</si>
  <si>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</si>
  <si>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</si>
  <si>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</si>
  <si>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</si>
  <si>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</si>
  <si>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</si>
  <si>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</si>
  <si>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</si>
  <si>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</si>
  <si>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</si>
  <si>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</si>
  <si>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</si>
  <si>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</si>
  <si>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</si>
  <si>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</si>
  <si>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</si>
  <si>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</si>
  <si>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</si>
  <si>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</si>
  <si>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</si>
  <si>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</si>
  <si>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</si>
  <si>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</si>
  <si>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</si>
  <si>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</si>
  <si>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</si>
  <si>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</si>
  <si>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</si>
  <si>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</si>
  <si>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</si>
  <si>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</si>
  <si>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</si>
  <si>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</si>
  <si>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</si>
  <si>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</si>
  <si>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</si>
  <si>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</si>
  <si>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</si>
  <si>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</si>
  <si>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</si>
  <si>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</si>
  <si>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</si>
  <si>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</si>
  <si>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</si>
  <si>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</si>
  <si>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</si>
  <si>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</si>
  <si>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</si>
  <si>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</si>
  <si>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</si>
  <si>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</si>
  <si>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</si>
  <si>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</si>
  <si>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</si>
  <si>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</si>
  <si>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</si>
  <si>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</si>
  <si>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</si>
  <si>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</si>
  <si>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</si>
  <si>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</si>
  <si>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</si>
  <si>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</si>
  <si>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</si>
  <si>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</si>
  <si>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</si>
  <si>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</si>
  <si>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</si>
  <si>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</si>
  <si>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</si>
  <si>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</si>
  <si>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</si>
  <si>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</si>
  <si>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</si>
  <si>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</si>
  <si>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</si>
  <si>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</si>
  <si>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</si>
  <si>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</si>
  <si>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</si>
  <si>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</si>
  <si>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</si>
  <si>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</si>
  <si>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</si>
  <si>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</si>
  <si>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</si>
  <si>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</si>
  <si>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</si>
  <si>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</si>
  <si>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</si>
  <si>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</si>
  <si>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</si>
  <si>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</si>
  <si>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</si>
  <si>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</si>
  <si>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</si>
  <si>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</si>
  <si>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</si>
  <si>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</si>
  <si>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</si>
  <si>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</si>
  <si>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</si>
  <si>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</si>
  <si>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</si>
  <si>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</si>
  <si>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</si>
  <si>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</si>
  <si>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</si>
  <si>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</si>
  <si>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</si>
  <si>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</si>
  <si>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</si>
  <si>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</si>
  <si>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</si>
  <si>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</si>
  <si>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</si>
  <si>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</si>
  <si>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</si>
  <si>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</si>
  <si>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</si>
  <si>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</si>
  <si>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</si>
  <si>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</si>
  <si>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</si>
  <si>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</si>
  <si>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</si>
  <si>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</si>
  <si>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</si>
  <si>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</si>
  <si>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</si>
  <si>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</si>
  <si>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</si>
  <si>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</si>
  <si>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</si>
  <si>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</si>
  <si>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</si>
  <si>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</si>
  <si>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</si>
  <si>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</si>
  <si>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</si>
  <si>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</si>
  <si>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</si>
  <si>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</si>
  <si>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</si>
  <si>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</si>
  <si>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</si>
  <si>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</si>
  <si>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</si>
  <si>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</si>
  <si>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</si>
  <si>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</si>
  <si>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</si>
  <si>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</si>
  <si>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</si>
  <si>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</si>
  <si>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</si>
  <si>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</si>
  <si>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</si>
  <si>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</si>
  <si>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</si>
  <si>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</si>
  <si>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</si>
  <si>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</si>
  <si>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</si>
  <si>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</si>
  <si>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</si>
  <si>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</si>
  <si>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</si>
  <si>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</si>
  <si>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</si>
  <si>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</si>
  <si>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</si>
  <si>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</si>
  <si>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</si>
  <si>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</si>
  <si>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</si>
  <si>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</si>
  <si>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</si>
  <si>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</si>
  <si>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</si>
  <si>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</si>
  <si>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</si>
  <si>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</si>
  <si>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</si>
  <si>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</si>
  <si>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</si>
  <si>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</si>
  <si>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</si>
  <si>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</si>
  <si>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</si>
  <si>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</si>
  <si>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</si>
  <si>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</si>
  <si>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</si>
  <si>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</si>
  <si>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</si>
  <si>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</si>
  <si>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</si>
  <si>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</si>
  <si>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</si>
  <si>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</si>
  <si>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</si>
  <si>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</si>
  <si>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</si>
  <si>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</si>
  <si>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</si>
  <si>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</si>
  <si>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</si>
  <si>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</si>
  <si>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</si>
  <si>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</si>
  <si>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</si>
  <si>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</si>
  <si>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</si>
  <si>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</si>
  <si>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</si>
  <si>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</si>
  <si>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</si>
  <si>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</si>
  <si>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</si>
  <si>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</si>
  <si>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</si>
  <si>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</si>
  <si>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</si>
  <si>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</si>
  <si>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</si>
  <si>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</si>
  <si>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</si>
  <si>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</si>
  <si>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</si>
  <si>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</si>
  <si>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</si>
  <si>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</si>
  <si>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</si>
  <si>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</si>
  <si>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</si>
  <si>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</si>
  <si>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</si>
  <si>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</si>
  <si>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</si>
  <si>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</si>
  <si>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</si>
  <si>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</si>
  <si>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</si>
  <si>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</si>
  <si>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</si>
  <si>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</si>
  <si>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</si>
  <si>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</si>
  <si>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</si>
  <si>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</si>
  <si>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</si>
  <si>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</si>
  <si>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</si>
  <si>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</si>
  <si>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</si>
  <si>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</si>
  <si>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</si>
  <si>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</si>
  <si>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</si>
  <si>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</si>
  <si>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</si>
  <si>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</si>
  <si>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</si>
  <si>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</si>
  <si>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</si>
  <si>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</si>
  <si>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</si>
  <si>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</si>
  <si>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</si>
  <si>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</si>
  <si>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</si>
  <si>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</si>
  <si>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</si>
  <si>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</si>
  <si>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</si>
  <si>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</si>
  <si>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</si>
  <si>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</si>
  <si>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</si>
  <si>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</si>
  <si>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</si>
  <si>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</si>
  <si>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</si>
  <si>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</si>
  <si>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</si>
  <si>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</si>
  <si>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</si>
  <si>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</si>
  <si>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</si>
  <si>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</si>
  <si>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</si>
  <si>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</si>
  <si>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</si>
  <si>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</si>
  <si>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</si>
  <si>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</si>
  <si>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</si>
  <si>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</si>
  <si>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</si>
  <si>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</si>
  <si>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</si>
  <si>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</si>
  <si>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</si>
  <si>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</si>
  <si>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</si>
  <si>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</si>
  <si>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</si>
  <si>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</si>
  <si>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</si>
  <si>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</si>
  <si>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</si>
  <si>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</si>
  <si>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</si>
  <si>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</si>
  <si>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</si>
  <si>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</si>
  <si>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</si>
  <si>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</si>
  <si>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</si>
  <si>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</si>
  <si>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</si>
  <si>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</si>
  <si>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</si>
  <si>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</si>
  <si>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</si>
  <si>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</si>
  <si>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</si>
  <si>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</si>
  <si>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</si>
  <si>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</si>
  <si>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</si>
  <si>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</si>
  <si>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</si>
  <si>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</si>
  <si>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</si>
  <si>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</si>
  <si>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</si>
  <si>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</si>
  <si>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</si>
  <si>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</si>
  <si>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</si>
  <si>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</si>
  <si>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</si>
  <si>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</si>
  <si>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</si>
  <si>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</si>
  <si>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</si>
  <si>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</si>
  <si>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</si>
  <si>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</si>
  <si>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</si>
  <si>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</si>
  <si>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</si>
  <si>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</si>
  <si>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</si>
  <si>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</si>
  <si>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</si>
  <si>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</si>
  <si>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</si>
  <si>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</si>
  <si>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</si>
  <si>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</si>
  <si>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</si>
  <si>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</si>
  <si>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</si>
  <si>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</si>
  <si>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</si>
  <si>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</si>
  <si>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</si>
  <si>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</si>
  <si>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</si>
  <si>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</si>
  <si>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</si>
  <si>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</si>
  <si>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</si>
  <si>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</si>
  <si>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</si>
  <si>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</si>
  <si>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</si>
  <si>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</si>
  <si>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</si>
  <si>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</si>
  <si>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</si>
  <si>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</si>
  <si>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</si>
  <si>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</si>
  <si>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</si>
  <si>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</si>
  <si>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</si>
  <si>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</si>
  <si>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</si>
  <si>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</si>
  <si>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</si>
  <si>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</si>
  <si>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</si>
  <si>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</si>
  <si>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</si>
  <si>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</si>
  <si>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</si>
  <si>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</si>
  <si>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</si>
  <si>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</si>
  <si>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</si>
  <si>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</si>
  <si>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</si>
  <si>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</si>
  <si>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</si>
  <si>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</si>
  <si>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</si>
  <si>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</si>
  <si>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</si>
  <si>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</si>
  <si>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</si>
  <si>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</si>
  <si>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</si>
  <si>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</si>
  <si>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</si>
  <si>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</si>
  <si>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</si>
  <si>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</si>
  <si>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</si>
  <si>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</si>
  <si>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</si>
  <si>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</si>
  <si>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</si>
  <si>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</si>
  <si>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</si>
  <si>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</si>
  <si>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</si>
  <si>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</si>
  <si>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</si>
  <si>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</si>
  <si>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</si>
  <si>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</si>
  <si>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</si>
  <si>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</si>
  <si>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</si>
  <si>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</si>
  <si>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</si>
  <si>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</si>
  <si>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</si>
  <si>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</si>
  <si>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</si>
  <si>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</si>
  <si>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</si>
  <si>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</si>
  <si>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</si>
  <si>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</si>
  <si>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</si>
  <si>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</si>
  <si>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</si>
  <si>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</si>
  <si>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</si>
  <si>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</si>
  <si>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</si>
  <si>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</si>
  <si>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</si>
  <si>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</si>
  <si>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</si>
  <si>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</si>
  <si>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</si>
  <si>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</si>
  <si>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</si>
  <si>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</si>
  <si>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</si>
  <si>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</si>
  <si>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</si>
  <si>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</si>
  <si>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</si>
  <si>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</si>
  <si>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</si>
  <si>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</si>
  <si>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</si>
  <si>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</si>
  <si>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</si>
  <si>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</si>
  <si>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</si>
  <si>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</si>
  <si>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</si>
  <si>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</si>
  <si>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</si>
  <si>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</si>
  <si>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</si>
  <si>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</si>
  <si>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</si>
  <si>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</si>
  <si>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</si>
  <si>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</si>
  <si>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</si>
  <si>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</si>
  <si>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</si>
  <si>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</si>
  <si>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</si>
  <si>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</si>
  <si>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</si>
  <si>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</si>
  <si>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</si>
  <si>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</si>
  <si>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</si>
  <si>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</si>
  <si>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</si>
  <si>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</si>
  <si>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</si>
  <si>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</si>
  <si>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</si>
  <si>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</si>
  <si>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</si>
  <si>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</si>
  <si>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</si>
  <si>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</si>
  <si>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</si>
  <si>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</si>
  <si>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</si>
  <si>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</si>
  <si>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</si>
  <si>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</si>
  <si>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</si>
  <si>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</si>
  <si>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</si>
  <si>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</si>
  <si>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</si>
  <si>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</si>
  <si>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</si>
  <si>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</si>
  <si>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</si>
  <si>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</si>
  <si>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</si>
  <si>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</si>
  <si>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</si>
  <si>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</si>
  <si>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</si>
  <si>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</si>
  <si>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</si>
  <si>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</si>
  <si>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</si>
  <si>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</si>
  <si>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</si>
  <si>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</si>
  <si>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</si>
  <si>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</si>
  <si>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</si>
  <si>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</si>
  <si>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</si>
  <si>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</si>
  <si>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</si>
  <si>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</si>
  <si>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</si>
  <si>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</si>
  <si>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</si>
  <si>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</si>
  <si>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</si>
  <si>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</si>
  <si>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</si>
  <si>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</si>
  <si>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</si>
  <si>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</si>
  <si>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</si>
  <si>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</si>
  <si>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</si>
  <si>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</si>
  <si>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</si>
  <si>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</si>
  <si>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</si>
  <si>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</si>
  <si>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</si>
  <si>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</si>
  <si>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</si>
  <si>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</si>
  <si>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</si>
  <si>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</si>
  <si>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</si>
  <si>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</si>
  <si>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</si>
  <si>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</si>
  <si>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</si>
  <si>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</si>
  <si>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</si>
  <si>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</si>
  <si>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</si>
  <si>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</si>
  <si>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</si>
  <si>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</si>
  <si>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</si>
  <si>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</si>
  <si>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</si>
  <si>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</si>
  <si>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</si>
  <si>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</si>
  <si>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</si>
  <si>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</si>
  <si>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</si>
  <si>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</si>
  <si>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</si>
  <si>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</si>
  <si>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</si>
  <si>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</si>
  <si>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</si>
  <si>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</si>
  <si>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</si>
  <si>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</si>
  <si>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</si>
  <si>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</si>
  <si>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</si>
  <si>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</si>
  <si>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</si>
  <si>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</si>
  <si>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</si>
  <si>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</si>
  <si>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</si>
  <si>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</si>
  <si>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</si>
  <si>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</si>
  <si>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</si>
  <si>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</si>
  <si>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</si>
  <si>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</si>
  <si>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</si>
  <si>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</si>
  <si>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</si>
  <si>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</si>
  <si>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</si>
  <si>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</si>
  <si>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</si>
  <si>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</si>
  <si>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</si>
  <si>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</si>
  <si>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</si>
  <si>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</si>
  <si>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</si>
  <si>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</si>
  <si>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</si>
  <si>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</si>
  <si>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</si>
  <si>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</si>
  <si>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</si>
  <si>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</si>
  <si>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</si>
  <si>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</si>
  <si>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</si>
  <si>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</si>
  <si>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</si>
  <si>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</si>
  <si>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</si>
  <si>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</si>
  <si>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</si>
  <si>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</si>
  <si>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</si>
  <si>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</si>
  <si>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</si>
  <si>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</si>
  <si>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</si>
  <si>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</si>
  <si>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</si>
  <si>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</si>
  <si>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</si>
  <si>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</si>
  <si>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</si>
  <si>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</si>
  <si>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</si>
  <si>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</si>
  <si>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</si>
  <si>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</si>
  <si>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</si>
  <si>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</si>
  <si>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</si>
  <si>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</si>
  <si>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</si>
  <si>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</si>
  <si>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</si>
  <si>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</si>
  <si>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</si>
  <si>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</si>
  <si>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</si>
  <si>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</si>
  <si>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</si>
  <si>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</si>
  <si>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</si>
  <si>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</si>
  <si>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</si>
  <si>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</si>
  <si>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</si>
  <si>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</si>
  <si>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</si>
  <si>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</si>
  <si>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</si>
  <si>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</si>
  <si>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</si>
  <si>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</si>
  <si>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</si>
  <si>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</si>
  <si>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</si>
  <si>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</si>
  <si>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</si>
  <si>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</si>
  <si>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</si>
  <si>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</si>
  <si>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</si>
  <si>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</si>
  <si>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</si>
  <si>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</si>
  <si>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</si>
  <si>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</si>
  <si>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</si>
  <si>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</si>
  <si>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</si>
  <si>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</si>
  <si>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</si>
  <si>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</si>
  <si>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</si>
  <si>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</si>
  <si>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</si>
  <si>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</si>
  <si>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</si>
  <si>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</si>
  <si>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</si>
  <si>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</si>
  <si>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</si>
  <si>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</si>
  <si>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</si>
  <si>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</si>
  <si>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</si>
  <si>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</si>
  <si>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</si>
  <si>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</si>
  <si>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</si>
  <si>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</si>
  <si>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</si>
  <si>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</si>
  <si>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</si>
  <si>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</si>
  <si>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</si>
  <si>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</si>
  <si>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</si>
  <si>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</si>
  <si>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</si>
  <si>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</si>
  <si>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</si>
  <si>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</si>
  <si>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</si>
  <si>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</si>
  <si>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</si>
  <si>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</si>
  <si>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</si>
  <si>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</si>
  <si>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</si>
  <si>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</si>
  <si>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</si>
  <si>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</si>
  <si>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</si>
  <si>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</si>
  <si>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</si>
  <si>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</si>
  <si>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</si>
  <si>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</si>
  <si>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</si>
  <si>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</si>
  <si>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</si>
  <si>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</si>
  <si>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</si>
  <si>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</si>
  <si>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</si>
  <si>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</si>
  <si>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</si>
  <si>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</si>
  <si>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</si>
  <si>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</si>
  <si>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</si>
  <si>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</si>
  <si>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</si>
  <si>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</si>
  <si>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</si>
  <si>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</si>
  <si>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</si>
  <si>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</si>
  <si>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</si>
  <si>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</si>
  <si>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</si>
  <si>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</si>
  <si>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</si>
  <si>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</si>
  <si>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</si>
  <si>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</si>
  <si>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</si>
  <si>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</si>
  <si>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</si>
  <si>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</si>
  <si>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</si>
  <si>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</si>
  <si>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</si>
  <si>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</si>
  <si>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</si>
  <si>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</si>
  <si>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</si>
  <si>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</si>
  <si>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</si>
  <si>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</si>
  <si>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</si>
  <si>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</si>
  <si>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</si>
  <si>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</si>
  <si>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</si>
  <si>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</si>
  <si>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</si>
  <si>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</si>
  <si>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</si>
  <si>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</si>
  <si>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</si>
  <si>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</si>
  <si>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</si>
  <si>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</si>
  <si>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</si>
  <si>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</si>
  <si>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</si>
  <si>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</si>
  <si>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</si>
  <si>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</si>
  <si>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</si>
  <si>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</si>
  <si>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</si>
  <si>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</si>
  <si>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</si>
  <si>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</si>
  <si>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</si>
  <si>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</si>
  <si>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</si>
  <si>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</si>
  <si>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</si>
  <si>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</si>
  <si>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</si>
  <si>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</si>
  <si>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</si>
  <si>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</si>
  <si>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</si>
  <si>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</si>
  <si>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</si>
  <si>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</si>
  <si>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</si>
  <si>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</si>
  <si>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</si>
  <si>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</si>
  <si>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</si>
  <si>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</si>
  <si>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</si>
  <si>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</si>
  <si>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</si>
  <si>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</si>
  <si>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</si>
  <si>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</si>
  <si>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</si>
  <si>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</si>
  <si>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</si>
  <si>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</si>
  <si>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</si>
  <si>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</si>
  <si>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</si>
  <si>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</si>
  <si>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</si>
  <si>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</si>
  <si>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</si>
  <si>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</si>
  <si>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</si>
  <si>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</si>
  <si>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</si>
  <si>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</si>
  <si>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</si>
  <si>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</si>
  <si>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</si>
  <si>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</si>
  <si>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</si>
  <si>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</si>
  <si>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</si>
  <si>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</si>
  <si>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</si>
  <si>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</si>
  <si>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</si>
  <si>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</si>
  <si>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</si>
  <si>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</si>
  <si>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</si>
  <si>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</si>
  <si>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</si>
  <si>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</si>
  <si>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</si>
  <si>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</si>
  <si>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</si>
  <si>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</si>
  <si>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</si>
  <si>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</si>
  <si>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</si>
  <si>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</si>
  <si>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</si>
  <si>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</si>
  <si>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</si>
  <si>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</si>
  <si>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</si>
  <si>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</si>
  <si>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</si>
  <si>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</si>
  <si>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</si>
  <si>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</si>
  <si>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</si>
  <si>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</si>
  <si>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</si>
  <si>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</si>
  <si>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</si>
  <si>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</si>
  <si>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</si>
  <si>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</si>
  <si>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</si>
  <si>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</si>
  <si>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</si>
  <si>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</si>
  <si>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</si>
  <si>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</si>
  <si>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</si>
  <si>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</si>
  <si>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</si>
  <si>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</si>
  <si>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</si>
  <si>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</si>
  <si>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</si>
  <si>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</si>
  <si>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</si>
  <si>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</si>
  <si>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</si>
  <si>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</si>
  <si>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</si>
  <si>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</si>
  <si>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</si>
  <si>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</si>
  <si>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</si>
  <si>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</si>
  <si>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</si>
  <si>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</si>
  <si>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</si>
  <si>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</si>
  <si>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</si>
  <si>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</si>
  <si>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</si>
  <si>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</si>
  <si>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</si>
  <si>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</si>
  <si>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</si>
  <si>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</si>
  <si>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</si>
  <si>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</si>
  <si>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</si>
  <si>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</si>
  <si>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</si>
  <si>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</si>
  <si>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</si>
  <si>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</si>
  <si>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</si>
  <si>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</si>
  <si>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</si>
  <si>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</si>
  <si>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</si>
  <si>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</si>
  <si>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</si>
  <si>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</si>
  <si>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</si>
  <si>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</si>
  <si>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</si>
  <si>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</si>
  <si>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</si>
  <si>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</si>
  <si>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</si>
  <si>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</si>
  <si>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</si>
  <si>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</si>
  <si>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</si>
  <si>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</si>
  <si>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</si>
  <si>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</si>
  <si>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</si>
  <si>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</si>
  <si>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</si>
  <si>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</si>
  <si>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</si>
  <si>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</si>
  <si>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</si>
  <si>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</si>
  <si>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</si>
  <si>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</si>
  <si>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</si>
  <si>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</si>
  <si>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</si>
  <si>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</si>
  <si>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</si>
  <si>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</si>
  <si>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</si>
  <si>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</si>
  <si>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</si>
  <si>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</si>
  <si>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</si>
  <si>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</si>
  <si>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</si>
  <si>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</si>
  <si>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</si>
  <si>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</si>
  <si>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</si>
  <si>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</si>
  <si>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</si>
  <si>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</si>
  <si>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</si>
  <si>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</si>
  <si>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</si>
  <si>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</si>
  <si>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</si>
  <si>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</si>
  <si>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</si>
  <si>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</si>
  <si>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</si>
  <si>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</si>
  <si>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</si>
  <si>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</si>
  <si>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</si>
  <si>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</si>
  <si>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</si>
  <si>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</si>
  <si>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</si>
  <si>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</si>
  <si>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</si>
  <si>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</si>
  <si>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</si>
  <si>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</si>
  <si>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</si>
  <si>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</si>
  <si>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</si>
  <si>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</si>
  <si>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</si>
  <si>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</si>
  <si>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</si>
  <si>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</si>
  <si>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</si>
  <si>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</si>
  <si>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</si>
  <si>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</si>
  <si>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</si>
  <si>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</si>
  <si>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</si>
  <si>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</si>
  <si>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</si>
  <si>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</si>
  <si>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</si>
  <si>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</si>
  <si>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</si>
  <si>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</si>
  <si>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</si>
  <si>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</si>
  <si>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</si>
  <si>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</si>
  <si>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</si>
  <si>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</si>
  <si>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</si>
  <si>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</si>
  <si>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</si>
  <si>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</si>
  <si>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</si>
  <si>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</si>
  <si>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</si>
  <si>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</si>
  <si>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</si>
  <si>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</si>
  <si>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</si>
  <si>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</si>
  <si>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</si>
  <si>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</si>
  <si>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</si>
  <si>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</si>
  <si>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</si>
  <si>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</si>
  <si>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</si>
  <si>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</si>
  <si>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</si>
  <si>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</si>
  <si>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</si>
  <si>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</si>
  <si>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</si>
  <si>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</si>
  <si>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</si>
  <si>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</si>
  <si>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</si>
  <si>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</si>
  <si>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</si>
  <si>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</si>
  <si>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</si>
  <si>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</si>
  <si>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</si>
  <si>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</si>
  <si>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</si>
  <si>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</si>
  <si>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</si>
  <si>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</si>
  <si>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</si>
  <si>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</si>
  <si>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</si>
  <si>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</si>
  <si>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</si>
  <si>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</si>
  <si>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</si>
  <si>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</si>
  <si>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</si>
  <si>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</si>
  <si>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</si>
  <si>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</si>
  <si>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</si>
  <si>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</si>
  <si>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</si>
  <si>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</si>
  <si>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</si>
  <si>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</si>
  <si>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</si>
  <si>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</si>
  <si>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</si>
  <si>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</si>
  <si>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</si>
  <si>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</si>
  <si>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</si>
  <si>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</si>
  <si>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</si>
  <si>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</si>
  <si>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</si>
  <si>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</si>
  <si>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</si>
  <si>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</si>
  <si>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</si>
  <si>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</si>
  <si>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</si>
  <si>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</si>
  <si>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</si>
  <si>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</si>
  <si>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</si>
  <si>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</si>
  <si>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</si>
  <si>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</si>
  <si>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</si>
  <si>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</si>
  <si>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</si>
  <si>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</si>
  <si>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</si>
  <si>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</si>
  <si>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</si>
  <si>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</si>
  <si>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</si>
  <si>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</si>
  <si>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</si>
  <si>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</si>
  <si>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</si>
  <si>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</si>
  <si>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</si>
  <si>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</si>
  <si>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</si>
  <si>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</si>
  <si>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</si>
  <si>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</si>
  <si>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</si>
  <si>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</si>
  <si>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</si>
  <si>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</si>
  <si>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</si>
  <si>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</si>
  <si>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</si>
  <si>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</si>
  <si>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</si>
  <si>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</si>
  <si>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</si>
  <si>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</si>
  <si>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</si>
  <si>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</si>
  <si>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</si>
  <si>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</si>
  <si>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</si>
  <si>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</si>
  <si>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</si>
  <si>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</si>
  <si>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</si>
  <si>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</si>
  <si>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</si>
  <si>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</si>
  <si>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</si>
  <si>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</si>
  <si>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</si>
  <si>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</si>
  <si>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</si>
  <si>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</si>
  <si>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</si>
  <si>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</si>
  <si>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</si>
  <si>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</si>
  <si>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</si>
  <si>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</si>
  <si>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</si>
  <si>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</si>
  <si>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</si>
  <si>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</si>
  <si>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</si>
  <si>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</si>
  <si>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</si>
  <si>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</si>
  <si>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</si>
  <si>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</si>
  <si>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</si>
  <si>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</si>
  <si>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</si>
  <si>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</si>
  <si>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</si>
  <si>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</si>
  <si>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</si>
  <si>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</si>
  <si>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</si>
  <si>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</si>
  <si>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</si>
  <si>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</si>
  <si>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</si>
  <si>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</si>
  <si>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</si>
  <si>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</si>
  <si>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</si>
  <si>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</si>
  <si>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</si>
  <si>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</si>
  <si>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</si>
  <si>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</si>
  <si>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</si>
  <si>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</si>
  <si>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</si>
  <si>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</si>
  <si>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</si>
  <si>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</si>
  <si>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</si>
  <si>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</si>
  <si>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</si>
  <si>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</si>
  <si>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</si>
  <si>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</si>
  <si>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</si>
  <si>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</si>
  <si>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</si>
  <si>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</si>
  <si>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</si>
  <si>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</si>
  <si>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</si>
  <si>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</si>
  <si>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</si>
  <si>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</si>
  <si>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</si>
  <si>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</si>
  <si>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</si>
  <si>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</si>
  <si>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</si>
  <si>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</si>
  <si>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</si>
  <si>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</si>
  <si>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</si>
  <si>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</si>
  <si>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</si>
  <si>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</si>
  <si>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</si>
  <si>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</si>
  <si>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</si>
  <si>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</si>
  <si>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</si>
  <si>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</si>
  <si>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</si>
  <si>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</si>
  <si>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</si>
  <si>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</si>
  <si>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</si>
  <si>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</si>
  <si>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</si>
  <si>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</si>
  <si>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</si>
  <si>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</si>
  <si>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</si>
  <si>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</si>
  <si>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</si>
  <si>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</si>
  <si>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</si>
  <si>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</si>
  <si>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</si>
  <si>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</si>
  <si>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</si>
  <si>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</si>
  <si>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</si>
  <si>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</si>
  <si>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</si>
  <si>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</si>
  <si>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</si>
  <si>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</si>
  <si>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</si>
  <si>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</si>
  <si>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</si>
  <si>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</si>
  <si>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</si>
  <si>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</si>
  <si>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</si>
  <si>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</si>
  <si>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</si>
  <si>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</si>
  <si>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</si>
  <si>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</si>
  <si>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</si>
  <si>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</si>
  <si>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</si>
  <si>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</si>
  <si>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</si>
  <si>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</si>
  <si>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</si>
  <si>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</si>
  <si>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</si>
  <si>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</si>
  <si>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</si>
  <si>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</si>
  <si>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</si>
  <si>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</si>
  <si>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</si>
  <si>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</si>
  <si>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</si>
  <si>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</si>
  <si>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</si>
  <si>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</si>
  <si>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</si>
  <si>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</si>
  <si>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</si>
  <si>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</si>
  <si>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</si>
  <si>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</si>
  <si>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</si>
  <si>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</si>
  <si>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</si>
  <si>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</si>
  <si>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</si>
  <si>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</si>
  <si>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</si>
  <si>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</si>
  <si>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</si>
  <si>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</si>
  <si>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</si>
  <si>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</si>
  <si>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</si>
  <si>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</si>
  <si>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</si>
  <si>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</si>
  <si>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</si>
  <si>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</si>
  <si>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</si>
  <si>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</si>
  <si>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</si>
  <si>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</si>
  <si>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</si>
  <si>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</si>
  <si>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</si>
  <si>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</si>
  <si>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</si>
  <si>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</si>
  <si>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</si>
  <si>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</si>
  <si>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</si>
  <si>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</si>
  <si>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</si>
  <si>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</si>
  <si>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</si>
  <si>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</si>
  <si>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</si>
  <si>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</si>
  <si>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</si>
  <si>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</si>
  <si>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</si>
  <si>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</si>
  <si>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</si>
  <si>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</si>
  <si>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</si>
  <si>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</si>
  <si>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</si>
  <si>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</si>
  <si>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</si>
  <si>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</si>
  <si>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</si>
  <si>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</si>
  <si>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</si>
  <si>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</si>
  <si>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</si>
  <si>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</si>
  <si>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</si>
  <si>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</si>
  <si>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</si>
  <si>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</si>
  <si>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</si>
  <si>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</si>
  <si>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</si>
  <si>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</si>
  <si>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</si>
  <si>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</si>
  <si>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</si>
  <si>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</si>
  <si>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</si>
  <si>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</si>
  <si>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</si>
  <si>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</si>
  <si>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</si>
  <si>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</si>
  <si>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</si>
  <si>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</si>
  <si>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</si>
  <si>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</si>
  <si>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</si>
  <si>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</si>
  <si>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</si>
  <si>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</si>
  <si>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</si>
  <si>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</si>
  <si>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</si>
  <si>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</si>
  <si>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</si>
  <si>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</si>
  <si>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</si>
  <si>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</si>
  <si>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</si>
  <si>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</si>
  <si>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</si>
  <si>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</si>
  <si>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</si>
  <si>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</si>
  <si>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</si>
  <si>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</si>
  <si>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</si>
  <si>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</si>
  <si>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</si>
  <si>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</si>
  <si>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</si>
  <si>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</si>
  <si>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</si>
  <si>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</si>
  <si>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</si>
  <si>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</si>
  <si>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</si>
  <si>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</si>
  <si>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</si>
  <si>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</si>
  <si>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</si>
  <si>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</si>
  <si>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</si>
  <si>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</si>
  <si>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</si>
  <si>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</si>
  <si>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</si>
  <si>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</si>
  <si>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</si>
  <si>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</si>
  <si>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</si>
  <si>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</si>
  <si>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</si>
  <si>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</si>
  <si>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</si>
  <si>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</si>
  <si>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</si>
  <si>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</si>
  <si>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</si>
  <si>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</si>
  <si>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</si>
  <si>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</si>
  <si>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</si>
  <si>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</si>
  <si>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</si>
  <si>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</si>
  <si>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</si>
  <si>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</si>
  <si>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</si>
  <si>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</si>
  <si>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</si>
  <si>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</si>
  <si>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</si>
  <si>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</si>
  <si>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</si>
  <si>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</si>
  <si>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</si>
  <si>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</si>
  <si>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</si>
  <si>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</si>
  <si>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</si>
  <si>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</si>
  <si>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</si>
  <si>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</si>
  <si>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</si>
  <si>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</si>
  <si>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</si>
  <si>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</si>
  <si>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</si>
  <si>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</si>
  <si>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</si>
  <si>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</si>
  <si>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</si>
  <si>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</si>
  <si>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</si>
  <si>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</si>
  <si>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</si>
  <si>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</si>
  <si>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</si>
  <si>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</si>
  <si>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</si>
  <si>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</si>
  <si>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</si>
  <si>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</si>
  <si>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</si>
  <si>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</si>
  <si>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</si>
  <si>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</si>
  <si>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</si>
  <si>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</si>
  <si>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</si>
  <si>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</si>
  <si>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</si>
  <si>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</si>
  <si>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</si>
  <si>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</si>
  <si>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</si>
  <si>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</si>
  <si>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</si>
  <si>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</si>
  <si>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</si>
  <si>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</si>
  <si>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</si>
  <si>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</si>
  <si>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</si>
  <si>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</si>
  <si>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</si>
  <si>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</si>
  <si>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</si>
  <si>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</si>
  <si>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</si>
  <si>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</si>
  <si>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</si>
  <si>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</si>
  <si>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</si>
  <si>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</si>
  <si>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</si>
  <si>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</si>
  <si>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</si>
  <si>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</si>
  <si>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</si>
  <si>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</si>
  <si>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</si>
  <si>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</si>
  <si>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</si>
  <si>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</si>
  <si>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</si>
  <si>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</si>
  <si>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</si>
  <si>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</si>
  <si>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</si>
  <si>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</si>
  <si>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</si>
  <si>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</si>
  <si>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</si>
  <si>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</si>
  <si>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</si>
  <si>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</si>
  <si>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</si>
  <si>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</si>
  <si>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</si>
  <si>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</si>
  <si>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</si>
  <si>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</si>
  <si>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</si>
  <si>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</si>
  <si>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</si>
  <si>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</si>
  <si>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</si>
  <si>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</si>
  <si>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</si>
  <si>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</si>
  <si>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</si>
  <si>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</si>
  <si>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</si>
  <si>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</si>
  <si>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</si>
  <si>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</si>
  <si>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</si>
  <si>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</si>
  <si>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</si>
  <si>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</si>
  <si>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</si>
  <si>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</si>
  <si>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</si>
  <si>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</si>
  <si>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</si>
  <si>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</si>
  <si>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</si>
  <si>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</si>
  <si>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</si>
  <si>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</si>
  <si>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</si>
  <si>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</si>
  <si>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</si>
  <si>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</si>
  <si>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</si>
  <si>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</si>
  <si>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</si>
  <si>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</si>
  <si>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</si>
  <si>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</si>
  <si>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</si>
  <si>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</si>
  <si>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</si>
  <si>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</si>
  <si>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</si>
  <si>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</si>
  <si>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</si>
  <si>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</si>
  <si>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</si>
  <si>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</si>
  <si>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</si>
  <si>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</si>
  <si>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</si>
  <si>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</si>
  <si>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</si>
  <si>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</si>
  <si>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</si>
  <si>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</si>
  <si>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</si>
  <si>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</si>
  <si>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</si>
  <si>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</si>
  <si>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</si>
  <si>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</si>
  <si>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</si>
  <si>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</si>
  <si>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</si>
  <si>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</si>
  <si>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</si>
  <si>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</si>
  <si>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</si>
  <si>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</si>
  <si>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</si>
  <si>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</si>
  <si>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</si>
  <si>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</si>
  <si>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</si>
  <si>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</si>
  <si>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</si>
  <si>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</si>
  <si>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</si>
  <si>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</si>
  <si>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</si>
  <si>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</si>
  <si>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</si>
  <si>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</si>
  <si>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</si>
  <si>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</si>
  <si>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</si>
  <si>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</si>
  <si>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</si>
  <si>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</si>
  <si>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</si>
  <si>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</si>
  <si>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</si>
  <si>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</si>
  <si>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</si>
  <si>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</si>
  <si>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</si>
  <si>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</si>
  <si>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</si>
  <si>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</si>
  <si>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</si>
  <si>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</si>
  <si>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</si>
  <si>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</si>
  <si>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</si>
  <si>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</si>
  <si>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</si>
  <si>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</si>
  <si>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</si>
  <si>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</si>
  <si>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</si>
  <si>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</si>
  <si>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</si>
  <si>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</si>
  <si>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</si>
  <si>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</si>
  <si>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</si>
  <si>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</si>
  <si>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</si>
  <si>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</si>
  <si>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</si>
  <si>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</si>
  <si>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</si>
  <si>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</si>
  <si>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</si>
  <si>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</si>
  <si>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</si>
  <si>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</si>
  <si>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</si>
  <si>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</si>
  <si>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</si>
  <si>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</si>
  <si>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</si>
  <si>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</si>
  <si>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</si>
  <si>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</si>
  <si>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</si>
  <si>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</si>
  <si>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</si>
  <si>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</si>
  <si>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</si>
  <si>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</si>
  <si>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</si>
  <si>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</si>
  <si>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</si>
  <si>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</si>
  <si>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</si>
  <si>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</si>
  <si>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</si>
  <si>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</si>
  <si>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</si>
  <si>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</si>
  <si>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</si>
  <si>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</si>
  <si>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</si>
  <si>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</si>
  <si>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</si>
  <si>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</si>
  <si>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</si>
  <si>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</si>
  <si>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</si>
  <si>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</si>
  <si>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</si>
  <si>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</si>
  <si>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</si>
  <si>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</si>
  <si>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</si>
  <si>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</si>
  <si>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</si>
  <si>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</si>
  <si>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</si>
  <si>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</si>
  <si>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</si>
  <si>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</si>
  <si>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</si>
  <si>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</si>
  <si>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</si>
  <si>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</si>
  <si>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</si>
  <si>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</si>
  <si>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</si>
  <si>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</si>
  <si>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</si>
  <si>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</si>
  <si>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</si>
  <si>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</si>
  <si>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</si>
  <si>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</si>
  <si>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</si>
  <si>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</si>
  <si>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</si>
  <si>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</si>
  <si>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</si>
  <si>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</si>
  <si>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</si>
  <si>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</si>
  <si>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</si>
  <si>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</si>
  <si>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</si>
  <si>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</si>
  <si>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</si>
  <si>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</si>
  <si>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</si>
  <si>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</si>
  <si>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</si>
  <si>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</si>
  <si>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</si>
  <si>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</si>
  <si>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</si>
  <si>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</si>
  <si>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</si>
  <si>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</si>
  <si>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</si>
  <si>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</si>
  <si>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</si>
  <si>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</si>
  <si>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</si>
  <si>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</si>
  <si>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</si>
  <si>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</si>
  <si>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</si>
  <si>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</si>
  <si>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</si>
  <si>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</si>
  <si>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</si>
  <si>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</si>
  <si>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</si>
  <si>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</si>
  <si>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</si>
  <si>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</si>
  <si>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</si>
  <si>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</si>
  <si>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</si>
  <si>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</si>
  <si>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</si>
  <si>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</si>
  <si>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</si>
  <si>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</si>
  <si>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</si>
  <si>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</si>
  <si>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</si>
  <si>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</si>
  <si>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</si>
  <si>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</si>
  <si>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</si>
  <si>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</si>
  <si>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</si>
  <si>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</si>
  <si>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</si>
  <si>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</si>
  <si>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</si>
  <si>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</si>
  <si>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</si>
  <si>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</si>
  <si>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</si>
  <si>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</si>
  <si>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</si>
  <si>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</si>
  <si>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</si>
  <si>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</si>
  <si>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</si>
  <si>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</si>
  <si>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</si>
  <si>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</si>
  <si>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</si>
  <si>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</si>
  <si>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</si>
  <si>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</si>
  <si>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</si>
  <si>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</si>
  <si>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</si>
  <si>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</si>
  <si>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</si>
  <si>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</si>
  <si>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</si>
  <si>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</si>
  <si>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</si>
  <si>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</si>
  <si>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</si>
  <si>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</si>
  <si>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</si>
  <si>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</si>
  <si>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</si>
  <si>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</si>
  <si>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</si>
  <si>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</si>
  <si>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</si>
  <si>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</si>
  <si>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</si>
  <si>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</si>
  <si>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</si>
  <si>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</si>
  <si>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</si>
  <si>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</si>
  <si>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</si>
  <si>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</si>
  <si>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</si>
  <si>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</si>
  <si>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</si>
  <si>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</si>
  <si>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</si>
  <si>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</si>
  <si>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</si>
  <si>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</si>
  <si>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</si>
  <si>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</si>
  <si>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</si>
  <si>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</si>
  <si>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</si>
  <si>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</si>
  <si>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</si>
  <si>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</si>
  <si>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</si>
  <si>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</si>
  <si>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</si>
  <si>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</si>
  <si>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</si>
  <si>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</si>
  <si>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</si>
  <si>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</si>
  <si>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</si>
  <si>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</si>
  <si>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</si>
  <si>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</si>
  <si>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</si>
  <si>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</si>
  <si>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</si>
  <si>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</si>
  <si>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</si>
  <si>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</si>
  <si>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</si>
  <si>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</si>
  <si>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</si>
  <si>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</si>
  <si>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</si>
  <si>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</si>
  <si>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</si>
  <si>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</si>
  <si>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</si>
  <si>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</si>
  <si>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</si>
  <si>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</si>
  <si>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</si>
  <si>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</si>
  <si>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</si>
  <si>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</si>
  <si>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</si>
  <si>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</si>
  <si>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</si>
  <si>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</si>
  <si>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</si>
  <si>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</si>
  <si>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</si>
  <si>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</si>
  <si>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</si>
  <si>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</si>
  <si>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</si>
  <si>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</si>
  <si>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</si>
  <si>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</si>
  <si>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</si>
  <si>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</si>
  <si>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</si>
  <si>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</si>
  <si>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</si>
  <si>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</si>
  <si>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</si>
  <si>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</si>
  <si>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</si>
  <si>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</si>
  <si>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</si>
  <si>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</si>
  <si>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</si>
  <si>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</si>
  <si>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</si>
  <si>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</si>
  <si>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</si>
  <si>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</si>
  <si>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</si>
  <si>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</si>
  <si>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</si>
  <si>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</si>
  <si>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</si>
  <si>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</si>
  <si>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</si>
  <si>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</si>
  <si>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</si>
  <si>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</si>
  <si>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</si>
  <si>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</si>
  <si>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</si>
  <si>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</si>
  <si>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</si>
  <si>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</si>
  <si>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</si>
  <si>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</si>
  <si>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</si>
  <si>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</si>
  <si>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</si>
  <si>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</si>
  <si>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</si>
  <si>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</si>
  <si>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</si>
  <si>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</si>
  <si>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</si>
  <si>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</si>
  <si>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</si>
  <si>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</si>
  <si>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</si>
  <si>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</si>
  <si>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</si>
  <si>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</si>
  <si>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</si>
  <si>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</si>
  <si>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</si>
  <si>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</si>
  <si>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</si>
  <si>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</si>
  <si>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</si>
  <si>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</si>
  <si>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</si>
  <si>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</si>
  <si>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</si>
  <si>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</si>
  <si>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</si>
  <si>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</si>
  <si>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</si>
  <si>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</si>
  <si>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</si>
  <si>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</si>
  <si>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</si>
  <si>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</si>
  <si>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</si>
  <si>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</si>
  <si>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</si>
  <si>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</si>
  <si>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</si>
  <si>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</si>
  <si>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</si>
  <si>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</si>
  <si>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</si>
  <si>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</si>
  <si>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</si>
  <si>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</si>
  <si>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</si>
  <si>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</si>
  <si>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</si>
  <si>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</si>
  <si>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</si>
  <si>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</si>
  <si>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</si>
  <si>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</si>
  <si>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</si>
  <si>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</si>
  <si>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</si>
  <si>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</si>
  <si>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</si>
  <si>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</si>
  <si>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</si>
  <si>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</si>
  <si>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</si>
  <si>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</si>
  <si>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</si>
  <si>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</si>
  <si>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</si>
  <si>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</si>
  <si>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</si>
  <si>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</si>
  <si>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</si>
  <si>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</si>
  <si>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</si>
  <si>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</si>
  <si>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</si>
  <si>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</si>
  <si>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</si>
  <si>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</si>
  <si>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</si>
  <si>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</si>
  <si>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</si>
  <si>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</si>
  <si>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</si>
  <si>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</si>
  <si>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</si>
  <si>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</si>
  <si>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</si>
  <si>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</si>
  <si>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</si>
  <si>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</si>
  <si>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</si>
  <si>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</si>
  <si>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</si>
  <si>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</si>
  <si>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</si>
  <si>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</si>
  <si>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</si>
  <si>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</si>
  <si>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</si>
  <si>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</si>
  <si>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</si>
  <si>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</si>
  <si>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</si>
  <si>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</si>
  <si>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</si>
  <si>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</si>
  <si>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</si>
  <si>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</si>
  <si>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</si>
  <si>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</si>
  <si>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</si>
  <si>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</si>
  <si>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</si>
  <si>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</si>
  <si>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</si>
  <si>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</si>
  <si>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</si>
  <si>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</si>
  <si>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</si>
  <si>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</si>
  <si>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</si>
  <si>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</si>
  <si>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</si>
  <si>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</si>
  <si>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</si>
  <si>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</si>
  <si>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</si>
  <si>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</si>
  <si>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</si>
  <si>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</si>
  <si>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</si>
  <si>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</si>
  <si>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</si>
  <si>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</si>
  <si>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</si>
  <si>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</si>
  <si>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</si>
  <si>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</si>
  <si>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</si>
  <si>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</si>
  <si>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</si>
  <si>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</si>
  <si>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</si>
  <si>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</si>
  <si>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</si>
  <si>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</si>
  <si>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</si>
  <si>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</si>
  <si>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</si>
  <si>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</si>
  <si>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</si>
  <si>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</si>
  <si>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</si>
  <si>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</si>
  <si>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</si>
  <si>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</si>
  <si>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</si>
  <si>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</si>
  <si>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</si>
  <si>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</si>
  <si>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</si>
  <si>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</si>
  <si>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</si>
  <si>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</si>
  <si>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</si>
  <si>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</si>
  <si>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</si>
  <si>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</si>
  <si>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</si>
  <si>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</si>
  <si>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</si>
  <si>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</si>
  <si>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</si>
  <si>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</si>
  <si>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</si>
  <si>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</si>
  <si>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</si>
  <si>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</si>
  <si>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</si>
  <si>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</si>
  <si>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</si>
  <si>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</si>
  <si>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</si>
  <si>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</si>
  <si>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</si>
  <si>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</si>
  <si>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</si>
  <si>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</si>
  <si>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</si>
  <si>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</si>
  <si>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</si>
  <si>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</si>
  <si>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</si>
  <si>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</si>
  <si>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</si>
  <si>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</si>
  <si>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</si>
  <si>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</si>
  <si>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</si>
  <si>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</si>
  <si>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</si>
  <si>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</si>
  <si>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</si>
  <si>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</si>
  <si>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</si>
  <si>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</si>
  <si>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</si>
  <si>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</si>
  <si>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</si>
  <si>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</si>
  <si>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</si>
  <si>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</si>
  <si>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</si>
  <si>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</si>
  <si>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</si>
  <si>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</si>
  <si>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</si>
  <si>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</si>
  <si>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</si>
  <si>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</si>
  <si>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</si>
  <si>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</si>
  <si>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</si>
  <si>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</si>
  <si>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</si>
  <si>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</si>
  <si>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</si>
  <si>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</si>
  <si>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</si>
  <si>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</si>
  <si>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</si>
  <si>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</si>
  <si>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</si>
  <si>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</si>
  <si>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</si>
  <si>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</si>
  <si>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</si>
  <si>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</si>
  <si>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</si>
  <si>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</si>
  <si>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</si>
  <si>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</si>
  <si>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</si>
  <si>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</si>
  <si>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</si>
  <si>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</si>
  <si>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</si>
  <si>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</si>
  <si>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</si>
  <si>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</si>
  <si>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</si>
  <si>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</si>
  <si>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</si>
  <si>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</si>
  <si>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</si>
  <si>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</si>
  <si>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</si>
  <si>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</si>
  <si>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</si>
  <si>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</si>
  <si>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</si>
  <si>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</si>
  <si>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</si>
  <si>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</si>
  <si>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</si>
  <si>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</si>
  <si>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</si>
  <si>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</si>
  <si>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</si>
  <si>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</si>
  <si>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</si>
  <si>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</si>
  <si>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</si>
  <si>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</si>
  <si>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</si>
  <si>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</si>
  <si>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</si>
  <si>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</si>
  <si>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</si>
  <si>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</si>
  <si>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</si>
  <si>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</si>
  <si>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</si>
  <si>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</si>
  <si>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</si>
  <si>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</si>
  <si>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</si>
  <si>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</si>
  <si>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</si>
  <si>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</si>
  <si>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</si>
  <si>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</si>
  <si>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</si>
  <si>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</si>
  <si>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</si>
  <si>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</si>
  <si>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</si>
  <si>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</si>
  <si>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</si>
  <si>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</si>
  <si>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</si>
  <si>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</si>
  <si>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</si>
  <si>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</si>
  <si>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</si>
  <si>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</si>
  <si>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</si>
  <si>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</si>
  <si>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</si>
  <si>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</si>
  <si>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</si>
  <si>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</si>
  <si>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</si>
  <si>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</si>
  <si>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</si>
  <si>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</si>
  <si>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</si>
  <si>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</si>
  <si>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</si>
  <si>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</si>
  <si>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</si>
  <si>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</si>
  <si>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</si>
  <si>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</si>
  <si>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</si>
  <si>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</si>
  <si>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</si>
  <si>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</si>
  <si>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</si>
  <si>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</si>
  <si>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</si>
  <si>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</si>
  <si>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</si>
  <si>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</si>
  <si>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</si>
  <si>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</si>
  <si>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</si>
  <si>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</si>
  <si>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</si>
  <si>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</si>
  <si>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</si>
  <si>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</si>
  <si>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</si>
  <si>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</si>
  <si>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</si>
  <si>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</si>
  <si>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</si>
  <si>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</si>
  <si>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</si>
  <si>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</si>
  <si>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</si>
  <si>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</si>
  <si>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</si>
  <si>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</si>
  <si>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</si>
  <si>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</si>
  <si>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</si>
  <si>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</si>
  <si>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</si>
  <si>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</si>
  <si>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</si>
  <si>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</si>
  <si>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</si>
  <si>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</si>
  <si>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</si>
  <si>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</si>
  <si>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</si>
  <si>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</si>
  <si>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</si>
  <si>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</si>
  <si>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</si>
  <si>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</si>
  <si>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</si>
  <si>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</si>
  <si>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</si>
  <si>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</si>
  <si>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</si>
  <si>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</si>
  <si>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</si>
  <si>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</si>
  <si>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</si>
  <si>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</si>
  <si>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</si>
  <si>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</si>
  <si>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</si>
  <si>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</si>
  <si>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</si>
  <si>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</si>
  <si>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</si>
  <si>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</si>
  <si>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</si>
  <si>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</si>
  <si>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</si>
  <si>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</si>
  <si>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</si>
  <si>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</si>
  <si>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</si>
  <si>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</si>
  <si>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</si>
  <si>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</si>
  <si>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</si>
  <si>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</si>
  <si>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</si>
  <si>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</si>
  <si>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</si>
  <si>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</si>
  <si>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</si>
  <si>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</si>
  <si>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</si>
  <si>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</si>
  <si>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</si>
  <si>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</si>
  <si>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</si>
  <si>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</si>
  <si>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</si>
  <si>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</si>
  <si>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</si>
  <si>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</si>
  <si>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</si>
  <si>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</si>
  <si>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</si>
  <si>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</si>
  <si>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</si>
  <si>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</si>
  <si>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</si>
  <si>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</si>
  <si>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</si>
  <si>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</si>
  <si>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</si>
  <si>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</si>
  <si>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</si>
  <si>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</si>
  <si>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</si>
  <si>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</si>
  <si>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</si>
  <si>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</si>
  <si>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</si>
  <si>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</si>
  <si>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</si>
  <si>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</si>
  <si>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</si>
  <si>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</si>
  <si>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</si>
  <si>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</si>
  <si>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</si>
  <si>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</si>
  <si>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</si>
  <si>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</si>
  <si>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</si>
  <si>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</si>
  <si>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</si>
  <si>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</si>
  <si>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</si>
  <si>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</si>
  <si>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</si>
  <si>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</si>
  <si>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</si>
  <si>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</si>
  <si>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</si>
  <si>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</si>
  <si>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</si>
  <si>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</si>
  <si>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</si>
  <si>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</si>
  <si>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</si>
  <si>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</si>
  <si>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</si>
  <si>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</si>
  <si>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</si>
  <si>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</si>
  <si>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</si>
  <si>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</si>
  <si>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</si>
  <si>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</si>
  <si>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</si>
  <si>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</si>
  <si>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</si>
  <si>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</si>
  <si>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</si>
  <si>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</si>
  <si>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</si>
  <si>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</si>
  <si>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</si>
  <si>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</si>
  <si>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</si>
  <si>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</si>
  <si>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</si>
  <si>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</si>
  <si>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</si>
  <si>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</si>
  <si>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</si>
  <si>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</si>
  <si>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</si>
  <si>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</si>
  <si>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</si>
  <si>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</si>
  <si>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</si>
  <si>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</si>
  <si>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</si>
  <si>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</si>
  <si>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</si>
  <si>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</si>
  <si>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</si>
  <si>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</si>
  <si>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</si>
  <si>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</si>
  <si>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</si>
  <si>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</si>
  <si>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</si>
  <si>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</si>
  <si>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</si>
  <si>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</si>
  <si>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</si>
  <si>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</si>
  <si>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</si>
  <si>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</si>
  <si>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</si>
  <si>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</si>
  <si>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</si>
  <si>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</si>
  <si>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</si>
  <si>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</si>
  <si>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</si>
  <si>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</si>
  <si>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</si>
  <si>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</si>
  <si>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</si>
  <si>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</si>
  <si>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</si>
  <si>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</si>
  <si>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</si>
  <si>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</si>
  <si>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</si>
  <si>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</si>
  <si>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</si>
  <si>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</si>
  <si>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</si>
  <si>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</si>
  <si>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</si>
  <si>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</si>
  <si>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</si>
  <si>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</si>
  <si>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</si>
  <si>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</si>
  <si>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</si>
  <si>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</si>
  <si>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</si>
  <si>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</si>
  <si>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</si>
  <si>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</si>
  <si>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</si>
  <si>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</si>
  <si>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</si>
  <si>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</si>
  <si>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</si>
  <si>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</si>
  <si>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</si>
  <si>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</si>
  <si>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</si>
  <si>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</si>
  <si>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</si>
  <si>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</si>
  <si>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</si>
  <si>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</si>
  <si>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</si>
  <si>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</si>
  <si>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</si>
  <si>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</si>
  <si>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</si>
  <si>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</si>
  <si>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</si>
  <si>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</si>
  <si>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</si>
  <si>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</si>
  <si>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</si>
  <si>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</si>
  <si>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</si>
  <si>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</si>
  <si>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</si>
  <si>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</si>
  <si>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</si>
  <si>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</si>
  <si>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</si>
  <si>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</si>
  <si>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</si>
  <si>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</si>
  <si>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</si>
  <si>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</si>
  <si>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</si>
  <si>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</si>
  <si>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</si>
  <si>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</si>
  <si>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</si>
  <si>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</si>
  <si>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</si>
  <si>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</si>
  <si>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</si>
  <si>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</si>
  <si>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</si>
  <si>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</si>
  <si>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</si>
  <si>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</si>
  <si>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</si>
  <si>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</si>
  <si>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</si>
  <si>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</si>
  <si>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</si>
  <si>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</si>
  <si>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</si>
  <si>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</si>
  <si>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</si>
  <si>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</si>
  <si>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</si>
  <si>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</si>
  <si>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</si>
  <si>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</si>
  <si>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</si>
  <si>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</si>
  <si>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</si>
  <si>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</si>
  <si>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</si>
  <si>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</si>
  <si>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</si>
  <si>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</si>
  <si>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</si>
  <si>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</si>
  <si>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</si>
  <si>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</si>
  <si>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</si>
  <si>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</si>
  <si>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</si>
  <si>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</si>
  <si>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</si>
  <si>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</si>
  <si>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</si>
  <si>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</si>
  <si>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</si>
  <si>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</si>
  <si>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</si>
  <si>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</si>
  <si>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</si>
  <si>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</si>
  <si>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</si>
  <si>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</si>
  <si>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</si>
  <si>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</si>
  <si>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</si>
  <si>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</si>
  <si>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</si>
  <si>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</si>
  <si>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</si>
  <si>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</si>
  <si>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</si>
  <si>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</si>
  <si>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</si>
  <si>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</si>
  <si>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</si>
  <si>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</si>
  <si>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</si>
  <si>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</si>
  <si>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</si>
  <si>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</si>
  <si>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</si>
  <si>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</si>
  <si>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</si>
  <si>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</si>
  <si>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</si>
  <si>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</si>
  <si>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</si>
  <si>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</si>
  <si>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</si>
  <si>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</si>
  <si>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</si>
  <si>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</si>
  <si>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</si>
  <si>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</si>
  <si>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</si>
  <si>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</si>
  <si>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</si>
  <si>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</si>
  <si>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</si>
  <si>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</si>
  <si>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</si>
  <si>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</si>
  <si>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</si>
  <si>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</si>
  <si>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</si>
  <si>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</si>
  <si>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</si>
  <si>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</si>
  <si>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</si>
  <si>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</si>
  <si>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</si>
  <si>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</si>
  <si>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</si>
  <si>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</si>
  <si>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</si>
  <si>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</si>
  <si>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</si>
  <si>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</si>
  <si>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</si>
  <si>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</si>
  <si>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</si>
  <si>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</si>
  <si>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</si>
  <si>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</si>
  <si>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</si>
  <si>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</si>
  <si>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</si>
  <si>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</si>
  <si>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</si>
  <si>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</si>
  <si>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</si>
  <si>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</si>
  <si>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</si>
  <si>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</si>
  <si>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</si>
  <si>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</si>
  <si>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</si>
  <si>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</si>
  <si>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</si>
  <si>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</si>
  <si>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</si>
  <si>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</si>
  <si>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</si>
  <si>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</si>
  <si>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</si>
  <si>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</si>
  <si>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</si>
  <si>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</si>
  <si>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</si>
  <si>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</si>
  <si>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</si>
  <si>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</si>
  <si>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</si>
  <si>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</si>
  <si>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</si>
  <si>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</si>
  <si>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</si>
  <si>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</si>
  <si>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</si>
  <si>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</si>
  <si>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</si>
  <si>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</si>
  <si>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</si>
  <si>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</si>
  <si>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</si>
  <si>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</si>
  <si>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</si>
  <si>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</si>
  <si>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</si>
  <si>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</si>
  <si>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</si>
  <si>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</si>
  <si>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</si>
  <si>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</si>
  <si>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</si>
  <si>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</si>
  <si>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</si>
  <si>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</si>
  <si>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</si>
  <si>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</si>
  <si>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</si>
  <si>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</si>
  <si>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</si>
  <si>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</si>
  <si>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</si>
  <si>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</si>
  <si>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</si>
  <si>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</si>
  <si>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</si>
  <si>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</si>
  <si>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</si>
  <si>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</si>
  <si>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</si>
  <si>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</si>
  <si>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</si>
  <si>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</si>
  <si>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</si>
  <si>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</si>
  <si>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</si>
  <si>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</si>
  <si>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</si>
  <si>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</si>
  <si>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</si>
  <si>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</si>
  <si>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</si>
  <si>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</si>
  <si>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</si>
  <si>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</si>
  <si>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</si>
  <si>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</si>
  <si>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</si>
  <si>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</si>
  <si>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</si>
  <si>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</si>
  <si>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</si>
  <si>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</si>
  <si>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</si>
  <si>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</si>
  <si>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</si>
  <si>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</si>
  <si>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</si>
  <si>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</si>
  <si>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</si>
  <si>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</si>
  <si>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</si>
  <si>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</si>
  <si>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</si>
  <si>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</si>
  <si>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</si>
  <si>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</si>
  <si>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</si>
  <si>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</si>
  <si>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</si>
  <si>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</si>
  <si>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</si>
  <si>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</si>
  <si>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</si>
  <si>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</si>
  <si>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</si>
  <si>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</si>
  <si>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</si>
  <si>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</si>
  <si>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</si>
  <si>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</si>
  <si>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</si>
  <si>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</si>
  <si>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</si>
  <si>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</si>
  <si>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</si>
  <si>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</si>
  <si>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</si>
  <si>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</si>
  <si>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</si>
  <si>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</si>
  <si>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</si>
  <si>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</si>
  <si>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</si>
  <si>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</si>
  <si>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</si>
  <si>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</si>
  <si>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</si>
  <si>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</si>
  <si>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</si>
  <si>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</si>
  <si>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</si>
  <si>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</si>
  <si>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</si>
  <si>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</si>
  <si>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</si>
  <si>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</si>
  <si>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</si>
  <si>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</si>
  <si>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</si>
  <si>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</si>
  <si>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</si>
  <si>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</si>
  <si>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</si>
  <si>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</si>
  <si>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</si>
  <si>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</si>
  <si>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</si>
  <si>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</si>
  <si>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</si>
  <si>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</si>
  <si>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</si>
  <si>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</si>
  <si>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</si>
  <si>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</si>
  <si>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</si>
  <si>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</si>
  <si>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</si>
  <si>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</si>
  <si>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</si>
  <si>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</si>
  <si>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</si>
  <si>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</si>
  <si>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</si>
  <si>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</si>
  <si>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</si>
  <si>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</si>
  <si>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</si>
  <si>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</si>
  <si>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</si>
  <si>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</si>
  <si>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</si>
  <si>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</si>
  <si>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</si>
  <si>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</si>
  <si>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</si>
  <si>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</si>
  <si>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</si>
  <si>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</si>
  <si>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</si>
  <si>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</si>
  <si>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</si>
  <si>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</si>
  <si>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</si>
  <si>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</si>
  <si>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</si>
  <si>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</si>
  <si>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</si>
  <si>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</si>
  <si>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</si>
  <si>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</si>
  <si>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</si>
  <si>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</si>
  <si>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</si>
  <si>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</si>
  <si>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</si>
  <si>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</si>
  <si>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</si>
  <si>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</si>
  <si>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</si>
  <si>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</si>
  <si>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</si>
  <si>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</si>
  <si>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</si>
  <si>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</si>
  <si>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</si>
  <si>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</si>
  <si>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</si>
  <si>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</si>
  <si>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</si>
  <si>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</si>
  <si>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</si>
  <si>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</si>
  <si>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</si>
  <si>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</si>
  <si>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</si>
  <si>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</si>
  <si>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</si>
  <si>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</si>
  <si>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</si>
  <si>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</si>
  <si>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</si>
  <si>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</si>
  <si>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</si>
  <si>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</si>
  <si>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</si>
  <si>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</si>
  <si>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</si>
  <si>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</si>
  <si>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</si>
  <si>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</si>
  <si>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</si>
  <si>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</si>
  <si>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</si>
  <si>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</si>
  <si>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</si>
  <si>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</si>
  <si>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</si>
  <si>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</si>
  <si>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</si>
  <si>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</si>
  <si>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</si>
  <si>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</si>
  <si>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</si>
  <si>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</si>
  <si>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</si>
  <si>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</si>
  <si>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</si>
  <si>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</si>
  <si>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</si>
  <si>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</si>
  <si>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</si>
  <si>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</si>
  <si>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</si>
  <si>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</si>
  <si>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</si>
  <si>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</si>
  <si>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</si>
  <si>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</si>
  <si>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</si>
  <si>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</si>
  <si>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</si>
  <si>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</si>
  <si>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</si>
  <si>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</si>
  <si>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</si>
  <si>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</si>
  <si>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</si>
  <si>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</si>
  <si>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</si>
  <si>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</si>
  <si>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</si>
  <si>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</si>
  <si>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</si>
  <si>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</si>
  <si>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</si>
  <si>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</si>
  <si>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</si>
  <si>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</si>
  <si>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</si>
  <si>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</si>
  <si>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</si>
  <si>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</si>
  <si>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</si>
  <si>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</si>
  <si>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</si>
  <si>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</si>
  <si>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</si>
  <si>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</si>
  <si>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</si>
  <si>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</si>
  <si>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</si>
  <si>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</si>
  <si>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</si>
  <si>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</si>
  <si>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</si>
  <si>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</si>
  <si>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</si>
  <si>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</si>
  <si>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</si>
  <si>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</si>
  <si>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</si>
  <si>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</si>
  <si>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</si>
  <si>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</si>
  <si>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</si>
  <si>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</si>
  <si>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</si>
  <si>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</si>
  <si>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</si>
  <si>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</si>
  <si>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</si>
  <si>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</si>
  <si>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</si>
  <si>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</si>
  <si>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</si>
  <si>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</si>
  <si>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</si>
  <si>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</si>
  <si>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</si>
  <si>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</si>
  <si>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</si>
  <si>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</si>
  <si>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</si>
  <si>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</si>
  <si>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</si>
  <si>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</si>
  <si>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</si>
  <si>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</si>
  <si>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</si>
  <si>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</si>
  <si>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</si>
  <si>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</si>
  <si>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</si>
  <si>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</si>
  <si>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</si>
  <si>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</si>
  <si>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</si>
  <si>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</si>
  <si>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</si>
  <si>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</si>
  <si>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</si>
  <si>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</si>
  <si>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</si>
  <si>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</si>
  <si>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</si>
  <si>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</si>
  <si>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</si>
  <si>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</si>
  <si>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</si>
  <si>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</si>
  <si>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</si>
  <si>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</si>
  <si>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</si>
  <si>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</si>
  <si>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</si>
  <si>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</si>
  <si>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</si>
  <si>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</si>
  <si>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</si>
  <si>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</si>
  <si>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</si>
  <si>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</si>
  <si>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</si>
  <si>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</si>
  <si>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</si>
  <si>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</si>
  <si>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</si>
  <si>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</si>
  <si>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</si>
  <si>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</si>
  <si>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</si>
  <si>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</si>
  <si>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</si>
  <si>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</si>
  <si>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</si>
  <si>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</si>
  <si>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</si>
  <si>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</si>
  <si>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</si>
  <si>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</si>
  <si>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</si>
  <si>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</si>
  <si>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</si>
  <si>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</si>
  <si>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</si>
  <si>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</si>
  <si>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</si>
  <si>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</si>
  <si>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</si>
  <si>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</si>
  <si>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</si>
  <si>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</si>
  <si>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</si>
  <si>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</si>
  <si>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</si>
  <si>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</si>
  <si>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</si>
  <si>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</si>
  <si>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</si>
  <si>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</si>
  <si>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</si>
  <si>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</si>
  <si>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</si>
  <si>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</si>
  <si>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</si>
  <si>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</si>
  <si>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</si>
  <si>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</si>
  <si>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</si>
  <si>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</si>
  <si>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</si>
  <si>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</si>
  <si>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</si>
  <si>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</si>
  <si>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</si>
  <si>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</si>
  <si>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</si>
  <si>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</si>
  <si>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</si>
  <si>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</si>
  <si>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</si>
  <si>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</si>
  <si>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</si>
  <si>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</si>
  <si>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</si>
  <si>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</si>
  <si>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</si>
  <si>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</si>
  <si>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</si>
  <si>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</si>
  <si>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</si>
  <si>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</si>
  <si>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</si>
  <si>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</si>
  <si>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</si>
  <si>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</si>
  <si>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</si>
  <si>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</si>
  <si>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</si>
  <si>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</si>
  <si>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</si>
  <si>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</si>
  <si>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</si>
  <si>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</si>
  <si>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</si>
  <si>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</si>
  <si>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</si>
  <si>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</si>
  <si>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</si>
  <si>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</si>
  <si>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</si>
  <si>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</si>
  <si>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</si>
  <si>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</si>
  <si>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</si>
  <si>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</si>
  <si>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</si>
  <si>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</si>
  <si>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</si>
  <si>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</si>
  <si>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</si>
  <si>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</si>
  <si>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</si>
  <si>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</si>
  <si>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</si>
  <si>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</si>
  <si>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</si>
  <si>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</si>
  <si>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</si>
  <si>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</si>
  <si>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</si>
  <si>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</si>
  <si>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</si>
  <si>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</si>
  <si>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</si>
  <si>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</si>
  <si>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</si>
  <si>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</si>
  <si>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</si>
  <si>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</si>
  <si>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</si>
  <si>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</si>
  <si>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</si>
  <si>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</si>
  <si>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</si>
  <si>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</si>
  <si>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</si>
  <si>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</si>
  <si>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</si>
  <si>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</si>
  <si>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</si>
  <si>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</si>
  <si>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</si>
  <si>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</si>
  <si>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</si>
  <si>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</si>
  <si>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</si>
  <si>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</si>
  <si>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</si>
  <si>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</si>
  <si>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</si>
  <si>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</si>
  <si>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</si>
  <si>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</si>
  <si>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</si>
  <si>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</si>
  <si>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</si>
  <si>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</si>
  <si>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</si>
  <si>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</si>
  <si>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</si>
  <si>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</si>
  <si>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</si>
  <si>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</si>
  <si>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</si>
  <si>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</si>
  <si>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</si>
  <si>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</si>
  <si>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</si>
  <si>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</si>
  <si>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</si>
  <si>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</si>
  <si>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</si>
  <si>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</si>
  <si>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</si>
  <si>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</si>
  <si>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</si>
  <si>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</si>
  <si>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</si>
  <si>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</si>
  <si>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</si>
  <si>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</si>
  <si>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</si>
  <si>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</si>
  <si>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</si>
  <si>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</si>
  <si>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</si>
  <si>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</si>
  <si>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</si>
  <si>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</si>
  <si>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</si>
  <si>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</si>
  <si>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</si>
  <si>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</si>
  <si>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</si>
  <si>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</si>
  <si>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</si>
  <si>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</si>
  <si>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</si>
  <si>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</si>
  <si>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</si>
  <si>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</si>
  <si>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</si>
  <si>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</si>
  <si>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</si>
  <si>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</si>
  <si>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</si>
  <si>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</si>
  <si>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</si>
  <si>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</si>
  <si>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</si>
  <si>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</si>
  <si>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</si>
  <si>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</si>
  <si>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</si>
  <si>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</si>
  <si>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</si>
  <si>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</si>
  <si>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</si>
  <si>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</si>
  <si>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</si>
  <si>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</si>
  <si>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</si>
  <si>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</si>
  <si>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</si>
  <si>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</si>
  <si>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</si>
  <si>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</si>
  <si>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</si>
  <si>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</si>
  <si>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</si>
  <si>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</si>
  <si>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</si>
  <si>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</si>
  <si>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</si>
  <si>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</si>
  <si>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</si>
  <si>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</si>
  <si>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</si>
  <si>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</si>
  <si>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</si>
  <si>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</si>
  <si>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</si>
  <si>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</si>
  <si>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</si>
  <si>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</si>
  <si>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</si>
  <si>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</si>
  <si>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</si>
  <si>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</si>
  <si>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</si>
  <si>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</si>
  <si>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</si>
  <si>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</si>
  <si>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</si>
  <si>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</si>
  <si>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</si>
  <si>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</si>
  <si>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</si>
  <si>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</si>
  <si>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</si>
  <si>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</si>
  <si>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</si>
  <si>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</si>
  <si>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</si>
  <si>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</si>
  <si>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</si>
  <si>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</si>
  <si>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</si>
  <si>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</si>
  <si>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</si>
  <si>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</si>
  <si>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</si>
  <si>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</si>
  <si>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</si>
  <si>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</si>
  <si>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</si>
  <si>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</si>
  <si>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</si>
  <si>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</si>
  <si>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</si>
  <si>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</si>
  <si>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</si>
  <si>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</si>
  <si>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</si>
  <si>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</si>
  <si>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</si>
  <si>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</si>
  <si>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</si>
  <si>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</si>
  <si>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</si>
  <si>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</si>
  <si>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</si>
  <si>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</si>
  <si>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</si>
  <si>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</si>
  <si>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</si>
  <si>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</si>
  <si>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</si>
  <si>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</si>
  <si>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</si>
  <si>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</si>
  <si>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</si>
  <si>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</si>
  <si>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</si>
  <si>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</si>
  <si>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</si>
  <si>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</si>
  <si>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</si>
  <si>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</si>
  <si>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</si>
  <si>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</si>
  <si>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</si>
  <si>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</si>
  <si>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</si>
  <si>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</si>
  <si>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</si>
  <si>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</si>
  <si>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</si>
  <si>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</si>
  <si>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</si>
  <si>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</si>
  <si>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</si>
  <si>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</si>
  <si>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</si>
  <si>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</si>
  <si>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</si>
  <si>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</si>
  <si>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</si>
  <si>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</si>
  <si>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</si>
  <si>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</si>
  <si>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</si>
  <si>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</si>
  <si>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</si>
  <si>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</si>
  <si>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</si>
  <si>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</si>
  <si>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</si>
  <si>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</si>
  <si>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</si>
  <si>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</si>
  <si>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</si>
  <si>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</si>
  <si>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</si>
  <si>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</si>
  <si>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</si>
  <si>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</si>
  <si>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</si>
  <si>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</si>
  <si>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</si>
  <si>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</si>
  <si>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</si>
  <si>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</si>
  <si>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</si>
  <si>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</si>
  <si>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</si>
  <si>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</si>
  <si>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</si>
  <si>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</si>
  <si>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</si>
  <si>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</si>
  <si>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</si>
  <si>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</si>
  <si>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</si>
  <si>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</si>
  <si>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</si>
  <si>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</si>
  <si>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</si>
  <si>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</si>
  <si>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</si>
  <si>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</si>
  <si>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</si>
  <si>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</si>
  <si>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</si>
  <si>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</si>
  <si>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</si>
  <si>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</si>
  <si>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</si>
  <si>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</si>
  <si>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</si>
  <si>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</si>
  <si>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</si>
  <si>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</si>
  <si>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</si>
  <si>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</si>
  <si>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</si>
  <si>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</si>
  <si>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</si>
  <si>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</si>
  <si>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</si>
  <si>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</si>
  <si>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</si>
  <si>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</si>
  <si>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</si>
  <si>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</si>
  <si>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</si>
  <si>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</si>
  <si>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</si>
  <si>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</si>
  <si>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</si>
  <si>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</si>
  <si>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</si>
  <si>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</si>
  <si>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</si>
  <si>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</si>
  <si>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</si>
  <si>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</si>
  <si>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</si>
  <si>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</si>
  <si>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</si>
  <si>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</si>
  <si>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</si>
  <si>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</si>
  <si>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</si>
  <si>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</si>
  <si>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</si>
  <si>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</si>
  <si>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</si>
  <si>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</si>
  <si>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</si>
  <si>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</si>
  <si>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</si>
  <si>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</si>
  <si>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</si>
  <si>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</si>
  <si>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</si>
  <si>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</si>
  <si>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</si>
  <si>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</si>
  <si>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</si>
  <si>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</si>
  <si>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</si>
  <si>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</si>
  <si>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</si>
  <si>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</si>
  <si>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</si>
  <si>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</si>
  <si>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</si>
  <si>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</si>
  <si>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</si>
  <si>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</si>
  <si>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</si>
  <si>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</si>
  <si>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</si>
  <si>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</si>
  <si>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</si>
  <si>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</si>
  <si>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</si>
  <si>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</si>
  <si>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</si>
  <si>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</si>
  <si>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</si>
  <si>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</si>
  <si>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</si>
  <si>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</si>
  <si>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</si>
  <si>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</si>
  <si>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</si>
  <si>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</si>
  <si>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</si>
  <si>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</si>
  <si>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</si>
  <si>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</si>
  <si>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</si>
  <si>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</si>
  <si>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</si>
  <si>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</si>
  <si>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</si>
  <si>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</si>
  <si>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</si>
  <si>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</si>
  <si>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</si>
  <si>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</si>
  <si>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</si>
  <si>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</si>
  <si>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</si>
  <si>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</si>
  <si>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</si>
  <si>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</si>
  <si>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</si>
  <si>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</si>
  <si>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</si>
  <si>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</si>
  <si>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</si>
  <si>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</si>
  <si>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</si>
  <si>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</si>
  <si>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</si>
  <si>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</si>
  <si>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</si>
  <si>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</si>
  <si>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</si>
  <si>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</si>
  <si>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</si>
  <si>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</si>
  <si>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</si>
  <si>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</si>
  <si>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</si>
  <si>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</si>
  <si>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</si>
  <si>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</si>
  <si>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</si>
  <si>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</si>
  <si>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</si>
  <si>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</si>
  <si>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</si>
  <si>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</si>
  <si>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</si>
  <si>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</si>
  <si>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</si>
  <si>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</si>
  <si>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</si>
  <si>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</si>
  <si>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</si>
  <si>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</si>
  <si>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</si>
  <si>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</si>
  <si>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</si>
  <si>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</si>
  <si>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</si>
  <si>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</si>
  <si>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</si>
  <si>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</si>
  <si>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</si>
  <si>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</si>
  <si>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</si>
  <si>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</si>
  <si>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</si>
  <si>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</si>
  <si>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</si>
  <si>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</si>
  <si>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</si>
  <si>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</si>
  <si>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</si>
  <si>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</si>
  <si>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</si>
  <si>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</si>
  <si>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</si>
  <si>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</si>
  <si>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</si>
  <si>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</si>
  <si>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</si>
  <si>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</si>
  <si>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</si>
  <si>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</si>
  <si>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</si>
  <si>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</si>
  <si>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</si>
  <si>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</si>
  <si>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</si>
  <si>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</si>
  <si>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</si>
  <si>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</si>
  <si>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</si>
  <si>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</si>
  <si>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</si>
  <si>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</si>
  <si>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</si>
  <si>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</si>
  <si>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</si>
  <si>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</si>
  <si>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</si>
  <si>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</si>
  <si>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</si>
  <si>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</si>
  <si>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</si>
  <si>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</si>
  <si>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</si>
  <si>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</si>
  <si>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</si>
  <si>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</si>
  <si>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</si>
  <si>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</si>
  <si>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</si>
  <si>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</si>
  <si>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</si>
  <si>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</si>
  <si>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</si>
  <si>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</si>
  <si>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</si>
  <si>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</si>
  <si>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</si>
  <si>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</si>
  <si>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</si>
  <si>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</si>
  <si>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</si>
  <si>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</si>
  <si>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</si>
  <si>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</si>
  <si>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</si>
  <si>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</si>
  <si>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</si>
  <si>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</si>
  <si>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</si>
  <si>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</si>
  <si>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</si>
  <si>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</si>
  <si>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</si>
  <si>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</si>
  <si>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</si>
  <si>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</si>
  <si>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</si>
  <si>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</si>
  <si>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</si>
  <si>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</si>
  <si>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</si>
  <si>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</si>
  <si>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</si>
  <si>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</si>
  <si>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</si>
  <si>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</si>
  <si>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</si>
  <si>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</si>
  <si>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</si>
  <si>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</si>
  <si>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</si>
  <si>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</si>
  <si>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</si>
  <si>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</si>
  <si>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</si>
  <si>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</si>
  <si>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</si>
  <si>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</si>
  <si>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</si>
  <si>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</si>
  <si>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</si>
  <si>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</si>
  <si>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</si>
  <si>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</si>
  <si>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</si>
  <si>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</si>
  <si>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</si>
  <si>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</si>
  <si>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</si>
  <si>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</si>
  <si>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</si>
  <si>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</si>
  <si>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</si>
  <si>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</si>
  <si>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</si>
  <si>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</si>
  <si>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</si>
  <si>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</si>
  <si>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</si>
  <si>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</si>
  <si>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</si>
  <si>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</si>
  <si>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</si>
  <si>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</si>
  <si>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</si>
  <si>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</si>
  <si>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</si>
  <si>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</si>
  <si>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</si>
  <si>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</si>
  <si>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</si>
  <si>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</si>
  <si>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</si>
  <si>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</si>
  <si>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</si>
  <si>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</si>
  <si>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</si>
  <si>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</si>
  <si>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</si>
  <si>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</si>
  <si>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</si>
  <si>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</si>
  <si>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</si>
  <si>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</si>
  <si>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</si>
  <si>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</si>
  <si>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</si>
  <si>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</si>
  <si>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</si>
  <si>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</si>
  <si>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</si>
  <si>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</si>
  <si>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</si>
  <si>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</si>
  <si>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</si>
  <si>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</si>
  <si>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</si>
  <si>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</si>
  <si>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</si>
  <si>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</si>
  <si>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</si>
  <si>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</si>
  <si>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</si>
  <si>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</si>
  <si>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</si>
  <si>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</si>
  <si>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</si>
  <si>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</si>
  <si>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</si>
  <si>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</si>
  <si>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</si>
  <si>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</si>
  <si>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</si>
  <si>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</si>
  <si>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</si>
  <si>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</si>
  <si>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</si>
  <si>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</si>
  <si>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</si>
  <si>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</si>
  <si>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</si>
  <si>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</si>
  <si>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</si>
  <si>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</si>
  <si>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</si>
  <si>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</si>
  <si>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</si>
  <si>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</si>
  <si>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</si>
  <si>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</si>
  <si>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</si>
  <si>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</si>
  <si>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</si>
  <si>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</si>
  <si>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</si>
  <si>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</si>
  <si>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</si>
  <si>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</si>
  <si>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</si>
  <si>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</si>
  <si>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</si>
  <si>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</si>
  <si>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</si>
  <si>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</si>
  <si>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</si>
  <si>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</si>
  <si>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</si>
  <si>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</si>
  <si>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</si>
  <si>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</si>
  <si>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</si>
  <si>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</si>
  <si>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</si>
  <si>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</si>
  <si>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</si>
  <si>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</si>
  <si>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</si>
  <si>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</si>
  <si>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</si>
  <si>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</si>
  <si>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</si>
  <si>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</si>
  <si>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</si>
  <si>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</si>
  <si>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</si>
  <si>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</si>
  <si>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</si>
  <si>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</si>
  <si>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</si>
  <si>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</si>
  <si>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</si>
  <si>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</si>
  <si>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</si>
  <si>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</si>
  <si>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</si>
  <si>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</si>
  <si>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</si>
  <si>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</si>
  <si>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</si>
  <si>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</si>
  <si>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</si>
  <si>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</si>
  <si>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</si>
  <si>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</si>
  <si>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</si>
  <si>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</si>
  <si>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</si>
  <si>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</si>
  <si>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</si>
  <si>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</si>
  <si>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</si>
  <si>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</si>
  <si>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</si>
  <si>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</si>
  <si>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</si>
  <si>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</si>
  <si>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</si>
  <si>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</si>
  <si>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</si>
  <si>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</si>
  <si>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</si>
  <si>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</si>
  <si>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</si>
  <si>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</si>
  <si>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</si>
  <si>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</si>
  <si>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</si>
  <si>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</si>
  <si>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</si>
  <si>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</si>
  <si>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</si>
  <si>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</si>
  <si>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</si>
  <si>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</si>
  <si>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</si>
  <si>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</si>
  <si>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</si>
  <si>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</si>
  <si>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</si>
  <si>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</si>
  <si>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</si>
  <si>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</si>
  <si>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</si>
  <si>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</si>
  <si>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</si>
  <si>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</si>
  <si>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</si>
  <si>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</si>
  <si>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</si>
  <si>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</si>
  <si>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</si>
  <si>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</si>
  <si>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</si>
  <si>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</si>
  <si>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</si>
  <si>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</si>
  <si>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</si>
  <si>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</si>
  <si>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</si>
  <si>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</si>
  <si>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</si>
  <si>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</si>
  <si>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</si>
  <si>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</si>
  <si>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</si>
  <si>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</si>
  <si>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</si>
  <si>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</si>
  <si>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</si>
  <si>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</si>
  <si>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</si>
  <si>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</si>
  <si>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</si>
  <si>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</si>
  <si>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</si>
  <si>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</si>
  <si>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</si>
  <si>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</si>
  <si>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</si>
  <si>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</si>
  <si>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</si>
  <si>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</si>
  <si>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</si>
  <si>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</si>
  <si>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</si>
  <si>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</si>
  <si>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</si>
  <si>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</si>
  <si>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</si>
  <si>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</si>
  <si>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</si>
  <si>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</si>
  <si>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</si>
  <si>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</si>
  <si>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</si>
  <si>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</si>
  <si>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</si>
  <si>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</si>
  <si>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</si>
  <si>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</si>
  <si>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</si>
  <si>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</si>
  <si>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</si>
  <si>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</si>
  <si>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</si>
  <si>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</si>
  <si>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</si>
  <si>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</si>
  <si>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</si>
  <si>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</si>
  <si>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</si>
  <si>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</si>
  <si>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</si>
  <si>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</si>
  <si>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</si>
  <si>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</si>
  <si>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</si>
  <si>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</si>
  <si>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</si>
  <si>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</si>
  <si>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</si>
  <si>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</si>
  <si>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</si>
  <si>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</si>
  <si>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</si>
  <si>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</si>
  <si>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</si>
  <si>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</si>
  <si>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</si>
  <si>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</si>
  <si>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</si>
  <si>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</si>
  <si>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</si>
  <si>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</si>
  <si>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</si>
  <si>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</si>
  <si>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</si>
  <si>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</si>
  <si>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</si>
  <si>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</si>
  <si>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</si>
  <si>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</si>
  <si>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</si>
  <si>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</si>
  <si>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</si>
  <si>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</si>
  <si>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</si>
  <si>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</si>
  <si>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</si>
  <si>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</si>
  <si>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</si>
  <si>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</si>
  <si>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</si>
  <si>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</si>
  <si>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</si>
  <si>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</si>
  <si>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</si>
  <si>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</si>
  <si>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</si>
  <si>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</si>
  <si>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</si>
  <si>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</si>
  <si>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</si>
  <si>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</si>
  <si>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</si>
  <si>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</si>
  <si>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</si>
  <si>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</si>
  <si>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</si>
  <si>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</si>
  <si>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</si>
  <si>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</si>
  <si>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</si>
  <si>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</si>
  <si>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</si>
  <si>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</si>
  <si>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</si>
  <si>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</si>
  <si>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</si>
  <si>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</si>
  <si>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</si>
  <si>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</si>
  <si>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</si>
  <si>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</si>
  <si>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</si>
  <si>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</si>
  <si>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</si>
  <si>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</si>
  <si>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</si>
  <si>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</si>
  <si>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</si>
  <si>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</si>
  <si>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</si>
  <si>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</si>
  <si>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</si>
  <si>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</si>
  <si>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</si>
  <si>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</si>
  <si>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</si>
  <si>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</si>
  <si>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</si>
  <si>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</si>
  <si>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</si>
  <si>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</si>
  <si>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</si>
  <si>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</si>
  <si>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</si>
  <si>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</si>
  <si>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</si>
  <si>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</si>
  <si>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</si>
  <si>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</si>
  <si>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</si>
  <si>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</si>
  <si>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</si>
  <si>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</si>
  <si>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</si>
  <si>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</si>
  <si>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</si>
  <si>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</si>
  <si>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</si>
  <si>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</si>
  <si>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</si>
  <si>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</si>
  <si>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</si>
  <si>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</si>
  <si>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</si>
  <si>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</si>
  <si>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</si>
  <si>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</si>
  <si>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</si>
  <si>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</si>
  <si>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</si>
  <si>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</si>
  <si>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</si>
  <si>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</si>
  <si>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</si>
  <si>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</si>
  <si>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</si>
  <si>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</si>
  <si>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</si>
  <si>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</si>
  <si>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</si>
  <si>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</si>
  <si>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</si>
  <si>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</si>
  <si>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</si>
  <si>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</si>
  <si>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</si>
  <si>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</si>
  <si>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</si>
  <si>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</si>
  <si>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</si>
  <si>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</si>
  <si>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</si>
  <si>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</si>
  <si>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</si>
  <si>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</si>
  <si>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</si>
  <si>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</si>
  <si>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</si>
  <si>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</si>
  <si>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</si>
  <si>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</si>
  <si>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</si>
  <si>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</si>
  <si>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</si>
  <si>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</si>
  <si>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</si>
  <si>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</si>
  <si>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</si>
  <si>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</si>
  <si>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</si>
  <si>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</si>
  <si>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</si>
  <si>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</si>
  <si>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</si>
  <si>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</si>
  <si>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</si>
  <si>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</si>
  <si>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</si>
  <si>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</si>
  <si>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</si>
  <si>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</si>
  <si>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</si>
  <si>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</si>
  <si>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</si>
  <si>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</si>
  <si>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</si>
  <si>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</si>
  <si>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</si>
  <si>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</si>
  <si>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</si>
  <si>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</si>
  <si>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</si>
  <si>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</si>
  <si>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</si>
  <si>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</si>
  <si>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</si>
  <si>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</si>
  <si>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</si>
  <si>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</si>
  <si>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</si>
  <si>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</si>
  <si>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</si>
  <si>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</si>
  <si>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</si>
  <si>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</si>
  <si>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</si>
  <si>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</si>
  <si>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</si>
  <si>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</si>
  <si>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</si>
  <si>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</si>
  <si>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</si>
  <si>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</si>
  <si>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</si>
  <si>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</si>
  <si>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</si>
  <si>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</si>
  <si>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</si>
  <si>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</si>
  <si>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</si>
  <si>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</si>
  <si>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</si>
  <si>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</si>
  <si>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</si>
  <si>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</si>
  <si>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</si>
  <si>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</si>
  <si>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</si>
  <si>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</si>
  <si>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</si>
  <si>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</si>
  <si>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</si>
  <si>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</si>
  <si>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</si>
  <si>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</si>
  <si>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</si>
  <si>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</si>
  <si>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</si>
  <si>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</si>
  <si>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</si>
  <si>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</si>
  <si>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</si>
  <si>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</si>
  <si>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</si>
  <si>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</si>
  <si>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</si>
  <si>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</si>
  <si>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</si>
  <si>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</si>
  <si>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</si>
  <si>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</si>
  <si>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</si>
  <si>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</si>
  <si>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</si>
  <si>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</si>
  <si>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</si>
  <si>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</si>
  <si>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</si>
  <si>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</si>
  <si>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</si>
  <si>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</si>
  <si>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</si>
  <si>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</si>
  <si>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</si>
  <si>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</si>
  <si>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</si>
  <si>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</si>
  <si>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</si>
  <si>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</si>
  <si>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</si>
  <si>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</si>
  <si>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</si>
  <si>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</si>
  <si>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</si>
  <si>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</si>
  <si>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</si>
  <si>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</si>
  <si>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</si>
  <si>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</si>
  <si>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</si>
  <si>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</si>
  <si>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</si>
  <si>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</si>
  <si>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</si>
  <si>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</si>
  <si>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</si>
  <si>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</si>
  <si>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</si>
  <si>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</si>
  <si>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</si>
  <si>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</si>
  <si>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</si>
  <si>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</si>
  <si>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</si>
  <si>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</si>
  <si>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</si>
  <si>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</si>
  <si>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</si>
  <si>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</si>
  <si>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</si>
  <si>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</si>
  <si>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</si>
  <si>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</si>
  <si>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</si>
  <si>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</si>
  <si>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</si>
  <si>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</si>
  <si>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</si>
  <si>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</si>
  <si>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</si>
  <si>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</si>
  <si>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</si>
  <si>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</si>
  <si>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</si>
  <si>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</si>
  <si>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</si>
  <si>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</si>
  <si>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</si>
  <si>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</si>
  <si>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</si>
  <si>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</si>
  <si>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</si>
  <si>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</si>
  <si>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</si>
  <si>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</si>
  <si>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</si>
  <si>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</si>
  <si>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</si>
  <si>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</si>
  <si>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</si>
  <si>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</si>
  <si>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</si>
  <si>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</si>
  <si>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</si>
  <si>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</si>
  <si>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</si>
  <si>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</si>
  <si>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</si>
  <si>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</si>
  <si>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</si>
  <si>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</si>
  <si>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</si>
  <si>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</si>
  <si>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</si>
  <si>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</si>
  <si>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</si>
  <si>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</si>
  <si>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</si>
  <si>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</si>
  <si>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</si>
  <si>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</si>
  <si>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</si>
  <si>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</si>
  <si>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</si>
  <si>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</si>
  <si>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</si>
  <si>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</si>
  <si>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</si>
  <si>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</si>
  <si>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</si>
  <si>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</si>
  <si>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</si>
  <si>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</si>
  <si>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</si>
  <si>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</si>
  <si>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</si>
  <si>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</si>
  <si>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</si>
  <si>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</si>
  <si>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</si>
  <si>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</si>
  <si>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</si>
  <si>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</si>
  <si>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</si>
  <si>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</si>
  <si>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</si>
  <si>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</si>
  <si>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</si>
  <si>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</si>
  <si>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</si>
  <si>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</si>
  <si>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</si>
  <si>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</si>
  <si>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</si>
  <si>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</si>
  <si>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</si>
  <si>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</si>
  <si>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</si>
  <si>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</si>
  <si>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</si>
  <si>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</si>
  <si>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</si>
  <si>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</si>
  <si>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</si>
  <si>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</si>
  <si>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</si>
  <si>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</si>
  <si>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</si>
  <si>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</si>
  <si>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</si>
  <si>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</si>
  <si>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</si>
  <si>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</si>
  <si>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</si>
  <si>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</si>
  <si>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</si>
  <si>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</si>
  <si>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</si>
  <si>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</si>
  <si>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</si>
  <si>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</si>
  <si>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</si>
  <si>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</si>
  <si>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</si>
  <si>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</si>
  <si>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</si>
  <si>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</si>
  <si>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</si>
  <si>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</si>
  <si>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</si>
  <si>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</si>
  <si>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</si>
  <si>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</si>
  <si>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</si>
  <si>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</si>
  <si>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</si>
  <si>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</si>
  <si>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</si>
  <si>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</si>
  <si>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</si>
  <si>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</si>
  <si>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</si>
  <si>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</si>
  <si>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</si>
  <si>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</si>
  <si>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</si>
  <si>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</si>
  <si>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</si>
  <si>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</si>
  <si>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</si>
  <si>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</si>
  <si>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</si>
  <si>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</si>
  <si>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</si>
  <si>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</si>
  <si>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</si>
  <si>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</si>
  <si>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</si>
  <si>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</si>
  <si>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</si>
  <si>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</si>
  <si>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</si>
  <si>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</si>
  <si>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</si>
  <si>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</si>
  <si>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</si>
  <si>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</si>
  <si>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</si>
  <si>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</si>
  <si>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</si>
  <si>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</si>
  <si>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</si>
  <si>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</si>
  <si>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</si>
  <si>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</si>
  <si>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</si>
  <si>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</si>
  <si>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</si>
  <si>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</si>
  <si>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</si>
  <si>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</si>
  <si>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</si>
  <si>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</si>
  <si>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</si>
  <si>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</si>
  <si>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</si>
  <si>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</si>
  <si>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</si>
  <si>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</si>
  <si>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</si>
  <si>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</si>
  <si>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</si>
  <si>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</si>
  <si>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</si>
  <si>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</si>
  <si>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</si>
  <si>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</si>
  <si>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</si>
  <si>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</si>
  <si>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</si>
  <si>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</si>
  <si>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</si>
  <si>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</si>
  <si>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</si>
  <si>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</si>
  <si>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</si>
  <si>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</si>
  <si>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</si>
  <si>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</si>
  <si>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</si>
  <si>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</si>
  <si>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</si>
  <si>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</si>
  <si>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</si>
  <si>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</si>
  <si>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</si>
  <si>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</si>
  <si>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</si>
  <si>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</si>
  <si>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</si>
  <si>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</si>
  <si>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</si>
  <si>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</si>
  <si>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</si>
  <si>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</si>
  <si>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</si>
  <si>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</si>
  <si>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</si>
  <si>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</si>
  <si>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</si>
  <si>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</si>
  <si>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</si>
  <si>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</si>
  <si>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</si>
  <si>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</si>
  <si>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</si>
  <si>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</si>
  <si>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</si>
  <si>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</si>
  <si>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</si>
  <si>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</si>
  <si>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</si>
  <si>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</si>
  <si>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</si>
  <si>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</si>
  <si>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</si>
  <si>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</si>
  <si>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</si>
  <si>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</si>
  <si>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</si>
  <si>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</si>
  <si>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</si>
  <si>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</si>
  <si>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</si>
  <si>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</si>
  <si>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</si>
  <si>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</si>
  <si>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</si>
  <si>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</si>
  <si>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</si>
  <si>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</si>
  <si>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</si>
  <si>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</si>
  <si>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</si>
  <si>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</si>
  <si>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</si>
  <si>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</si>
  <si>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</si>
  <si>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</si>
  <si>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</si>
  <si>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</si>
  <si>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</si>
  <si>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</si>
  <si>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</si>
  <si>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</si>
  <si>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</si>
  <si>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</si>
  <si>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</si>
  <si>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</si>
  <si>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</si>
  <si>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</si>
  <si>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</si>
  <si>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</si>
  <si>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</si>
  <si>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</si>
  <si>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</si>
  <si>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</si>
  <si>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</si>
  <si>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</si>
  <si>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</si>
  <si>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</si>
  <si>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</si>
  <si>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</si>
  <si>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</si>
  <si>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</si>
  <si>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</si>
  <si>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</si>
  <si>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</si>
  <si>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</si>
  <si>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</si>
  <si>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</si>
  <si>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</si>
  <si>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</si>
  <si>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</si>
  <si>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</si>
  <si>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</si>
  <si>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</si>
  <si>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</si>
  <si>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</si>
  <si>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</si>
  <si>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</si>
  <si>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</si>
  <si>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</si>
  <si>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</si>
  <si>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</si>
  <si>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</si>
  <si>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</si>
  <si>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</si>
  <si>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</si>
  <si>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</si>
  <si>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</si>
  <si>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</si>
  <si>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</si>
  <si>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</si>
  <si>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</si>
  <si>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</si>
  <si>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</si>
  <si>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</si>
  <si>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</si>
  <si>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</si>
  <si>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</si>
  <si>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</si>
  <si>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</si>
  <si>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</si>
  <si>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</si>
  <si>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</si>
  <si>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</si>
  <si>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</si>
  <si>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</si>
  <si>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</si>
  <si>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</si>
  <si>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</si>
  <si>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</si>
  <si>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</si>
  <si>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</si>
  <si>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</si>
  <si>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</si>
  <si>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</si>
  <si>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</si>
  <si>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</si>
  <si>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</si>
  <si>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</si>
  <si>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</si>
  <si>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</si>
  <si>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</si>
  <si>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</si>
  <si>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</si>
  <si>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</si>
  <si>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</si>
  <si>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</si>
  <si>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</si>
  <si>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</si>
  <si>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</si>
  <si>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</si>
  <si>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</si>
  <si>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</si>
  <si>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</si>
  <si>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</si>
  <si>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</si>
  <si>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</si>
  <si>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</si>
  <si>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</si>
  <si>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</si>
  <si>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</si>
  <si>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</si>
  <si>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</si>
  <si>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</si>
  <si>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</si>
  <si>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</si>
  <si>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</si>
  <si>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</si>
  <si>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</si>
  <si>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</si>
  <si>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</si>
  <si>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</si>
  <si>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</si>
  <si>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</si>
  <si>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</si>
  <si>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</si>
  <si>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</si>
  <si>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</si>
  <si>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</si>
  <si>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</si>
  <si>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</si>
  <si>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</si>
  <si>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</si>
  <si>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</si>
  <si>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</si>
  <si>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</si>
  <si>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</si>
  <si>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</si>
  <si>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</si>
  <si>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</si>
  <si>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</si>
  <si>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</si>
  <si>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</si>
  <si>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</si>
  <si>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</si>
  <si>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</si>
  <si>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</si>
  <si>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</si>
  <si>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</si>
  <si>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</si>
  <si>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</si>
  <si>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</si>
  <si>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</si>
  <si>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</si>
  <si>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</si>
  <si>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</si>
  <si>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</si>
  <si>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</si>
  <si>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</si>
  <si>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</si>
  <si>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</si>
  <si>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</si>
  <si>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</si>
  <si>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</si>
  <si>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</si>
  <si>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</si>
  <si>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</si>
  <si>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</si>
  <si>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</si>
  <si>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</si>
  <si>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</si>
  <si>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</si>
  <si>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</si>
  <si>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</si>
  <si>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</si>
  <si>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</si>
  <si>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</si>
  <si>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</si>
  <si>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</si>
  <si>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</si>
  <si>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</si>
  <si>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</si>
  <si>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</si>
  <si>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</si>
  <si>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</si>
  <si>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</si>
  <si>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</si>
  <si>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</si>
  <si>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</si>
  <si>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</si>
  <si>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</si>
  <si>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</si>
  <si>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</si>
  <si>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</si>
  <si>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</si>
  <si>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</si>
  <si>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</si>
  <si>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</si>
  <si>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</si>
  <si>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</si>
  <si>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</si>
  <si>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</si>
  <si>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</si>
  <si>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</si>
  <si>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</si>
  <si>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</si>
  <si>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</si>
  <si>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</si>
  <si>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</si>
  <si>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</si>
  <si>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</si>
  <si>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</si>
  <si>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</si>
  <si>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</si>
  <si>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</si>
  <si>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</si>
  <si>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</si>
  <si>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</si>
  <si>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</si>
  <si>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</si>
  <si>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</si>
  <si>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</si>
  <si>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</si>
  <si>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</si>
  <si>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</si>
  <si>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</si>
  <si>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</si>
  <si>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</si>
  <si>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</si>
  <si>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</si>
  <si>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</si>
  <si>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</si>
  <si>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</si>
  <si>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</si>
  <si>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</si>
  <si>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</si>
  <si>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</si>
  <si>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</si>
  <si>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</si>
  <si>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</si>
  <si>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</si>
  <si>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</si>
  <si>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</si>
  <si>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</si>
  <si>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</si>
  <si>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</si>
  <si>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</si>
  <si>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</si>
  <si>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</si>
  <si>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</si>
  <si>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</si>
  <si>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</si>
  <si>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</si>
  <si>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</si>
  <si>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</si>
  <si>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</si>
  <si>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</si>
  <si>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</si>
  <si>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</si>
  <si>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</si>
  <si>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</si>
  <si>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</si>
  <si>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</si>
  <si>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</si>
  <si>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</si>
  <si>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</si>
  <si>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</si>
  <si>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</si>
  <si>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</si>
  <si>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</si>
  <si>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</si>
  <si>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</si>
  <si>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</si>
  <si>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</si>
  <si>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</si>
  <si>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</si>
  <si>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</si>
  <si>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</si>
  <si>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</si>
  <si>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</si>
  <si>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</si>
  <si>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</si>
  <si>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</si>
  <si>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</si>
  <si>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</si>
  <si>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</si>
  <si>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</si>
  <si>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</si>
  <si>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</si>
  <si>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</si>
  <si>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</si>
  <si>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</si>
  <si>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</si>
  <si>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</si>
  <si>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</si>
  <si>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</si>
  <si>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</si>
  <si>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</si>
  <si>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</si>
  <si>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</si>
  <si>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</si>
  <si>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</si>
  <si>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</si>
  <si>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</si>
  <si>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</si>
  <si>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</si>
  <si>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</si>
  <si>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</si>
  <si>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</si>
  <si>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</si>
  <si>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</si>
  <si>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</si>
  <si>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</si>
  <si>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</si>
  <si>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</si>
  <si>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</si>
  <si>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</si>
  <si>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</si>
  <si>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</si>
  <si>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</si>
  <si>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</si>
  <si>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</si>
  <si>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</si>
  <si>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</si>
  <si>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</si>
  <si>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</si>
  <si>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</si>
  <si>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</si>
  <si>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</si>
  <si>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</si>
  <si>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</si>
  <si>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</si>
  <si>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</si>
  <si>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</si>
  <si>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</si>
  <si>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</si>
  <si>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</si>
  <si>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</si>
  <si>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</si>
  <si>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</si>
  <si>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</si>
  <si>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</si>
  <si>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</si>
  <si>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</si>
  <si>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</si>
  <si>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</si>
  <si>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</si>
  <si>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</si>
  <si>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</si>
  <si>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</si>
  <si>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</si>
  <si>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</si>
  <si>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</si>
  <si>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</si>
  <si>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</si>
  <si>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</si>
  <si>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</si>
  <si>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</si>
  <si>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</si>
  <si>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</si>
  <si>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</si>
  <si>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</si>
  <si>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</si>
  <si>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</si>
  <si>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</si>
  <si>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</si>
  <si>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</si>
  <si>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</si>
  <si>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</si>
  <si>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</si>
  <si>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</si>
  <si>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</si>
  <si>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</si>
  <si>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</si>
  <si>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</si>
  <si>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</si>
  <si>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</si>
  <si>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</si>
  <si>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</si>
  <si>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</si>
  <si>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</si>
  <si>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</si>
  <si>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</si>
  <si>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</si>
  <si>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</si>
  <si>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</si>
  <si>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</si>
  <si>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</si>
  <si>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</si>
  <si>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</si>
  <si>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</si>
  <si>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</si>
  <si>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</si>
  <si>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</si>
  <si>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</si>
  <si>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</si>
  <si>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</si>
  <si>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</si>
  <si>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</si>
  <si>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</si>
  <si>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</si>
  <si>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</si>
  <si>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</si>
  <si>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</si>
  <si>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</si>
  <si>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</si>
  <si>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</si>
  <si>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</si>
  <si>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</si>
  <si>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</si>
  <si>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</si>
  <si>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</si>
  <si>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</si>
  <si>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</si>
  <si>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</si>
  <si>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</si>
  <si>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</si>
  <si>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</si>
  <si>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</si>
  <si>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</si>
  <si>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</si>
  <si>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</si>
  <si>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</si>
  <si>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</si>
  <si>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</si>
  <si>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</si>
  <si>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</si>
  <si>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</si>
  <si>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</si>
  <si>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</si>
  <si>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</si>
  <si>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</si>
  <si>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</si>
  <si>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</si>
  <si>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</si>
  <si>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</si>
  <si>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</si>
  <si>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</si>
  <si>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</si>
  <si>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</si>
  <si>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</si>
  <si>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</si>
  <si>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</si>
  <si>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</si>
  <si>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</si>
  <si>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</si>
  <si>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</si>
  <si>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</si>
  <si>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</si>
  <si>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</si>
  <si>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</si>
  <si>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 xml:space="preserve"> 事前登錄</t>
    <phoneticPr fontId="2" type="noConversion"/>
  </si>
  <si>
    <t>星輝*888+星空招募券*20+金幣*88888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</si>
  <si>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</si>
  <si>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</si>
  <si>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</si>
  <si>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</si>
  <si>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</si>
  <si>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</si>
  <si>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</si>
  <si>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</si>
  <si>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</si>
  <si>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</si>
  <si>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</si>
  <si>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</si>
  <si>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</si>
  <si>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</si>
  <si>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</si>
  <si>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</si>
  <si>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</si>
  <si>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</si>
  <si>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</si>
  <si>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</si>
  <si>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</si>
  <si>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</si>
  <si>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</si>
  <si>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</si>
  <si>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</si>
  <si>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</si>
  <si>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</si>
  <si>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</si>
  <si>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</si>
  <si>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</si>
  <si>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</si>
  <si>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</si>
  <si>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</si>
  <si>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</si>
  <si>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</si>
  <si>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</si>
  <si>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</si>
  <si>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</si>
  <si>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</si>
  <si>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</si>
  <si>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</si>
  <si>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</si>
  <si>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</si>
  <si>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</si>
  <si>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</si>
  <si>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</si>
  <si>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</si>
  <si>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</si>
  <si>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</si>
  <si>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</si>
  <si>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</si>
  <si>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</si>
  <si>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</si>
  <si>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</si>
  <si>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</si>
  <si>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</si>
  <si>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</si>
  <si>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</si>
  <si>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</si>
  <si>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</si>
  <si>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曹操不囉嗦</t>
  </si>
  <si>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</si>
  <si>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</si>
  <si>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</si>
  <si>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</si>
  <si>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</si>
  <si>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</si>
  <si>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</si>
  <si>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</si>
  <si>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</si>
  <si>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</si>
  <si>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</si>
  <si>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</si>
  <si>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</si>
  <si>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</si>
  <si>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</si>
  <si>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</si>
  <si>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</si>
  <si>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</si>
  <si>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ROW:AUNCH</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</si>
  <si>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</si>
  <si>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</si>
  <si>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</si>
  <si>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</si>
  <si>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</si>
  <si>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</si>
  <si>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</si>
  <si>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</si>
  <si>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</si>
  <si>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</si>
  <si>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</si>
  <si>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</si>
  <si>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</si>
  <si>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</si>
  <si>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</si>
  <si>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</si>
  <si>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</si>
  <si>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</si>
  <si>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</si>
  <si>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</si>
  <si>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</si>
  <si>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</si>
  <si>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</si>
  <si>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</si>
  <si>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</si>
  <si>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</si>
  <si>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</si>
  <si>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r>
      <t>RO</t>
    </r>
    <r>
      <rPr>
        <sz val="10"/>
        <color theme="1"/>
        <rFont val="細明體"/>
        <family val="3"/>
        <charset val="136"/>
      </rPr>
      <t>：世界之旅</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</si>
</sst>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printerSettings" Target="../printerSettings/printerSettings1.bin"/><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B318" activePane="bottomRight" state="frozen"/>
      <selection pane="topRight" activeCell="B1" sqref="B1"/>
      <selection pane="bottomLeft" activeCell="A2" sqref="A2"/>
      <selection pane="bottomRight" activeCell="A329" sqref="A329"/>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0" si="14">IF(A312="", "", "gift-codes.html?game=" &amp; A312)</f>
        <v>gift-codes.html?game=英雄來搞鬼</v>
      </c>
      <c r="G312" s="2" t="s">
        <v>5734</v>
      </c>
      <c r="H312" s="38" t="str">
        <f t="shared" ref="H312:H370"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29" ht="22.5" customHeight="1" thickBot="1">
      <c r="A321" s="83" t="s">
        <v>5953</v>
      </c>
      <c r="C321" s="37" t="s">
        <v>5927</v>
      </c>
      <c r="D321" s="37" t="s">
        <v>5927</v>
      </c>
      <c r="E321" s="38" t="s">
        <v>5928</v>
      </c>
      <c r="F321" s="37" t="str">
        <f t="shared" si="14"/>
        <v>gift-codes.html?game=放置法陣</v>
      </c>
      <c r="G321" s="2" t="s">
        <v>5933</v>
      </c>
      <c r="H321" s="38" t="str">
        <f t="shared" si="15"/>
        <v>https://www.ssbuy.tw/game-detail.html?game=放置法陣</v>
      </c>
      <c r="I321" s="39" t="s">
        <v>5952</v>
      </c>
      <c r="J321" s="2" t="s">
        <v>5424</v>
      </c>
      <c r="K321" s="88" t="s">
        <v>5454</v>
      </c>
      <c r="L321" s="1" t="s">
        <v>5958</v>
      </c>
      <c r="M321" s="59">
        <v>2987</v>
      </c>
      <c r="N321" s="1" t="s">
        <v>61</v>
      </c>
      <c r="O321" s="59">
        <v>1517</v>
      </c>
      <c r="P321" s="1" t="s">
        <v>5959</v>
      </c>
      <c r="Q321" s="59">
        <v>616</v>
      </c>
      <c r="R321" s="1" t="s">
        <v>3978</v>
      </c>
      <c r="S321" s="59">
        <v>308</v>
      </c>
      <c r="T321" s="1" t="s">
        <v>5960</v>
      </c>
      <c r="U321" s="59">
        <v>161</v>
      </c>
      <c r="V321" s="1" t="s">
        <v>4760</v>
      </c>
      <c r="W321" s="59">
        <v>65</v>
      </c>
      <c r="X321" s="1" t="s">
        <v>3730</v>
      </c>
      <c r="Y321" s="59">
        <v>308</v>
      </c>
      <c r="Z321" s="1" t="s">
        <v>5909</v>
      </c>
      <c r="AA321" s="59">
        <v>294</v>
      </c>
      <c r="AB321" s="1" t="s">
        <v>107</v>
      </c>
      <c r="AC321" s="59">
        <v>161</v>
      </c>
    </row>
    <row r="322" spans="1:29" ht="22.5" customHeight="1" thickBot="1">
      <c r="A322" s="59" t="s">
        <v>5932</v>
      </c>
      <c r="C322" s="37" t="s">
        <v>5931</v>
      </c>
      <c r="D322" s="38" t="s">
        <v>5930</v>
      </c>
      <c r="E322" s="38" t="s">
        <v>5929</v>
      </c>
      <c r="F322" s="37" t="str">
        <f t="shared" si="14"/>
        <v>gift-codes.html?game=魔導少年 魔導士編年史</v>
      </c>
      <c r="G322" s="2" t="s">
        <v>5934</v>
      </c>
      <c r="H322" s="38" t="str">
        <f t="shared" si="15"/>
        <v>https://www.ssbuy.tw/game-detail.html?game=魔導少年 魔導士編年史</v>
      </c>
      <c r="I322" s="39" t="s">
        <v>5935</v>
      </c>
      <c r="J322" s="2" t="s">
        <v>5424</v>
      </c>
      <c r="K322" s="88" t="s">
        <v>5454</v>
      </c>
      <c r="L322" s="1" t="s">
        <v>4167</v>
      </c>
      <c r="M322" s="59">
        <v>2635</v>
      </c>
      <c r="N322" s="1" t="s">
        <v>5987</v>
      </c>
      <c r="O322" s="59">
        <v>1337</v>
      </c>
      <c r="P322" s="1" t="s">
        <v>4710</v>
      </c>
      <c r="Q322" s="59">
        <v>625</v>
      </c>
      <c r="R322" s="1" t="s">
        <v>5988</v>
      </c>
      <c r="S322" s="59">
        <v>290</v>
      </c>
      <c r="T322" s="1" t="s">
        <v>27</v>
      </c>
      <c r="U322" s="59">
        <v>87</v>
      </c>
      <c r="V322" s="1" t="s">
        <v>5989</v>
      </c>
      <c r="W322" s="59">
        <v>29</v>
      </c>
      <c r="X322" s="1" t="s">
        <v>5990</v>
      </c>
      <c r="Y322" s="59">
        <v>290</v>
      </c>
      <c r="Z322" s="1" t="s">
        <v>5991</v>
      </c>
      <c r="AA322" s="59">
        <v>897</v>
      </c>
      <c r="AB322" s="1" t="s">
        <v>5992</v>
      </c>
      <c r="AC322" s="59">
        <v>290</v>
      </c>
    </row>
    <row r="323" spans="1:29" ht="22.5" customHeight="1" thickBot="1">
      <c r="A323" s="83" t="s">
        <v>5949</v>
      </c>
      <c r="C323" s="37" t="s">
        <v>5942</v>
      </c>
      <c r="D323" s="38" t="s">
        <v>5941</v>
      </c>
      <c r="E323" s="2" t="s">
        <v>5947</v>
      </c>
      <c r="F323" s="37" t="str">
        <f t="shared" si="14"/>
        <v>gift-codes.html?game=獵風傳說：石器大作戰</v>
      </c>
      <c r="G323" s="38" t="s">
        <v>5948</v>
      </c>
      <c r="H323" s="38" t="str">
        <f t="shared" si="15"/>
        <v>https://www.ssbuy.tw/game-detail.html?game=獵風傳說：石器大作戰</v>
      </c>
      <c r="I323" s="39" t="s">
        <v>5950</v>
      </c>
      <c r="J323" s="2" t="s">
        <v>5424</v>
      </c>
      <c r="K323" s="88" t="s">
        <v>5454</v>
      </c>
      <c r="L323" s="1" t="s">
        <v>5961</v>
      </c>
      <c r="M323" s="59">
        <v>2899</v>
      </c>
      <c r="N323" s="1" t="s">
        <v>5962</v>
      </c>
      <c r="O323" s="59">
        <v>1517</v>
      </c>
      <c r="P323" s="1" t="s">
        <v>5963</v>
      </c>
      <c r="Q323" s="59">
        <v>897</v>
      </c>
      <c r="R323" s="1" t="s">
        <v>5964</v>
      </c>
      <c r="S323" s="59">
        <v>761</v>
      </c>
      <c r="T323" s="1" t="s">
        <v>5965</v>
      </c>
      <c r="U323" s="59">
        <v>607</v>
      </c>
      <c r="V323" s="1" t="s">
        <v>5966</v>
      </c>
      <c r="W323" s="59">
        <v>444</v>
      </c>
      <c r="X323" s="1" t="s">
        <v>5967</v>
      </c>
      <c r="Y323" s="59">
        <v>299</v>
      </c>
      <c r="Z323" s="1" t="s">
        <v>5968</v>
      </c>
      <c r="AA323" s="59">
        <v>161</v>
      </c>
      <c r="AB323" s="1" t="s">
        <v>5969</v>
      </c>
      <c r="AC323" s="59">
        <v>32</v>
      </c>
    </row>
    <row r="324" spans="1:29" ht="22.5" customHeight="1" thickBot="1">
      <c r="A324" s="83" t="s">
        <v>5954</v>
      </c>
      <c r="C324" s="37" t="s">
        <v>5944</v>
      </c>
      <c r="D324" s="38" t="s">
        <v>5943</v>
      </c>
      <c r="E324" s="38" t="s">
        <v>5945</v>
      </c>
      <c r="F324" s="37" t="str">
        <f t="shared" si="14"/>
        <v>gift-codes.html?game=依露希爾</v>
      </c>
      <c r="G324" s="38" t="s">
        <v>5946</v>
      </c>
      <c r="H324" s="38" t="str">
        <f t="shared" si="15"/>
        <v>https://www.ssbuy.tw/game-detail.html?game=依露希爾</v>
      </c>
      <c r="I324" s="39" t="s">
        <v>5951</v>
      </c>
      <c r="J324" s="2" t="s">
        <v>5424</v>
      </c>
      <c r="K324" s="88" t="s">
        <v>5454</v>
      </c>
      <c r="L324" s="1" t="s">
        <v>5961</v>
      </c>
      <c r="M324" s="59">
        <v>2899</v>
      </c>
      <c r="N324" s="1" t="s">
        <v>5962</v>
      </c>
      <c r="O324" s="59">
        <v>1517</v>
      </c>
      <c r="P324" s="1" t="s">
        <v>5963</v>
      </c>
      <c r="Q324" s="59">
        <v>897</v>
      </c>
      <c r="R324" s="1" t="s">
        <v>5964</v>
      </c>
      <c r="S324" s="59">
        <v>761</v>
      </c>
      <c r="T324" s="1" t="s">
        <v>5965</v>
      </c>
      <c r="U324" s="59">
        <v>607</v>
      </c>
      <c r="V324" s="1" t="s">
        <v>5966</v>
      </c>
      <c r="W324" s="59">
        <v>444</v>
      </c>
      <c r="X324" s="1" t="s">
        <v>5967</v>
      </c>
      <c r="Y324" s="59">
        <v>299</v>
      </c>
      <c r="Z324" s="1" t="s">
        <v>5968</v>
      </c>
      <c r="AA324" s="59">
        <v>161</v>
      </c>
      <c r="AB324" s="1" t="s">
        <v>5969</v>
      </c>
      <c r="AC324" s="59">
        <v>32</v>
      </c>
    </row>
    <row r="325" spans="1:29" ht="22.5" customHeight="1" thickBot="1">
      <c r="A325" s="37" t="s">
        <v>5986</v>
      </c>
      <c r="C325" s="37" t="s">
        <v>5971</v>
      </c>
      <c r="D325" s="38" t="s">
        <v>5972</v>
      </c>
      <c r="E325" s="38" t="s">
        <v>5970</v>
      </c>
      <c r="F325" s="37" t="str">
        <f t="shared" si="14"/>
        <v>gift-codes.html?game=契約吧！精靈少女</v>
      </c>
      <c r="G325" s="2" t="s">
        <v>5977</v>
      </c>
      <c r="H325" s="38" t="str">
        <f t="shared" si="15"/>
        <v>https://www.ssbuy.tw/game-detail.html?game=契約吧！精靈少女</v>
      </c>
      <c r="I325" s="39" t="s">
        <v>5978</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29" ht="22.5" customHeight="1" thickBot="1">
      <c r="A326" s="59" t="s">
        <v>6018</v>
      </c>
      <c r="C326" s="37" t="s">
        <v>6041</v>
      </c>
      <c r="D326" s="38" t="s">
        <v>6042</v>
      </c>
      <c r="E326" s="38" t="s">
        <v>6044</v>
      </c>
      <c r="F326" s="37" t="str">
        <f t="shared" si="14"/>
        <v>gift-codes.html?game=曹操不囉嗦</v>
      </c>
      <c r="G326" s="38" t="s">
        <v>6043</v>
      </c>
      <c r="H326" s="38" t="str">
        <f t="shared" si="15"/>
        <v>https://www.ssbuy.tw/game-detail.html?game=曹操不囉嗦</v>
      </c>
      <c r="J326" s="2" t="s">
        <v>5424</v>
      </c>
      <c r="K326" s="88" t="s">
        <v>5454</v>
      </c>
    </row>
    <row r="327" spans="1:29" ht="22.5" customHeight="1" thickBot="1">
      <c r="A327" s="59" t="s">
        <v>6019</v>
      </c>
      <c r="C327" s="37" t="s">
        <v>6045</v>
      </c>
      <c r="D327" s="38" t="s">
        <v>6046</v>
      </c>
      <c r="E327" s="38" t="s">
        <v>6047</v>
      </c>
      <c r="F327" s="37" t="str">
        <f t="shared" si="14"/>
        <v>gift-codes.html?game=江湖有詭</v>
      </c>
      <c r="G327" s="38" t="s">
        <v>6048</v>
      </c>
      <c r="H327" s="38" t="str">
        <f t="shared" si="15"/>
        <v>https://www.ssbuy.tw/game-detail.html?game=江湖有詭</v>
      </c>
      <c r="J327" s="2" t="s">
        <v>5424</v>
      </c>
      <c r="K327" s="88" t="s">
        <v>5454</v>
      </c>
    </row>
    <row r="328" spans="1:29" ht="22.5" customHeight="1" thickBot="1">
      <c r="A328" s="59" t="s">
        <v>6020</v>
      </c>
      <c r="C328" s="37" t="s">
        <v>6049</v>
      </c>
      <c r="D328" s="38" t="s">
        <v>6050</v>
      </c>
      <c r="E328" s="38" t="s">
        <v>6051</v>
      </c>
      <c r="F328" s="37" t="str">
        <f t="shared" si="14"/>
        <v>gift-codes.html?game=將軍請息怒</v>
      </c>
      <c r="G328" s="38" t="s">
        <v>6052</v>
      </c>
      <c r="H328" s="38" t="str">
        <f t="shared" si="15"/>
        <v>https://www.ssbuy.tw/game-detail.html?game=將軍請息怒</v>
      </c>
      <c r="J328" s="2" t="s">
        <v>5424</v>
      </c>
      <c r="K328" s="88" t="s">
        <v>5454</v>
      </c>
    </row>
    <row r="329" spans="1:29" ht="22.5" customHeight="1" thickBot="1">
      <c r="A329" s="59" t="s">
        <v>6065</v>
      </c>
      <c r="C329" s="37" t="s">
        <v>6053</v>
      </c>
      <c r="D329" s="38" t="s">
        <v>6055</v>
      </c>
      <c r="E329" s="38" t="s">
        <v>6054</v>
      </c>
      <c r="F329" s="37" t="str">
        <f t="shared" si="14"/>
        <v>gift-codes.html?game=RO：世界之旅</v>
      </c>
      <c r="G329" s="38" t="s">
        <v>6056</v>
      </c>
      <c r="H329" s="38" t="str">
        <f t="shared" si="15"/>
        <v>https://www.ssbuy.tw/game-detail.html?game=RO：世界之旅</v>
      </c>
      <c r="J329" s="2" t="s">
        <v>5424</v>
      </c>
      <c r="K329" s="88" t="s">
        <v>5454</v>
      </c>
    </row>
    <row r="330" spans="1:29" ht="22.5" customHeight="1" thickBot="1">
      <c r="A330" s="59" t="s">
        <v>6021</v>
      </c>
      <c r="C330" s="37" t="s">
        <v>6057</v>
      </c>
      <c r="D330" s="38" t="s">
        <v>6058</v>
      </c>
      <c r="E330" s="38" t="s">
        <v>6059</v>
      </c>
      <c r="F330" s="37" t="str">
        <f t="shared" si="14"/>
        <v>gift-codes.html?game=燕雲十六聲</v>
      </c>
      <c r="G330" s="38" t="s">
        <v>6060</v>
      </c>
      <c r="H330" s="38" t="str">
        <f t="shared" si="15"/>
        <v>https://www.ssbuy.tw/game-detail.html?game=燕雲十六聲</v>
      </c>
      <c r="J330" s="2" t="s">
        <v>5424</v>
      </c>
      <c r="K330" s="88" t="s">
        <v>5454</v>
      </c>
    </row>
    <row r="331" spans="1:29" ht="22.5" customHeight="1" thickBot="1">
      <c r="A331" s="59" t="s">
        <v>6022</v>
      </c>
      <c r="C331" s="37" t="s">
        <v>6063</v>
      </c>
      <c r="D331" s="38" t="s">
        <v>6064</v>
      </c>
      <c r="E331" s="38" t="s">
        <v>6062</v>
      </c>
      <c r="F331" s="37" t="str">
        <f t="shared" si="14"/>
        <v>gift-codes.html?game=99強化木棒</v>
      </c>
      <c r="G331" s="38" t="s">
        <v>6061</v>
      </c>
      <c r="H331" s="38" t="str">
        <f t="shared" si="15"/>
        <v>https://www.ssbuy.tw/game-detail.html?game=99強化木棒</v>
      </c>
      <c r="J331" s="2" t="s">
        <v>5424</v>
      </c>
      <c r="K331" s="88" t="s">
        <v>5454</v>
      </c>
    </row>
    <row r="332" spans="1:29" ht="22.5" customHeight="1">
      <c r="F332" s="37" t="str">
        <f t="shared" si="14"/>
        <v/>
      </c>
      <c r="H332" s="38" t="str">
        <f t="shared" si="15"/>
        <v/>
      </c>
    </row>
    <row r="333" spans="1:29" ht="22.5" customHeight="1">
      <c r="F333" s="37" t="str">
        <f t="shared" si="14"/>
        <v/>
      </c>
      <c r="H333" s="38" t="str">
        <f t="shared" si="15"/>
        <v/>
      </c>
    </row>
    <row r="334" spans="1:29" ht="22.5" customHeight="1">
      <c r="F334" s="37" t="str">
        <f t="shared" si="14"/>
        <v/>
      </c>
      <c r="H334" s="38" t="str">
        <f t="shared" si="15"/>
        <v/>
      </c>
    </row>
    <row r="335" spans="1:29" ht="22.5" customHeight="1">
      <c r="F335" s="37" t="str">
        <f t="shared" si="14"/>
        <v/>
      </c>
      <c r="H335" s="38" t="str">
        <f t="shared" si="15"/>
        <v/>
      </c>
    </row>
    <row r="336" spans="1:29"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ref="F371:F434" si="16">IF(A371="", "", "gift-codes.html?game=" &amp; A371)</f>
        <v/>
      </c>
      <c r="H371" s="38" t="str">
        <f t="shared" ref="H371:H434" si="17">IF(A371="", "", "https://www.ssbuy.tw/game-detail.html?game="&amp;A371)</f>
        <v/>
      </c>
    </row>
    <row r="372" spans="6:8" ht="22.5" customHeight="1">
      <c r="F372" s="37" t="str">
        <f t="shared" si="16"/>
        <v/>
      </c>
      <c r="H372" s="38" t="str">
        <f t="shared" si="17"/>
        <v/>
      </c>
    </row>
    <row r="373" spans="6:8" ht="22.5" customHeight="1">
      <c r="F373" s="37" t="str">
        <f t="shared" si="16"/>
        <v/>
      </c>
      <c r="H373" s="38" t="str">
        <f t="shared" si="17"/>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c r="F427" s="37" t="str">
        <f t="shared" si="16"/>
        <v/>
      </c>
      <c r="H427" s="38" t="str">
        <f t="shared" si="17"/>
        <v/>
      </c>
    </row>
    <row r="428" spans="6:8">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ref="F435:F498" si="18">IF(A435="", "", "gift-codes.html?game=" &amp; A435)</f>
        <v/>
      </c>
      <c r="H435" s="38" t="str">
        <f t="shared" ref="H435:H498" si="19">IF(A435="", "", "https://www.ssbuy.tw/game-detail.html?game="&amp;A435)</f>
        <v/>
      </c>
    </row>
    <row r="436" spans="6:8">
      <c r="F436" s="37" t="str">
        <f t="shared" si="18"/>
        <v/>
      </c>
      <c r="H436" s="38" t="str">
        <f t="shared" si="19"/>
        <v/>
      </c>
    </row>
    <row r="437" spans="6:8">
      <c r="F437" s="37" t="str">
        <f t="shared" si="18"/>
        <v/>
      </c>
      <c r="H437" s="38" t="str">
        <f t="shared" si="19"/>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ref="F499:F562" si="20">IF(A499="", "", "gift-codes.html?game=" &amp; A499)</f>
        <v/>
      </c>
      <c r="H499" s="38" t="str">
        <f t="shared" ref="H499:H562" si="21">IF(A499="", "", "https://www.ssbuy.tw/game-detail.html?game="&amp;A499)</f>
        <v/>
      </c>
    </row>
    <row r="500" spans="6:8">
      <c r="F500" s="37" t="str">
        <f t="shared" si="20"/>
        <v/>
      </c>
      <c r="H500" s="38" t="str">
        <f t="shared" si="21"/>
        <v/>
      </c>
    </row>
    <row r="501" spans="6:8">
      <c r="F501" s="37" t="str">
        <f t="shared" si="20"/>
        <v/>
      </c>
      <c r="H501" s="38" t="str">
        <f t="shared" si="21"/>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IF(A563="", "", "gift-codes.html?game=" &amp; A563)</f>
        <v/>
      </c>
      <c r="H563" s="38" t="str">
        <f t="shared" ref="H563:H621" si="22">IF(A563="", "", "https://www.ssbuy.tw/game-detail.html?game="&amp;A563)</f>
        <v/>
      </c>
    </row>
    <row r="564" spans="6:8">
      <c r="F564" s="37" t="str">
        <f>IF(A564="", "", "gift-codes.html?game=" &amp; A564)</f>
        <v/>
      </c>
      <c r="H564" s="38" t="str">
        <f t="shared" si="22"/>
        <v/>
      </c>
    </row>
    <row r="565" spans="6:8">
      <c r="F565" s="37" t="str">
        <f>IF(A565="", "", "gift-codes.html?game=" &amp; A565)</f>
        <v/>
      </c>
      <c r="H565" s="38" t="str">
        <f t="shared" si="22"/>
        <v/>
      </c>
    </row>
    <row r="566" spans="6:8">
      <c r="H566" s="38" t="str">
        <f t="shared" si="22"/>
        <v/>
      </c>
    </row>
    <row r="567" spans="6:8">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s>
  <pageMargins left="0.7" right="0.7" top="0.75" bottom="0.75" header="0.3" footer="0.3"/>
  <pageSetup paperSize="9" orientation="portrait" r:id="rId29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29"/>
  <sheetViews>
    <sheetView workbookViewId="0">
      <pane xSplit="1" ySplit="1" topLeftCell="M323" activePane="bottomRight" state="frozen"/>
      <selection pane="topRight" activeCell="B1" sqref="B1"/>
      <selection pane="bottomLeft" activeCell="A2" sqref="A2"/>
      <selection pane="bottomRight" activeCell="A331" sqref="A331:XFD331"/>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0" si="14">IF(A312="","", "giftcodesbanner/" &amp; A312 &amp; "-禮包碼.jpg")</f>
        <v>giftcodesbanner/英雄來搞鬼-禮包碼.jpg</v>
      </c>
      <c r="D312" s="10" t="str">
        <f t="shared" ref="D312:D370"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5936</v>
      </c>
      <c r="W316" s="15" t="s">
        <v>5937</v>
      </c>
      <c r="Y316" s="15" t="s">
        <v>5938</v>
      </c>
      <c r="AA316" s="15" t="s">
        <v>5939</v>
      </c>
      <c r="AC316" s="15" t="s">
        <v>5940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49">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5984</v>
      </c>
      <c r="G321" s="10" t="s">
        <v>5985</v>
      </c>
      <c r="H321" s="10" t="s">
        <v>5857</v>
      </c>
      <c r="K321" s="89" t="s">
        <v>5510</v>
      </c>
      <c r="L321" s="10" t="s">
        <v>5511</v>
      </c>
      <c r="M321" s="15" t="s">
        <v>5982</v>
      </c>
      <c r="N321" s="10" t="s">
        <v>5983</v>
      </c>
    </row>
    <row r="322" spans="1:49">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49">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6015</v>
      </c>
      <c r="G323" s="10" t="s">
        <v>6016</v>
      </c>
      <c r="H323" s="10" t="s">
        <v>6017</v>
      </c>
      <c r="I323" s="10" t="s">
        <v>5857</v>
      </c>
      <c r="K323" s="89" t="s">
        <v>5510</v>
      </c>
      <c r="L323" s="10" t="s">
        <v>5511</v>
      </c>
      <c r="M323" s="15" t="s">
        <v>5979</v>
      </c>
      <c r="O323" s="15" t="s">
        <v>5980</v>
      </c>
      <c r="Q323" s="15" t="s">
        <v>5981</v>
      </c>
      <c r="S323" s="15" t="s">
        <v>5994</v>
      </c>
      <c r="U323" s="15" t="s">
        <v>5993</v>
      </c>
      <c r="W323" s="15" t="s">
        <v>5995</v>
      </c>
      <c r="Y323" s="15" t="s">
        <v>5996</v>
      </c>
      <c r="Z323" s="10" t="s">
        <v>6000</v>
      </c>
      <c r="AA323" s="15" t="s">
        <v>5997</v>
      </c>
      <c r="AC323" s="15" t="s">
        <v>5998</v>
      </c>
      <c r="AE323" s="15" t="s">
        <v>5999</v>
      </c>
      <c r="AG323" s="15" t="s">
        <v>6001</v>
      </c>
      <c r="AH323" s="10" t="s">
        <v>6003</v>
      </c>
      <c r="AI323" s="15" t="s">
        <v>6002</v>
      </c>
      <c r="AJ323" s="10" t="s">
        <v>6003</v>
      </c>
      <c r="AK323" s="15" t="s">
        <v>4074</v>
      </c>
      <c r="AL323" s="10" t="s">
        <v>6003</v>
      </c>
      <c r="AM323" s="15" t="s">
        <v>6004</v>
      </c>
      <c r="AO323" s="15" t="s">
        <v>6005</v>
      </c>
      <c r="AQ323" s="15" t="s">
        <v>6006</v>
      </c>
      <c r="AS323" s="15" t="s">
        <v>6007</v>
      </c>
      <c r="AU323" s="15" t="s">
        <v>6008</v>
      </c>
      <c r="AW323" s="15" t="s">
        <v>6009</v>
      </c>
    </row>
    <row r="324" spans="1:49">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6011</v>
      </c>
      <c r="G324" s="10" t="s">
        <v>6012</v>
      </c>
      <c r="H324" s="10" t="s">
        <v>6013</v>
      </c>
      <c r="I324" s="10" t="s">
        <v>6014</v>
      </c>
      <c r="J324" s="10" t="s">
        <v>5857</v>
      </c>
      <c r="K324" s="89" t="s">
        <v>5510</v>
      </c>
      <c r="L324" s="10" t="s">
        <v>5511</v>
      </c>
      <c r="M324" s="15" t="s">
        <v>5955</v>
      </c>
      <c r="N324" s="10" t="s">
        <v>6010</v>
      </c>
      <c r="O324" s="15" t="s">
        <v>5956</v>
      </c>
      <c r="P324" s="10" t="s">
        <v>5957</v>
      </c>
    </row>
    <row r="325" spans="1:49">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5973</v>
      </c>
      <c r="N325" s="10" t="s">
        <v>5976</v>
      </c>
      <c r="O325" s="15" t="s">
        <v>5974</v>
      </c>
      <c r="P325" s="10" t="s">
        <v>5976</v>
      </c>
      <c r="Q325" s="15" t="s">
        <v>5975</v>
      </c>
      <c r="R325" s="10" t="s">
        <v>5976</v>
      </c>
    </row>
    <row r="326" spans="1:49">
      <c r="A326" s="10" t="str">
        <f>IF(games!A326="", "", games!A326)</f>
        <v>曹操不囉嗦</v>
      </c>
      <c r="C326" s="10" t="str">
        <f t="shared" si="14"/>
        <v>giftcodesbanner/曹操不囉嗦-禮包碼.jpg</v>
      </c>
      <c r="D326" s="10" t="str">
        <f t="shared" si="15"/>
        <v>https://www.ssbuy.tw/gift-codes.html?game=曹操不囉嗦</v>
      </c>
      <c r="E326" s="11" t="str">
        <f>IF(games!I326&lt;&gt;"", games!I326, "")</f>
        <v/>
      </c>
      <c r="K326" s="89" t="s">
        <v>5510</v>
      </c>
      <c r="L326" s="10" t="s">
        <v>5511</v>
      </c>
    </row>
    <row r="327" spans="1:49">
      <c r="A327" s="10" t="str">
        <f>IF(games!A327="", "", games!A327)</f>
        <v>江湖有詭</v>
      </c>
      <c r="C327" s="10" t="str">
        <f t="shared" si="14"/>
        <v>giftcodesbanner/江湖有詭-禮包碼.jpg</v>
      </c>
      <c r="D327" s="10" t="str">
        <f t="shared" si="15"/>
        <v>https://www.ssbuy.tw/gift-codes.html?game=江湖有詭</v>
      </c>
      <c r="E327" s="11" t="str">
        <f>IF(games!I327&lt;&gt;"", games!I327, "")</f>
        <v/>
      </c>
      <c r="K327" s="89" t="s">
        <v>5510</v>
      </c>
      <c r="L327" s="10" t="s">
        <v>5511</v>
      </c>
      <c r="M327" s="15">
        <v>666666</v>
      </c>
      <c r="O327" s="15">
        <v>7777777</v>
      </c>
      <c r="Q327" s="15">
        <v>88888888</v>
      </c>
      <c r="S327" s="15" t="s">
        <v>6023</v>
      </c>
      <c r="U327" s="15" t="s">
        <v>6024</v>
      </c>
      <c r="W327" s="15" t="s">
        <v>6025</v>
      </c>
      <c r="Y327" s="15" t="s">
        <v>6026</v>
      </c>
      <c r="AA327" s="15" t="s">
        <v>6027</v>
      </c>
      <c r="AC327" s="15" t="s">
        <v>6028</v>
      </c>
      <c r="AE327" s="15" t="s">
        <v>6029</v>
      </c>
      <c r="AG327" s="15" t="s">
        <v>6030</v>
      </c>
      <c r="AI327" s="15" t="s">
        <v>6031</v>
      </c>
      <c r="AK327" s="15" t="s">
        <v>6032</v>
      </c>
    </row>
    <row r="328" spans="1:49">
      <c r="A328" s="10" t="str">
        <f>IF(games!A328="", "", games!A328)</f>
        <v>將軍請息怒</v>
      </c>
      <c r="C328" s="10" t="str">
        <f t="shared" si="14"/>
        <v>giftcodesbanner/將軍請息怒-禮包碼.jpg</v>
      </c>
      <c r="D328" s="10" t="str">
        <f t="shared" si="15"/>
        <v>https://www.ssbuy.tw/gift-codes.html?game=將軍請息怒</v>
      </c>
      <c r="E328" s="11" t="str">
        <f>IF(games!I328&lt;&gt;"", games!I328, "")</f>
        <v/>
      </c>
      <c r="K328" s="89" t="s">
        <v>5510</v>
      </c>
      <c r="L328" s="10" t="s">
        <v>5511</v>
      </c>
    </row>
    <row r="329" spans="1:49">
      <c r="A329" s="10" t="str">
        <f>IF(games!A329="", "", games!A329)</f>
        <v>RO：世界之旅</v>
      </c>
      <c r="C329" s="10" t="str">
        <f t="shared" si="14"/>
        <v>giftcodesbanner/RO：世界之旅-禮包碼.jpg</v>
      </c>
      <c r="D329" s="10" t="str">
        <f t="shared" si="15"/>
        <v>https://www.ssbuy.tw/gift-codes.html?game=RO：世界之旅</v>
      </c>
      <c r="E329" s="11" t="str">
        <f>IF(games!I329&lt;&gt;"", games!I329, "")</f>
        <v/>
      </c>
      <c r="K329" s="89" t="s">
        <v>5510</v>
      </c>
      <c r="L329" s="10" t="s">
        <v>5511</v>
      </c>
      <c r="M329" s="15" t="s">
        <v>6033</v>
      </c>
      <c r="O329" s="15" t="s">
        <v>6034</v>
      </c>
      <c r="Q329" s="15" t="s">
        <v>6035</v>
      </c>
      <c r="S329" s="15" t="s">
        <v>6036</v>
      </c>
      <c r="U329" s="15" t="s">
        <v>6037</v>
      </c>
      <c r="W329" s="15" t="s">
        <v>6038</v>
      </c>
      <c r="Y329" s="15" t="s">
        <v>6039</v>
      </c>
      <c r="AA329" s="15" t="s">
        <v>6040</v>
      </c>
    </row>
    <row r="330" spans="1:49">
      <c r="A330" s="10" t="str">
        <f>IF(games!A330="", "", games!A330)</f>
        <v>燕雲十六聲</v>
      </c>
      <c r="C330" s="10" t="str">
        <f t="shared" si="14"/>
        <v>giftcodesbanner/燕雲十六聲-禮包碼.jpg</v>
      </c>
      <c r="D330" s="10" t="str">
        <f t="shared" si="15"/>
        <v>https://www.ssbuy.tw/gift-codes.html?game=燕雲十六聲</v>
      </c>
      <c r="E330" s="11" t="str">
        <f>IF(games!I330&lt;&gt;"", games!I330, "")</f>
        <v/>
      </c>
      <c r="K330" s="89" t="s">
        <v>5510</v>
      </c>
      <c r="L330" s="10" t="s">
        <v>5511</v>
      </c>
    </row>
    <row r="331" spans="1:49">
      <c r="A331" s="10" t="str">
        <f>IF(games!A331="", "", games!A331)</f>
        <v>99強化木棒</v>
      </c>
      <c r="C331" s="10" t="str">
        <f t="shared" si="14"/>
        <v>giftcodesbanner/99強化木棒-禮包碼.jpg</v>
      </c>
      <c r="D331" s="10" t="str">
        <f t="shared" si="15"/>
        <v>https://www.ssbuy.tw/gift-codes.html?game=99強化木棒</v>
      </c>
      <c r="E331" s="11" t="str">
        <f>IF(games!I331&lt;&gt;"", games!I331, "")</f>
        <v/>
      </c>
      <c r="K331" s="89" t="s">
        <v>5510</v>
      </c>
      <c r="L331" s="10" t="s">
        <v>5511</v>
      </c>
    </row>
    <row r="332" spans="1:49">
      <c r="A332" s="10" t="str">
        <f>IF(games!A332="", "", games!A332)</f>
        <v/>
      </c>
      <c r="C332" s="10" t="str">
        <f t="shared" si="14"/>
        <v/>
      </c>
      <c r="D332" s="10" t="str">
        <f t="shared" si="15"/>
        <v/>
      </c>
      <c r="E332" s="11" t="str">
        <f>IF(games!I332&lt;&gt;"", games!I332, "")</f>
        <v/>
      </c>
    </row>
    <row r="333" spans="1:49">
      <c r="A333" s="10" t="str">
        <f>IF(games!A333="", "", games!A333)</f>
        <v/>
      </c>
      <c r="C333" s="10" t="str">
        <f t="shared" si="14"/>
        <v/>
      </c>
      <c r="D333" s="10" t="str">
        <f t="shared" si="15"/>
        <v/>
      </c>
      <c r="E333" s="11" t="str">
        <f>IF(games!I333&lt;&gt;"", games!I333, "")</f>
        <v/>
      </c>
    </row>
    <row r="334" spans="1:49">
      <c r="A334" s="10" t="str">
        <f>IF(games!A334="", "", games!A334)</f>
        <v/>
      </c>
      <c r="C334" s="10" t="str">
        <f t="shared" si="14"/>
        <v/>
      </c>
      <c r="D334" s="10" t="str">
        <f t="shared" si="15"/>
        <v/>
      </c>
      <c r="E334" s="11" t="str">
        <f>IF(games!I334&lt;&gt;"", games!I334, "")</f>
        <v/>
      </c>
    </row>
    <row r="335" spans="1:49">
      <c r="A335" s="10" t="str">
        <f>IF(games!A335="", "", games!A335)</f>
        <v/>
      </c>
      <c r="C335" s="10" t="str">
        <f t="shared" si="14"/>
        <v/>
      </c>
      <c r="D335" s="10" t="str">
        <f t="shared" si="15"/>
        <v/>
      </c>
      <c r="E335" s="11" t="str">
        <f>IF(games!I335&lt;&gt;"", games!I335, "")</f>
        <v/>
      </c>
    </row>
    <row r="336" spans="1:49">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C366" s="10" t="str">
        <f t="shared" si="14"/>
        <v/>
      </c>
      <c r="D366" s="10" t="str">
        <f t="shared" si="15"/>
        <v/>
      </c>
      <c r="E366" s="11" t="str">
        <f>IF(games!I366&lt;&gt;"", games!I366, "")</f>
        <v/>
      </c>
    </row>
    <row r="367" spans="1:5">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ref="C371:C429" si="16">IF(A371="","", "giftcodesbanner/" &amp; A371 &amp; "-禮包碼.jpg")</f>
        <v/>
      </c>
      <c r="D371" s="10" t="str">
        <f t="shared" ref="D371:D429" si="17">IF(A371="","", "https://www.ssbuy.tw/gift-codes.html?game="&amp;A371)</f>
        <v/>
      </c>
      <c r="E371" s="11" t="str">
        <f>IF(games!I371&lt;&gt;"", games!I371, "")</f>
        <v/>
      </c>
    </row>
    <row r="372" spans="3:5">
      <c r="C372" s="10" t="str">
        <f t="shared" si="16"/>
        <v/>
      </c>
      <c r="D372" s="10" t="str">
        <f t="shared" si="17"/>
        <v/>
      </c>
      <c r="E372" s="11" t="str">
        <f>IF(games!I372&lt;&gt;"", games!I372, "")</f>
        <v/>
      </c>
    </row>
    <row r="373" spans="3:5">
      <c r="C373" s="10" t="str">
        <f t="shared" si="16"/>
        <v/>
      </c>
      <c r="D373" s="10" t="str">
        <f t="shared" si="17"/>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row>
    <row r="395" spans="3:5">
      <c r="C395" s="10" t="str">
        <f t="shared" si="16"/>
        <v/>
      </c>
      <c r="D395" s="10" t="str">
        <f t="shared" si="17"/>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s>
  <pageMargins left="0.7" right="0.7" top="0.75" bottom="0.75" header="0.3" footer="0.3"/>
  <pageSetup paperSize="9" orientation="portrait" r:id="rId6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2025-12-08T09:44:07Z</dcterms:modified>
</cp:coreProperties>
</file>