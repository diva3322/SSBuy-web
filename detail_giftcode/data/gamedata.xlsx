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<sst xmlns="http://schemas.openxmlformats.org/spreadsheetml/2006/main" count="8303" uniqueCount="5648">
  <si>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</si>
  <si>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</si>
  <si>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</si>
  <si>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</si>
  <si>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</si>
  <si>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</si>
  <si>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</si>
  <si>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</si>
  <si>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</si>
  <si>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</si>
  <si>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</si>
  <si>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</si>
  <si>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</si>
  <si>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</si>
  <si>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</si>
  <si>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</si>
  <si>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</si>
  <si>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</si>
  <si>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</si>
  <si>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</si>
  <si>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</si>
  <si>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</si>
  <si>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</si>
  <si>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</si>
  <si>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</si>
  <si>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</si>
  <si>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</si>
  <si>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</si>
  <si>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</si>
  <si>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</si>
  <si>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</si>
  <si>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</si>
  <si>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</si>
  <si>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</si>
  <si>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</si>
  <si>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</si>
  <si>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</si>
  <si>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</si>
  <si>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</si>
  <si>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</si>
  <si>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</si>
  <si>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</si>
  <si>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</si>
  <si>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</si>
  <si>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</si>
  <si>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</si>
  <si>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</si>
  <si>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</si>
  <si>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</si>
  <si>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</si>
  <si>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</si>
  <si>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</si>
  <si>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</si>
  <si>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</si>
  <si>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</si>
  <si>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</si>
  <si>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</si>
  <si>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</si>
  <si>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</si>
  <si>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</si>
  <si>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</si>
  <si>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</si>
  <si>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</si>
  <si>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</si>
  <si>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</si>
  <si>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</si>
  <si>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</si>
  <si>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</si>
  <si>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</si>
  <si>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</si>
  <si>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</si>
  <si>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</si>
  <si>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</si>
  <si>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</si>
  <si>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</si>
  <si>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</si>
  <si>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</si>
  <si>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</si>
  <si>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</si>
  <si>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</si>
  <si>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</si>
  <si>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</si>
  <si>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</si>
  <si>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</si>
  <si>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</si>
  <si>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</si>
  <si>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</si>
  <si>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</si>
  <si>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</si>
  <si>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</si>
  <si>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</si>
  <si>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</si>
  <si>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</si>
  <si>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</si>
  <si>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</si>
  <si>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</si>
  <si>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</si>
  <si>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</si>
  <si>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</si>
  <si>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</si>
  <si>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</si>
  <si>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</si>
  <si>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</si>
  <si>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</si>
  <si>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</si>
  <si>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</si>
  <si>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</si>
  <si>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</si>
  <si>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</si>
  <si>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</si>
  <si>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</si>
  <si>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</si>
  <si>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</si>
  <si>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</si>
  <si>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</si>
  <si>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</si>
  <si>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</si>
  <si>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</si>
  <si>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</si>
  <si>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</si>
  <si>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</si>
  <si>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</si>
  <si>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</si>
  <si>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</si>
  <si>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</si>
  <si>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</si>
  <si>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</si>
  <si>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</si>
  <si>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</si>
  <si>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</si>
  <si>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</si>
  <si>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</si>
  <si>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</si>
  <si>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</si>
  <si>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</si>
  <si>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</si>
  <si>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</si>
  <si>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</si>
  <si>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</si>
  <si>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</si>
  <si>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</si>
  <si>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</si>
  <si>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</si>
  <si>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</si>
  <si>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</si>
  <si>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</si>
  <si>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</si>
  <si>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</si>
  <si>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</si>
  <si>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</si>
  <si>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</si>
  <si>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</si>
  <si>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</si>
  <si>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</si>
  <si>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</si>
  <si>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</si>
  <si>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</si>
  <si>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</si>
  <si>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</si>
  <si>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</si>
  <si>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</si>
  <si>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</si>
  <si>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</si>
  <si>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</si>
  <si>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</si>
  <si>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</si>
  <si>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</si>
  <si>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</si>
  <si>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</si>
  <si>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</si>
  <si>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</si>
  <si>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</si>
  <si>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</si>
  <si>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</si>
  <si>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</si>
  <si>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</si>
  <si>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</si>
  <si>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</si>
  <si>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</si>
  <si>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</si>
  <si>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</si>
  <si>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</si>
  <si>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</si>
  <si>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</si>
  <si>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</si>
  <si>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</si>
  <si>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</si>
  <si>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</si>
  <si>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</si>
  <si>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</si>
  <si>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</si>
  <si>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</si>
  <si>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</si>
  <si>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</si>
  <si>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</si>
  <si>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</si>
  <si>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</si>
  <si>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</si>
  <si>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</si>
  <si>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</si>
  <si>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</si>
  <si>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</si>
  <si>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</si>
  <si>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</si>
  <si>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</si>
  <si>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</si>
  <si>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</si>
  <si>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</si>
  <si>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</si>
  <si>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</si>
  <si>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</si>
  <si>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</si>
  <si>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</si>
  <si>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</si>
  <si>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</si>
  <si>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</si>
  <si>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</si>
  <si>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</si>
  <si>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</si>
  <si>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</si>
  <si>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</si>
  <si>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</si>
  <si>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</si>
  <si>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</si>
  <si>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</si>
  <si>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</si>
  <si>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</si>
  <si>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</si>
  <si>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</si>
  <si>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</si>
  <si>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</si>
  <si>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</si>
  <si>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</si>
  <si>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</si>
  <si>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</si>
  <si>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</si>
  <si>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</si>
  <si>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</si>
  <si>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</si>
  <si>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</si>
  <si>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</si>
  <si>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</si>
  <si>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</si>
  <si>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</si>
  <si>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</si>
  <si>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</si>
  <si>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</si>
  <si>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</si>
  <si>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</si>
  <si>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</si>
  <si>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</si>
  <si>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</si>
  <si>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</si>
  <si>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</si>
  <si>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</si>
  <si>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</si>
  <si>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</si>
  <si>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</si>
  <si>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</si>
  <si>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</si>
  <si>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</si>
  <si>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</si>
  <si>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</si>
  <si>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</si>
  <si>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</si>
  <si>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</si>
  <si>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</si>
  <si>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</si>
  <si>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</si>
  <si>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</si>
  <si>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</si>
  <si>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</si>
  <si>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</si>
  <si>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</si>
  <si>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</si>
  <si>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</si>
  <si>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</si>
  <si>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</si>
  <si>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</si>
  <si>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</si>
  <si>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</si>
  <si>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</si>
  <si>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</si>
  <si>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</si>
  <si>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</si>
  <si>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</si>
  <si>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</si>
  <si>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</si>
  <si>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</si>
  <si>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</si>
  <si>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</si>
  <si>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</si>
  <si>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</si>
  <si>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</si>
  <si>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</si>
  <si>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</si>
  <si>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</si>
  <si>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</si>
  <si>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</si>
  <si>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</si>
  <si>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</si>
  <si>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</si>
  <si>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</si>
  <si>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</si>
  <si>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</si>
  <si>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</si>
  <si>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</si>
  <si>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</si>
  <si>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</si>
  <si>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</si>
  <si>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</si>
  <si>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</si>
  <si>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</si>
  <si>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</si>
  <si>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</si>
  <si>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</si>
  <si>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</si>
  <si>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</si>
  <si>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</si>
  <si>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</si>
  <si>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</si>
  <si>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</si>
  <si>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</si>
  <si>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</si>
  <si>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</si>
  <si>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</si>
  <si>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</si>
  <si>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</si>
  <si>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</si>
  <si>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</si>
  <si>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</si>
  <si>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</si>
  <si>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</si>
  <si>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</si>
  <si>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</si>
  <si>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</si>
  <si>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</si>
  <si>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</si>
  <si>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</si>
  <si>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</si>
  <si>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</si>
  <si>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</si>
  <si>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</si>
  <si>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</si>
  <si>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</si>
  <si>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</si>
  <si>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</si>
  <si>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</si>
  <si>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</si>
  <si>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</si>
  <si>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</si>
  <si>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</si>
  <si>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</si>
  <si>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</si>
  <si>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</si>
  <si>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</si>
  <si>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</si>
  <si>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</si>
  <si>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</si>
  <si>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</si>
  <si>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</si>
  <si>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</si>
  <si>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</si>
  <si>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</si>
  <si>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</si>
  <si>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</si>
  <si>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</si>
  <si>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</si>
  <si>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</si>
  <si>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</si>
  <si>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</si>
  <si>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</si>
  <si>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</si>
  <si>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</si>
  <si>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</si>
  <si>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</si>
  <si>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</si>
  <si>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</si>
  <si>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</si>
  <si>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</si>
  <si>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</si>
  <si>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</si>
  <si>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</si>
  <si>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</si>
  <si>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</si>
  <si>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</si>
  <si>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</si>
  <si>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</si>
  <si>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</si>
  <si>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</si>
  <si>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</si>
  <si>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</si>
  <si>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</si>
  <si>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</si>
  <si>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</si>
  <si>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</si>
  <si>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</si>
  <si>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</si>
  <si>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</si>
  <si>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</si>
  <si>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</si>
  <si>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</si>
  <si>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</si>
  <si>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</si>
  <si>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</si>
  <si>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</si>
  <si>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</si>
  <si>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</si>
  <si>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</si>
  <si>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</si>
  <si>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</si>
  <si>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</si>
  <si>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</si>
  <si>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</si>
  <si>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</si>
  <si>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</si>
  <si>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</si>
  <si>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</si>
  <si>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</si>
  <si>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</si>
  <si>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</si>
  <si>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</si>
  <si>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</si>
  <si>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</si>
  <si>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</si>
  <si>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</si>
  <si>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</si>
  <si>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</si>
  <si>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</si>
  <si>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</si>
  <si>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</si>
  <si>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</si>
  <si>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</si>
  <si>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</si>
  <si>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</si>
  <si>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</si>
  <si>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</si>
  <si>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</si>
  <si>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</si>
  <si>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</si>
  <si>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</si>
  <si>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</si>
  <si>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</si>
  <si>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</si>
  <si>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</si>
  <si>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</si>
  <si>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</si>
  <si>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</si>
  <si>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</si>
  <si>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</si>
  <si>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</si>
  <si>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</si>
  <si>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</si>
  <si>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</si>
  <si>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</si>
  <si>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</si>
  <si>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</si>
  <si>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</si>
  <si>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</si>
  <si>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</si>
  <si>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</si>
  <si>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</si>
  <si>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</si>
  <si>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</si>
  <si>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</si>
  <si>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</si>
  <si>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</si>
  <si>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</si>
  <si>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</si>
  <si>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</si>
  <si>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</si>
  <si>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</si>
  <si>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</si>
  <si>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</si>
  <si>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</si>
  <si>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</si>
  <si>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</si>
  <si>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</si>
  <si>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</si>
  <si>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</si>
  <si>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</si>
  <si>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</si>
  <si>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</si>
  <si>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</si>
  <si>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</si>
  <si>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</si>
  <si>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</si>
  <si>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</si>
  <si>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</si>
  <si>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</si>
  <si>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</si>
  <si>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</si>
  <si>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</si>
  <si>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</si>
  <si>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</si>
  <si>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</si>
  <si>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</si>
  <si>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</si>
  <si>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</si>
  <si>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</si>
  <si>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</si>
  <si>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</si>
  <si>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</si>
  <si>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</si>
  <si>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</si>
  <si>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</si>
  <si>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</si>
  <si>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</si>
  <si>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</si>
  <si>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</si>
  <si>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</si>
  <si>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</si>
  <si>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</si>
  <si>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</si>
  <si>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</si>
  <si>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</si>
  <si>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</si>
  <si>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</si>
  <si>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</si>
  <si>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</si>
  <si>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</si>
  <si>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</si>
  <si>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</si>
  <si>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</si>
  <si>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</si>
  <si>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</si>
  <si>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</si>
  <si>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</si>
  <si>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</si>
  <si>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</si>
  <si>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</si>
  <si>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</si>
  <si>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</si>
  <si>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</si>
  <si>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</si>
  <si>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</si>
  <si>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</si>
  <si>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</si>
  <si>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</si>
  <si>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</si>
  <si>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</si>
  <si>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</si>
  <si>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</si>
  <si>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</si>
  <si>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</si>
  <si>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</si>
  <si>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</si>
  <si>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</si>
  <si>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</si>
  <si>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</si>
  <si>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</si>
  <si>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</si>
  <si>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</si>
  <si>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</si>
  <si>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</si>
  <si>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</si>
  <si>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</si>
  <si>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</si>
  <si>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</si>
  <si>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</si>
  <si>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</si>
  <si>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</si>
  <si>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</si>
  <si>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</si>
  <si>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</si>
  <si>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</si>
  <si>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</si>
  <si>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</si>
  <si>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</si>
  <si>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</si>
  <si>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</si>
  <si>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</si>
  <si>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</si>
  <si>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</si>
  <si>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</si>
  <si>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</si>
  <si>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</si>
  <si>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</si>
  <si>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</si>
  <si>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</si>
  <si>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</si>
  <si>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</si>
  <si>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</si>
  <si>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</si>
  <si>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</si>
  <si>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</si>
  <si>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</si>
  <si>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</si>
  <si>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</si>
  <si>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</si>
  <si>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</si>
  <si>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</si>
  <si>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</si>
  <si>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</si>
  <si>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</si>
  <si>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</si>
  <si>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</si>
  <si>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</si>
  <si>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</si>
  <si>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</si>
  <si>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</si>
  <si>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</si>
  <si>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</si>
  <si>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</si>
  <si>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</si>
  <si>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</si>
  <si>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</si>
  <si>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</si>
  <si>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</si>
  <si>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</si>
  <si>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</si>
  <si>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</si>
  <si>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</si>
  <si>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</si>
  <si>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</si>
  <si>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</si>
  <si>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</si>
  <si>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</si>
  <si>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</si>
  <si>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</si>
  <si>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</si>
  <si>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</si>
  <si>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</si>
  <si>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</si>
  <si>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</si>
  <si>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</si>
  <si>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</si>
  <si>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</si>
  <si>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</si>
  <si>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</si>
  <si>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</si>
  <si>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</si>
  <si>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</si>
  <si>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</si>
  <si>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</si>
  <si>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</si>
  <si>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</si>
  <si>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</si>
  <si>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</si>
  <si>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</si>
  <si>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</si>
  <si>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</si>
  <si>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</si>
  <si>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</si>
  <si>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</si>
  <si>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</si>
  <si>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</si>
  <si>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</si>
  <si>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</si>
  <si>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</si>
  <si>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</si>
  <si>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</si>
  <si>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</si>
  <si>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</si>
  <si>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</si>
  <si>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</si>
  <si>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</si>
  <si>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</si>
  <si>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</si>
  <si>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</si>
  <si>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</si>
  <si>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</si>
  <si>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</si>
  <si>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</si>
  <si>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</si>
  <si>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</si>
  <si>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</si>
  <si>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</si>
  <si>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</si>
  <si>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</si>
  <si>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</si>
  <si>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</si>
  <si>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</si>
  <si>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</si>
  <si>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</si>
  <si>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</si>
  <si>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</si>
  <si>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</si>
  <si>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</si>
  <si>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</si>
  <si>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</si>
  <si>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</si>
  <si>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</si>
  <si>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</si>
  <si>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</si>
  <si>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</si>
  <si>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</si>
  <si>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</si>
  <si>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</si>
  <si>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</si>
  <si>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</si>
  <si>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</si>
  <si>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</si>
  <si>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</si>
  <si>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</si>
  <si>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</si>
  <si>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</si>
  <si>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</si>
  <si>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</si>
  <si>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</si>
  <si>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</si>
  <si>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</si>
  <si>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</si>
  <si>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</si>
  <si>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</si>
  <si>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</si>
  <si>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</si>
  <si>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</si>
  <si>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</si>
  <si>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</si>
  <si>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</si>
  <si>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</si>
  <si>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</si>
  <si>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</si>
  <si>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</si>
  <si>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</si>
  <si>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</si>
  <si>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</si>
  <si>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</si>
  <si>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</si>
  <si>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</si>
  <si>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</si>
  <si>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</si>
  <si>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</si>
  <si>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</si>
  <si>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</si>
  <si>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</si>
  <si>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</si>
  <si>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</si>
  <si>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</si>
  <si>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</si>
  <si>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</si>
  <si>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</si>
  <si>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</si>
  <si>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</si>
  <si>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</si>
  <si>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</si>
  <si>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</si>
  <si>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</si>
  <si>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</si>
  <si>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</si>
  <si>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</si>
  <si>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</si>
  <si>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</si>
  <si>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</si>
  <si>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</si>
  <si>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</si>
  <si>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</si>
  <si>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</si>
  <si>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</si>
  <si>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</si>
  <si>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</si>
  <si>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</si>
  <si>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</si>
  <si>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</si>
  <si>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</si>
  <si>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</si>
  <si>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</si>
  <si>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</si>
  <si>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</si>
  <si>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</si>
  <si>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</si>
  <si>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</si>
  <si>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</si>
  <si>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</si>
  <si>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</si>
  <si>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</si>
  <si>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</si>
  <si>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</si>
  <si>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</si>
  <si>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</si>
  <si>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</si>
  <si>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</si>
  <si>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</si>
  <si>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</si>
  <si>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</si>
  <si>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</si>
  <si>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</si>
  <si>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</si>
  <si>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</si>
  <si>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</si>
  <si>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</si>
  <si>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</si>
  <si>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</si>
  <si>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</si>
  <si>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</si>
  <si>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</si>
  <si>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</si>
  <si>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</si>
  <si>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</si>
  <si>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</si>
  <si>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</si>
  <si>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</si>
  <si>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</si>
  <si>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</si>
  <si>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</si>
  <si>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</si>
  <si>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</si>
  <si>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</si>
  <si>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</si>
  <si>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</si>
  <si>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</si>
  <si>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</si>
  <si>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</si>
  <si>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</si>
  <si>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</si>
  <si>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</si>
  <si>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</si>
  <si>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</si>
  <si>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</si>
  <si>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</si>
  <si>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</si>
  <si>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</si>
  <si>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</si>
  <si>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</si>
  <si>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</si>
  <si>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</si>
  <si>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</si>
  <si>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</si>
  <si>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</si>
  <si>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</si>
  <si>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</si>
  <si>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</si>
  <si>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</si>
  <si>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</si>
  <si>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</si>
  <si>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</si>
  <si>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</si>
  <si>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</si>
  <si>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</si>
  <si>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</si>
  <si>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</si>
  <si>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</si>
  <si>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</si>
  <si>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</si>
  <si>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</si>
  <si>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</si>
  <si>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</si>
  <si>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</si>
  <si>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</si>
  <si>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</si>
  <si>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</si>
  <si>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</si>
  <si>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</si>
  <si>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</si>
  <si>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</si>
  <si>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</si>
  <si>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</si>
  <si>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</si>
  <si>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</si>
  <si>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</si>
  <si>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</si>
  <si>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</si>
  <si>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</si>
  <si>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</si>
  <si>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</si>
  <si>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</si>
  <si>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</si>
  <si>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</si>
  <si>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</si>
  <si>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</si>
  <si>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</si>
  <si>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</si>
  <si>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</si>
  <si>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</si>
  <si>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</si>
  <si>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</si>
  <si>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</si>
  <si>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</si>
  <si>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</si>
  <si>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</si>
  <si>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</si>
  <si>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</si>
  <si>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</si>
  <si>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</si>
  <si>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</si>
  <si>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</si>
  <si>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</si>
  <si>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</si>
  <si>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</si>
  <si>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</si>
  <si>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</si>
  <si>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</si>
  <si>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</si>
  <si>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</si>
  <si>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</si>
  <si>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</si>
  <si>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</si>
  <si>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</si>
  <si>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</si>
  <si>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</si>
  <si>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</si>
  <si>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</si>
  <si>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</si>
  <si>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</si>
  <si>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</si>
  <si>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</si>
  <si>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</si>
  <si>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</si>
  <si>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</si>
  <si>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</si>
  <si>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</si>
  <si>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</si>
  <si>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</si>
  <si>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</si>
  <si>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</si>
  <si>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</si>
  <si>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</si>
  <si>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</si>
  <si>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</si>
  <si>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</si>
  <si>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</si>
  <si>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</si>
  <si>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</si>
  <si>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</si>
  <si>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</si>
  <si>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</si>
  <si>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</si>
  <si>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</si>
  <si>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</si>
  <si>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</si>
  <si>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</si>
  <si>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</si>
  <si>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</si>
  <si>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</si>
  <si>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</si>
  <si>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</si>
  <si>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</si>
  <si>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</si>
  <si>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</si>
  <si>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</si>
  <si>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</si>
  <si>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</si>
  <si>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</si>
  <si>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</si>
  <si>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</si>
  <si>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</si>
  <si>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</si>
  <si>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</si>
  <si>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</si>
  <si>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</si>
  <si>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</si>
  <si>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</si>
  <si>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</si>
  <si>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</si>
  <si>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</si>
  <si>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</si>
  <si>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</si>
  <si>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</si>
  <si>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</si>
  <si>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</si>
  <si>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</si>
  <si>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</si>
  <si>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</si>
  <si>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</si>
  <si>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</si>
  <si>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</si>
  <si>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</si>
  <si>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</si>
  <si>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</si>
  <si>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</si>
  <si>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</si>
  <si>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</si>
  <si>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</si>
  <si>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</si>
  <si>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</si>
  <si>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</si>
  <si>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</si>
  <si>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</si>
  <si>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</si>
  <si>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</si>
  <si>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</si>
  <si>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</si>
  <si>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</si>
  <si>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</si>
  <si>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</si>
  <si>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</si>
  <si>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</si>
  <si>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</si>
  <si>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</si>
  <si>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</si>
  <si>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</si>
  <si>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</si>
  <si>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</si>
  <si>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</si>
  <si>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</si>
  <si>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</si>
  <si>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</si>
  <si>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</si>
  <si>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</si>
  <si>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</si>
  <si>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</si>
  <si>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</si>
  <si>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</si>
  <si>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</si>
  <si>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</si>
  <si>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</si>
  <si>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</si>
  <si>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</si>
  <si>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</si>
  <si>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</si>
  <si>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</si>
  <si>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</si>
  <si>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</si>
  <si>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</si>
  <si>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</si>
  <si>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</si>
  <si>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</si>
  <si>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</si>
  <si>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</si>
  <si>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</si>
  <si>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</si>
  <si>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</si>
  <si>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</si>
  <si>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</si>
  <si>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</si>
  <si>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</si>
  <si>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</si>
  <si>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</si>
  <si>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</si>
  <si>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</si>
  <si>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</si>
  <si>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</si>
  <si>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</si>
  <si>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</si>
  <si>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</si>
  <si>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</si>
  <si>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</si>
  <si>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</si>
  <si>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</si>
  <si>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</si>
  <si>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</si>
  <si>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</si>
  <si>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</si>
  <si>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</si>
  <si>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</si>
  <si>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</si>
  <si>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</si>
  <si>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</si>
  <si>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</si>
  <si>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</si>
  <si>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</si>
  <si>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</si>
  <si>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</si>
  <si>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</si>
  <si>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</si>
  <si>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</si>
  <si>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</si>
  <si>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</si>
  <si>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</si>
  <si>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</si>
  <si>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</si>
  <si>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</si>
  <si>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</si>
  <si>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</si>
  <si>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</si>
  <si>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</si>
  <si>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</si>
  <si>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</si>
  <si>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</si>
  <si>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</si>
  <si>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</si>
  <si>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</si>
  <si>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</si>
  <si>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</si>
  <si>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</si>
  <si>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</si>
  <si>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</si>
  <si>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</si>
  <si>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</si>
  <si>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</si>
  <si>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</si>
  <si>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</si>
  <si>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</si>
  <si>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</si>
  <si>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</si>
  <si>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</si>
  <si>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</si>
  <si>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</si>
  <si>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</si>
  <si>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</si>
  <si>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</si>
  <si>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</si>
  <si>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</si>
  <si>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</si>
  <si>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</si>
  <si>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</si>
  <si>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</si>
  <si>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</si>
  <si>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</si>
  <si>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</si>
  <si>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</si>
  <si>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</si>
  <si>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</si>
  <si>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</si>
  <si>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</si>
  <si>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</si>
  <si>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</si>
  <si>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</si>
  <si>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</si>
  <si>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</si>
  <si>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</si>
  <si>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</si>
  <si>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</si>
  <si>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</si>
  <si>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</si>
  <si>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</si>
  <si>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</si>
  <si>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</si>
  <si>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</si>
  <si>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</si>
  <si>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</si>
  <si>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</si>
  <si>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</si>
  <si>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</si>
  <si>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</si>
  <si>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</si>
  <si>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</si>
  <si>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</si>
  <si>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</si>
  <si>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</si>
  <si>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</si>
  <si>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</si>
  <si>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</si>
  <si>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</si>
  <si>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</si>
  <si>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</si>
  <si>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</si>
  <si>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</si>
  <si>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</si>
  <si>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</si>
  <si>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</si>
  <si>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</si>
  <si>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</si>
  <si>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</si>
  <si>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</si>
  <si>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</si>
  <si>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</si>
  <si>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</si>
  <si>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</si>
  <si>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</si>
  <si>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</si>
  <si>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</si>
  <si>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</si>
  <si>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</si>
  <si>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</si>
  <si>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</si>
  <si>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</si>
  <si>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</si>
  <si>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</si>
  <si>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</si>
  <si>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</si>
  <si>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</si>
  <si>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</si>
  <si>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</si>
  <si>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</si>
  <si>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</si>
  <si>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</si>
  <si>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</si>
  <si>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</si>
  <si>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</si>
  <si>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</si>
  <si>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</si>
  <si>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</si>
  <si>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</si>
  <si>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</si>
  <si>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</si>
  <si>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</si>
  <si>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</si>
  <si>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</si>
  <si>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</si>
  <si>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</si>
  <si>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</si>
  <si>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</si>
  <si>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</si>
  <si>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</si>
  <si>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</si>
  <si>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</si>
  <si>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</si>
  <si>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</si>
  <si>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</si>
  <si>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</si>
  <si>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</si>
  <si>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</si>
  <si>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</si>
  <si>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</si>
  <si>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</si>
  <si>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</si>
  <si>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</si>
  <si>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</si>
  <si>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</si>
  <si>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</si>
  <si>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</si>
  <si>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</si>
  <si>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</si>
  <si>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</si>
  <si>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</si>
  <si>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</si>
  <si>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</si>
  <si>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</si>
  <si>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</si>
  <si>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</si>
  <si>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</si>
  <si>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</si>
  <si>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</si>
  <si>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</si>
  <si>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</si>
  <si>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</si>
  <si>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</si>
  <si>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</si>
  <si>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</si>
  <si>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</si>
  <si>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</si>
  <si>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</si>
  <si>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</si>
  <si>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</si>
  <si>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</si>
  <si>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</si>
  <si>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</si>
  <si>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</si>
  <si>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</si>
  <si>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</si>
  <si>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</si>
  <si>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</si>
  <si>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</si>
  <si>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</si>
  <si>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</si>
  <si>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</si>
  <si>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</si>
  <si>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</si>
  <si>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</si>
  <si>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</si>
  <si>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</si>
  <si>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</si>
  <si>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</si>
  <si>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</si>
  <si>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</si>
  <si>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</si>
  <si>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</si>
  <si>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</si>
  <si>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</si>
  <si>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</si>
  <si>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</si>
  <si>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</si>
  <si>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</si>
  <si>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</si>
  <si>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</si>
  <si>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</si>
  <si>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</si>
  <si>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</si>
  <si>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</si>
  <si>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</si>
  <si>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</si>
  <si>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</si>
  <si>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</si>
  <si>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</si>
  <si>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</si>
  <si>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</si>
  <si>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</si>
  <si>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</si>
  <si>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</si>
  <si>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</si>
  <si>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</si>
  <si>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</si>
  <si>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</si>
  <si>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</si>
  <si>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</si>
  <si>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</si>
  <si>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</si>
  <si>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</si>
  <si>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</si>
  <si>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</si>
  <si>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</si>
  <si>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</si>
  <si>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</si>
  <si>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</si>
  <si>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</si>
  <si>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</si>
  <si>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</si>
  <si>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</si>
  <si>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</si>
  <si>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</si>
  <si>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</si>
  <si>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</si>
  <si>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</si>
  <si>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</si>
  <si>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</si>
  <si>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</si>
  <si>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</si>
  <si>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</si>
  <si>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</si>
  <si>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</si>
  <si>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</si>
  <si>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</si>
  <si>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</si>
  <si>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</si>
  <si>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</si>
  <si>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</si>
  <si>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</si>
  <si>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</si>
  <si>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</si>
  <si>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</si>
  <si>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</si>
  <si>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</si>
  <si>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</si>
  <si>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</si>
  <si>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</si>
  <si>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</si>
  <si>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</si>
  <si>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</si>
  <si>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</si>
  <si>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</si>
  <si>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</si>
  <si>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</si>
  <si>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</si>
  <si>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</si>
  <si>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</si>
  <si>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</si>
  <si>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</si>
  <si>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</si>
  <si>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</si>
  <si>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</si>
  <si>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</si>
  <si>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</si>
  <si>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</si>
  <si>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</si>
  <si>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</si>
  <si>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</si>
  <si>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</si>
  <si>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</si>
  <si>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</si>
  <si>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</si>
  <si>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</si>
  <si>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</si>
  <si>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</si>
  <si>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</si>
  <si>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</si>
  <si>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</si>
  <si>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</si>
  <si>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</si>
  <si>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</si>
  <si>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</si>
  <si>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</si>
  <si>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</si>
  <si>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</si>
  <si>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</si>
  <si>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</si>
  <si>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</si>
  <si>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</si>
  <si>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</si>
  <si>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</si>
  <si>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</si>
  <si>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</si>
  <si>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</si>
  <si>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</si>
  <si>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</si>
  <si>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</si>
  <si>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</si>
  <si>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</si>
  <si>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</si>
  <si>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</si>
  <si>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</si>
  <si>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</si>
  <si>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</si>
  <si>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</si>
  <si>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</si>
  <si>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</si>
  <si>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</si>
  <si>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</si>
  <si>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</si>
  <si>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</si>
  <si>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</si>
  <si>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</si>
  <si>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</si>
  <si>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</si>
  <si>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</si>
  <si>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</si>
  <si>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</si>
  <si>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</si>
  <si>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</si>
  <si>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</si>
  <si>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</si>
  <si>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</si>
  <si>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</si>
  <si>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</si>
  <si>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</si>
  <si>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</si>
  <si>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</si>
  <si>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</si>
  <si>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</si>
  <si>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</si>
  <si>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</si>
  <si>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</si>
  <si>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</si>
  <si>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</si>
  <si>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</si>
  <si>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</si>
  <si>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</si>
  <si>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</si>
  <si>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</si>
  <si>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</si>
  <si>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</si>
  <si>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</si>
  <si>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</si>
  <si>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</si>
  <si>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</si>
  <si>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</si>
  <si>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</si>
  <si>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</si>
  <si>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</si>
  <si>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</si>
  <si>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</si>
  <si>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</si>
  <si>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</si>
  <si>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</si>
  <si>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</si>
  <si>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</si>
  <si>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</si>
  <si>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</si>
  <si>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</si>
  <si>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</si>
  <si>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</si>
  <si>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</si>
  <si>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</si>
  <si>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</si>
  <si>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</si>
  <si>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</si>
  <si>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</si>
  <si>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</si>
  <si>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</si>
  <si>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</si>
  <si>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</si>
  <si>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</si>
  <si>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</si>
  <si>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</si>
  <si>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</si>
  <si>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</si>
  <si>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</si>
  <si>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</si>
  <si>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</si>
  <si>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</si>
  <si>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</si>
  <si>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</si>
  <si>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</si>
  <si>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</si>
  <si>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</si>
  <si>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</si>
  <si>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</si>
  <si>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</si>
  <si>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</si>
  <si>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</si>
  <si>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</si>
  <si>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</si>
  <si>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</si>
  <si>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</si>
  <si>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</si>
  <si>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</si>
  <si>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</si>
  <si>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</si>
  <si>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</si>
  <si>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</si>
  <si>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</si>
  <si>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</si>
  <si>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</si>
  <si>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</si>
  <si>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</si>
  <si>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</si>
  <si>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</si>
  <si>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</si>
  <si>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</si>
  <si>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</si>
  <si>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</si>
  <si>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</si>
  <si>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</si>
  <si>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</si>
  <si>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</si>
  <si>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</si>
  <si>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</si>
  <si>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</si>
  <si>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</si>
  <si>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</si>
  <si>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</si>
  <si>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</si>
  <si>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</si>
  <si>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</si>
  <si>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</si>
  <si>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</si>
  <si>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</si>
  <si>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</si>
  <si>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</si>
  <si>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</si>
  <si>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</si>
  <si>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</si>
  <si>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</si>
  <si>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</si>
  <si>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</si>
  <si>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</si>
  <si>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</si>
  <si>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</si>
  <si>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</si>
  <si>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</si>
  <si>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</si>
  <si>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</si>
  <si>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</si>
  <si>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</si>
  <si>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</si>
  <si>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</si>
  <si>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</si>
  <si>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</si>
  <si>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</si>
  <si>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</si>
  <si>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</si>
  <si>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</si>
  <si>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</si>
  <si>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</si>
  <si>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</si>
  <si>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</si>
  <si>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</si>
  <si>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</si>
  <si>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</si>
  <si>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</si>
  <si>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</si>
  <si>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</si>
  <si>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</si>
  <si>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</si>
  <si>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</si>
  <si>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</si>
  <si>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</si>
  <si>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</si>
  <si>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</si>
  <si>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</si>
  <si>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</si>
  <si>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</si>
  <si>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</si>
  <si>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</si>
  <si>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</si>
  <si>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</si>
  <si>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</si>
  <si>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</si>
  <si>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</si>
  <si>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</si>
  <si>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</si>
  <si>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</si>
  <si>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</si>
  <si>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</si>
  <si>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</si>
  <si>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</si>
  <si>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</si>
  <si>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</si>
  <si>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</si>
  <si>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</si>
  <si>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</si>
  <si>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</si>
  <si>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</si>
  <si>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</si>
  <si>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</si>
  <si>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</si>
  <si>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</si>
  <si>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</si>
  <si>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</si>
  <si>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</si>
  <si>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</si>
  <si>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</si>
  <si>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</si>
  <si>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</si>
  <si>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</si>
  <si>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</si>
  <si>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</si>
  <si>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</si>
  <si>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</si>
  <si>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</si>
  <si>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</si>
  <si>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</si>
  <si>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</si>
  <si>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</si>
  <si>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</si>
  <si>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</si>
  <si>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</si>
  <si>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</si>
  <si>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</si>
  <si>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</si>
  <si>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</si>
  <si>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</si>
  <si>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</si>
  <si>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</si>
  <si>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</si>
  <si>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</si>
  <si>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</si>
  <si>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</si>
  <si>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</si>
  <si>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</si>
  <si>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</si>
  <si>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</si>
  <si>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</si>
  <si>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</si>
  <si>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</si>
  <si>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</si>
  <si>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</si>
  <si>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</si>
  <si>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</si>
  <si>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</si>
  <si>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</si>
  <si>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</si>
  <si>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</si>
  <si>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</si>
  <si>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</si>
  <si>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</si>
  <si>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</si>
  <si>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</si>
  <si>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</si>
  <si>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</si>
  <si>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</si>
  <si>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</si>
  <si>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</si>
  <si>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</si>
  <si>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</si>
  <si>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</si>
  <si>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</si>
  <si>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</si>
  <si>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</si>
  <si>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</si>
  <si>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</si>
  <si>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</si>
  <si>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</si>
  <si>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</si>
  <si>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</si>
  <si>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</si>
  <si>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</si>
  <si>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</si>
  <si>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</si>
  <si>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</si>
  <si>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</si>
  <si>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</si>
  <si>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</si>
  <si>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</si>
  <si>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</si>
  <si>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</si>
  <si>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</si>
  <si>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</si>
  <si>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</si>
  <si>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</si>
  <si>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</si>
  <si>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</si>
  <si>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</si>
  <si>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</si>
  <si>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</si>
  <si>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</si>
  <si>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</si>
  <si>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</si>
  <si>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</si>
  <si>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</si>
  <si>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</si>
  <si>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</si>
  <si>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</si>
  <si>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</si>
  <si>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</si>
  <si>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</si>
  <si>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</si>
  <si>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</si>
  <si>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</si>
  <si>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</si>
  <si>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</si>
  <si>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</si>
  <si>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</si>
  <si>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</si>
  <si>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</si>
  <si>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</si>
  <si>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</si>
  <si>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</si>
  <si>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</si>
  <si>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</si>
  <si>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</si>
  <si>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</si>
  <si>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</si>
  <si>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</si>
  <si>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</si>
  <si>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</si>
  <si>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</si>
  <si>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</si>
  <si>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</si>
  <si>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</si>
  <si>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</si>
  <si>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</si>
  <si>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</si>
  <si>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</si>
  <si>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</si>
  <si>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</si>
  <si>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</si>
  <si>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</si>
  <si>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</si>
  <si>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</si>
  <si>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</si>
  <si>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</si>
  <si>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</si>
  <si>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</si>
  <si>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</si>
  <si>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</si>
  <si>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</si>
  <si>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</si>
  <si>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</si>
  <si>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</si>
  <si>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</si>
  <si>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</si>
  <si>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</si>
  <si>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</si>
  <si>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</si>
  <si>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</si>
  <si>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</si>
  <si>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</si>
  <si>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</si>
  <si>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</si>
  <si>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</si>
  <si>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</si>
  <si>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</si>
  <si>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</si>
  <si>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</si>
  <si>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</si>
  <si>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</si>
  <si>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</si>
  <si>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</si>
  <si>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</si>
  <si>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</si>
  <si>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</si>
  <si>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</si>
  <si>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</si>
  <si>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</si>
  <si>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</si>
  <si>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</si>
  <si>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</si>
  <si>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</si>
  <si>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</si>
  <si>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</si>
  <si>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</si>
  <si>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</si>
  <si>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</si>
  <si>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</si>
  <si>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</si>
  <si>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</si>
  <si>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</si>
  <si>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</si>
  <si>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</si>
  <si>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</si>
  <si>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</si>
  <si>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</si>
  <si>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</si>
  <si>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</si>
  <si>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</si>
  <si>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</si>
  <si>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</si>
  <si>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</si>
  <si>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</si>
  <si>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</si>
  <si>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</si>
  <si>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</si>
  <si>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</si>
  <si>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</si>
  <si>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</si>
  <si>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</si>
  <si>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</si>
  <si>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</si>
  <si>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</si>
  <si>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</si>
  <si>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</si>
  <si>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</si>
  <si>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</si>
  <si>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</si>
  <si>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</si>
  <si>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</si>
  <si>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</si>
  <si>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</si>
  <si>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</si>
  <si>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</si>
  <si>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</si>
  <si>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</si>
  <si>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</si>
  <si>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</si>
  <si>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</si>
  <si>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</si>
  <si>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</si>
  <si>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</si>
  <si>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</si>
  <si>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</si>
  <si>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</si>
  <si>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</si>
  <si>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</si>
  <si>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</si>
  <si>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</si>
  <si>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</si>
  <si>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</si>
  <si>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</si>
  <si>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</si>
  <si>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</si>
  <si>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</si>
  <si>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</si>
  <si>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</si>
  <si>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</si>
  <si>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</si>
  <si>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</si>
  <si>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</si>
  <si>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</si>
  <si>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</si>
  <si>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</si>
  <si>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</si>
  <si>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</si>
  <si>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</si>
  <si>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</si>
  <si>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</si>
  <si>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</si>
  <si>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</si>
  <si>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</si>
  <si>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</si>
  <si>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</si>
  <si>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</si>
  <si>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</si>
  <si>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</si>
  <si>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</si>
  <si>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</si>
  <si>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</si>
  <si>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</si>
  <si>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</si>
  <si>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</si>
  <si>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</si>
  <si>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</si>
  <si>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</si>
  <si>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</si>
  <si>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</si>
  <si>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</si>
  <si>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</si>
  <si>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</si>
  <si>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</si>
  <si>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</si>
  <si>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</si>
  <si>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</si>
  <si>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</si>
  <si>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</si>
  <si>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</si>
  <si>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</si>
  <si>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</si>
  <si>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</si>
  <si>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</si>
  <si>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</si>
  <si>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</si>
  <si>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</si>
  <si>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</si>
  <si>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</si>
  <si>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</si>
  <si>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</si>
  <si>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</si>
  <si>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</si>
  <si>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</si>
  <si>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</si>
  <si>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</si>
  <si>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</si>
  <si>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</si>
  <si>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</si>
  <si>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</si>
  <si>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</si>
  <si>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</si>
  <si>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</si>
  <si>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</si>
  <si>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</si>
  <si>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</si>
  <si>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</si>
  <si>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</si>
  <si>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</si>
  <si>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</si>
  <si>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</si>
  <si>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</si>
  <si>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</si>
  <si>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</si>
  <si>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</si>
  <si>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</si>
  <si>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</si>
  <si>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</si>
  <si>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</si>
  <si>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</si>
  <si>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</si>
  <si>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</si>
  <si>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</si>
  <si>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</si>
  <si>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</si>
  <si>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</si>
  <si>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</si>
  <si>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</si>
  <si>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</si>
  <si>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</si>
  <si>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</si>
  <si>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</si>
  <si>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</si>
  <si>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</si>
  <si>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</si>
  <si>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</si>
  <si>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</si>
  <si>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</si>
  <si>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</si>
  <si>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</si>
  <si>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</si>
  <si>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</si>
  <si>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</si>
  <si>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</si>
  <si>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</si>
  <si>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</si>
  <si>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</si>
  <si>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</si>
  <si>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</si>
  <si>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</si>
  <si>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</si>
  <si>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</si>
  <si>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</si>
  <si>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</si>
  <si>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</si>
  <si>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</si>
  <si>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</si>
  <si>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</si>
  <si>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</si>
  <si>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</si>
  <si>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</si>
  <si>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</si>
  <si>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</si>
  <si>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</si>
  <si>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</si>
  <si>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</si>
  <si>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</si>
  <si>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</si>
  <si>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</si>
  <si>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</si>
  <si>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</si>
  <si>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</si>
  <si>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</si>
  <si>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</si>
  <si>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</si>
  <si>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</si>
  <si>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</si>
  <si>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</si>
  <si>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</si>
  <si>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</si>
  <si>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</si>
  <si>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</si>
  <si>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</si>
  <si>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</si>
  <si>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</si>
  <si>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</si>
  <si>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</si>
  <si>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</si>
  <si>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</si>
  <si>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</si>
  <si>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</si>
  <si>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</si>
  <si>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</si>
  <si>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</si>
  <si>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</si>
  <si>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</si>
  <si>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</si>
  <si>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</si>
  <si>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</si>
  <si>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</si>
  <si>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</si>
  <si>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</si>
  <si>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</si>
  <si>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</si>
  <si>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</si>
  <si>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</si>
  <si>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</si>
  <si>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</si>
  <si>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</si>
  <si>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</si>
  <si>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</si>
  <si>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</si>
  <si>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</si>
  <si>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</si>
  <si>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</si>
  <si>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</si>
  <si>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</si>
  <si>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</si>
  <si>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</si>
  <si>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</si>
  <si>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</si>
  <si>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</si>
  <si>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</si>
  <si>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</si>
  <si>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</si>
  <si>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</si>
  <si>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</si>
  <si>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</si>
  <si>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</si>
  <si>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</si>
  <si>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</si>
  <si>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</si>
  <si>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</si>
  <si>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</si>
  <si>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</si>
  <si>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</si>
  <si>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</si>
  <si>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</si>
  <si>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</si>
  <si>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</si>
  <si>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</si>
  <si>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</si>
  <si>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</si>
  <si>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</si>
  <si>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</si>
  <si>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</si>
  <si>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</si>
  <si>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</si>
  <si>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</si>
  <si>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</si>
  <si>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</si>
  <si>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</si>
  <si>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</si>
  <si>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</si>
  <si>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</si>
  <si>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</si>
  <si>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</si>
  <si>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</si>
  <si>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</si>
  <si>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</si>
  <si>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</si>
  <si>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</si>
  <si>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</si>
  <si>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</si>
  <si>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</si>
  <si>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</si>
  <si>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</si>
  <si>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</si>
  <si>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</si>
  <si>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</si>
  <si>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</si>
  <si>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</si>
  <si>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</si>
  <si>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</si>
  <si>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</si>
  <si>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</si>
  <si>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</si>
  <si>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</si>
  <si>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</si>
  <si>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</si>
  <si>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</si>
  <si>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</si>
  <si>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</si>
  <si>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</si>
  <si>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</si>
  <si>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</si>
  <si>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</si>
  <si>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</si>
  <si>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</si>
  <si>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</si>
  <si>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</si>
  <si>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</si>
  <si>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</si>
  <si>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</si>
  <si>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</si>
  <si>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</si>
  <si>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</si>
  <si>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</si>
  <si>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</si>
  <si>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</si>
  <si>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</si>
  <si>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</si>
  <si>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</si>
  <si>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</si>
  <si>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</si>
  <si>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</si>
  <si>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</si>
  <si>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</si>
  <si>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</si>
  <si>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</si>
  <si>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</si>
  <si>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</si>
  <si>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</si>
  <si>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</si>
  <si>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</si>
  <si>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</si>
  <si>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</si>
  <si>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</si>
  <si>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</si>
  <si>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</si>
  <si>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</si>
  <si>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</si>
  <si>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</si>
  <si>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</si>
  <si>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</si>
  <si>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</si>
  <si>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</si>
  <si>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</si>
  <si>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</si>
  <si>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</si>
  <si>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</si>
  <si>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</si>
  <si>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</si>
  <si>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</si>
  <si>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</si>
  <si>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</si>
  <si>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</si>
  <si>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</si>
  <si>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</si>
  <si>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</si>
  <si>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</si>
  <si>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</si>
  <si>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</si>
  <si>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</si>
  <si>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</si>
  <si>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</si>
  <si>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</si>
  <si>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</si>
  <si>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</si>
  <si>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</si>
  <si>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</si>
  <si>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</si>
  <si>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</si>
  <si>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</si>
  <si>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</si>
  <si>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</si>
  <si>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</si>
  <si>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</si>
  <si>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</si>
  <si>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</si>
  <si>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</si>
  <si>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</si>
  <si>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</si>
  <si>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</si>
  <si>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</si>
  <si>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</si>
  <si>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</si>
  <si>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</si>
  <si>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</si>
  <si>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</si>
  <si>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</si>
  <si>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</si>
  <si>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</si>
  <si>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</si>
  <si>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</si>
  <si>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</si>
  <si>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</si>
  <si>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</si>
  <si>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</si>
  <si>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</si>
  <si>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</si>
  <si>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</si>
  <si>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</si>
  <si>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</si>
  <si>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</si>
  <si>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</si>
  <si>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</si>
  <si>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</si>
  <si>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</si>
  <si>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</si>
  <si>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</si>
  <si>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</si>
  <si>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</si>
  <si>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</si>
  <si>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</si>
  <si>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</si>
  <si>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</si>
  <si>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</si>
  <si>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</si>
  <si>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</si>
  <si>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</si>
  <si>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</si>
  <si>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</si>
  <si>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</si>
  <si>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</si>
  <si>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</si>
  <si>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</si>
  <si>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</si>
  <si>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</si>
  <si>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</si>
  <si>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</si>
  <si>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</si>
  <si>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</si>
  <si>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</si>
  <si>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</si>
  <si>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</si>
  <si>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</si>
  <si>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</si>
  <si>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</si>
  <si>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</si>
  <si>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</si>
  <si>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</si>
  <si>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</si>
  <si>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</si>
  <si>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</si>
  <si>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</si>
  <si>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</si>
  <si>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</si>
  <si>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</si>
  <si>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</si>
  <si>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</si>
  <si>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</si>
  <si>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</si>
  <si>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</si>
  <si>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</si>
  <si>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</si>
  <si>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</si>
  <si>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</si>
  <si>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</si>
  <si>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</si>
  <si>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</si>
  <si>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</si>
  <si>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</si>
  <si>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</si>
  <si>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</si>
  <si>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</si>
  <si>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</si>
  <si>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</si>
  <si>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</si>
  <si>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</si>
  <si>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</si>
  <si>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</si>
  <si>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</si>
  <si>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</si>
  <si>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</si>
  <si>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</si>
  <si>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</si>
  <si>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</si>
  <si>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</si>
  <si>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</si>
  <si>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</si>
  <si>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</si>
  <si>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</si>
  <si>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</si>
  <si>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</si>
  <si>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</si>
  <si>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</si>
  <si>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</si>
  <si>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</si>
  <si>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</si>
  <si>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</si>
  <si>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</si>
  <si>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</si>
  <si>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</si>
  <si>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</si>
  <si>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</si>
  <si>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</si>
  <si>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</si>
  <si>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</si>
  <si>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</si>
  <si>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</si>
  <si>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</si>
  <si>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</si>
  <si>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</si>
  <si>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</si>
  <si>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</si>
  <si>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</si>
  <si>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</si>
  <si>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</si>
  <si>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</si>
  <si>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</si>
  <si>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</si>
  <si>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</si>
  <si>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</si>
  <si>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</si>
  <si>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</si>
  <si>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</si>
  <si>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</si>
  <si>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</si>
  <si>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</si>
  <si>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</si>
  <si>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</si>
  <si>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</si>
  <si>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</si>
  <si>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</si>
  <si>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</si>
  <si>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</si>
  <si>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</si>
  <si>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</si>
  <si>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</si>
  <si>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</si>
  <si>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</si>
  <si>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</si>
  <si>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</si>
  <si>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</si>
  <si>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</si>
  <si>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</si>
  <si>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</si>
  <si>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</si>
  <si>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</si>
  <si>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</si>
  <si>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</si>
  <si>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</si>
  <si>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</si>
  <si>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</si>
  <si>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</si>
  <si>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</si>
  <si>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</si>
  <si>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</si>
  <si>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</si>
  <si>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</si>
  <si>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</si>
  <si>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</si>
  <si>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</si>
  <si>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</si>
  <si>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</si>
  <si>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</si>
  <si>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</si>
  <si>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</si>
  <si>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</si>
  <si>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</si>
  <si>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</si>
  <si>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</si>
  <si>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</si>
  <si>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</si>
  <si>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</si>
  <si>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</si>
  <si>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</si>
  <si>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</si>
  <si>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</si>
  <si>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</si>
  <si>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</si>
  <si>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</si>
  <si>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</si>
  <si>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</si>
  <si>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</si>
  <si>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</si>
  <si>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</si>
  <si>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</si>
  <si>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</si>
  <si>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</si>
  <si>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</si>
  <si>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</si>
  <si>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</si>
  <si>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</si>
  <si>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</si>
  <si>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</si>
  <si>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</si>
  <si>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</si>
  <si>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</si>
  <si>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</si>
  <si>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</si>
  <si>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</si>
  <si>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</si>
  <si>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</si>
  <si>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</si>
  <si>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</si>
  <si>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</si>
  <si>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</si>
  <si>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</si>
  <si>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</si>
  <si>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</si>
  <si>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</si>
  <si>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</si>
  <si>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</si>
  <si>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</si>
  <si>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</si>
  <si>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</si>
  <si>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</si>
  <si>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</si>
  <si>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</si>
  <si>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</si>
  <si>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</si>
  <si>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</si>
  <si>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</si>
  <si>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</si>
  <si>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</si>
  <si>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</si>
  <si>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</si>
  <si>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</si>
  <si>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</si>
  <si>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</si>
  <si>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</si>
  <si>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</si>
  <si>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</si>
  <si>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</si>
  <si>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</si>
  <si>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</si>
  <si>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</si>
  <si>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</si>
  <si>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</si>
  <si>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</si>
  <si>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</si>
  <si>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</si>
  <si>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</si>
  <si>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</si>
  <si>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</si>
  <si>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</si>
  <si>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</si>
  <si>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</si>
  <si>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</si>
  <si>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</si>
  <si>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</si>
  <si>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</si>
  <si>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</si>
  <si>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</si>
  <si>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</si>
  <si>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</si>
  <si>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</si>
  <si>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</si>
  <si>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</si>
  <si>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</si>
  <si>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</si>
  <si>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</si>
  <si>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</si>
  <si>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</si>
  <si>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</si>
  <si>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</si>
  <si>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</si>
  <si>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</si>
  <si>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</si>
  <si>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</si>
  <si>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</si>
  <si>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</si>
  <si>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</si>
  <si>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</si>
  <si>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</si>
  <si>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</si>
  <si>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</si>
  <si>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</si>
  <si>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</si>
  <si>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</si>
  <si>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</si>
  <si>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</si>
  <si>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</si>
  <si>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</si>
  <si>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</si>
  <si>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</si>
  <si>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</si>
  <si>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</si>
  <si>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</si>
  <si>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</si>
  <si>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</si>
  <si>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</si>
  <si>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</si>
  <si>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</si>
  <si>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</si>
  <si>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</si>
  <si>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</si>
  <si>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</si>
  <si>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</si>
  <si>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</si>
  <si>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</si>
  <si>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</si>
  <si>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</si>
  <si>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</si>
  <si>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</si>
  <si>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</si>
  <si>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</si>
  <si>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</si>
  <si>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</si>
  <si>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</si>
  <si>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</si>
  <si>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</si>
  <si>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</si>
  <si>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</si>
  <si>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</si>
  <si>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</si>
  <si>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</si>
  <si>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</si>
  <si>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</si>
  <si>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</si>
  <si>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</si>
  <si>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</si>
  <si>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</si>
  <si>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</si>
  <si>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</si>
  <si>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</si>
  <si>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</si>
  <si>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</si>
  <si>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</si>
  <si>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</si>
  <si>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</si>
  <si>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</si>
  <si>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</si>
  <si>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</si>
  <si>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</si>
  <si>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</si>
  <si>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</si>
  <si>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</si>
  <si>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</si>
  <si>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</si>
  <si>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</si>
  <si>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</si>
  <si>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</si>
  <si>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</si>
  <si>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</si>
  <si>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</si>
  <si>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</si>
  <si>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</si>
  <si>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</si>
  <si>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</si>
  <si>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</si>
  <si>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</si>
  <si>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</si>
  <si>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</si>
  <si>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</si>
  <si>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</si>
  <si>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</si>
  <si>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</si>
  <si>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</si>
  <si>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</si>
  <si>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</si>
  <si>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</si>
  <si>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</si>
  <si>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</si>
  <si>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</si>
  <si>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</si>
  <si>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</si>
  <si>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</si>
  <si>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</si>
  <si>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</si>
  <si>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</si>
  <si>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</si>
  <si>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</si>
  <si>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</si>
  <si>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</si>
  <si>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</si>
  <si>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</si>
  <si>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</si>
  <si>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</si>
  <si>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</si>
  <si>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</si>
  <si>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</si>
  <si>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</si>
  <si>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</si>
  <si>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</si>
  <si>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</si>
  <si>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</si>
  <si>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</si>
  <si>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</si>
  <si>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</si>
  <si>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</si>
  <si>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</si>
  <si>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</si>
  <si>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</si>
  <si>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</si>
  <si>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</si>
  <si>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</si>
  <si>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</si>
  <si>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</si>
  <si>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</si>
  <si>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</si>
  <si>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</si>
  <si>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</si>
  <si>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</si>
  <si>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</si>
  <si>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</si>
  <si>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</si>
  <si>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</si>
  <si>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</si>
  <si>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</si>
  <si>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</si>
  <si>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</si>
  <si>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</si>
  <si>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</si>
  <si>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</si>
  <si>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</si>
  <si>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</si>
  <si>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</si>
  <si>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</si>
  <si>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</si>
  <si>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</si>
  <si>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</si>
  <si>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</si>
  <si>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</si>
  <si>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</si>
  <si>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</si>
  <si>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</si>
  <si>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</si>
  <si>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</si>
  <si>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</si>
  <si>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</si>
  <si>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</si>
  <si>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</si>
  <si>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</si>
  <si>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</si>
  <si>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</si>
  <si>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</si>
  <si>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</si>
  <si>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</si>
  <si>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</si>
  <si>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</si>
  <si>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</si>
  <si>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</si>
  <si>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</si>
  <si>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</si>
  <si>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</si>
  <si>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</si>
  <si>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</si>
  <si>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</si>
  <si>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</si>
  <si>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</si>
  <si>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</si>
  <si>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</si>
  <si>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</si>
  <si>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</si>
  <si>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</si>
  <si>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</si>
  <si>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</si>
  <si>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</si>
  <si>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</si>
  <si>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</si>
  <si>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</si>
  <si>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</si>
  <si>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</si>
  <si>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</si>
  <si>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</si>
  <si>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</si>
  <si>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</si>
  <si>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</si>
  <si>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</si>
  <si>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</si>
  <si>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</si>
  <si>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</si>
  <si>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</si>
  <si>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</si>
  <si>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</si>
  <si>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</si>
  <si>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</si>
  <si>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</si>
  <si>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</si>
  <si>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</si>
  <si>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</si>
  <si>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</si>
  <si>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</si>
  <si>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</si>
  <si>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</si>
  <si>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</si>
  <si>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</si>
  <si>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</si>
  <si>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</si>
  <si>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</si>
  <si>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</si>
  <si>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</si>
  <si>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</si>
  <si>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</si>
  <si>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</si>
  <si>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</si>
  <si>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</si>
  <si>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</si>
  <si>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</si>
  <si>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</si>
  <si>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</si>
  <si>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</si>
  <si>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</si>
  <si>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</si>
  <si>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</si>
  <si>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</si>
  <si>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</si>
  <si>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</si>
  <si>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</si>
  <si>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</si>
  <si>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</si>
  <si>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</si>
  <si>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</si>
  <si>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</si>
  <si>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</si>
  <si>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</si>
  <si>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</si>
  <si>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</si>
  <si>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</si>
  <si>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</si>
  <si>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</si>
  <si>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</si>
  <si>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</si>
  <si>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</si>
  <si>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</si>
  <si>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</si>
  <si>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</si>
  <si>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</si>
  <si>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</si>
  <si>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</si>
  <si>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</si>
  <si>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</si>
  <si>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</si>
  <si>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</si>
  <si>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</si>
  <si>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</si>
  <si>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</si>
  <si>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</si>
  <si>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</si>
  <si>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</si>
  <si>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</si>
  <si>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</si>
  <si>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</si>
  <si>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</si>
  <si>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</si>
  <si>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</si>
  <si>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</si>
  <si>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</si>
  <si>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</si>
  <si>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</si>
  <si>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</si>
  <si>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</si>
  <si>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</si>
  <si>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</si>
  <si>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</si>
  <si>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</si>
  <si>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</si>
  <si>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</si>
  <si>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</si>
  <si>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</si>
  <si>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</si>
  <si>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</si>
  <si>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</si>
  <si>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</si>
  <si>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</si>
  <si>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</si>
  <si>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</si>
  <si>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</si>
  <si>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</si>
  <si>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</si>
  <si>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</si>
  <si>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</si>
  <si>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</si>
  <si>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</si>
  <si>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</si>
  <si>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</si>
  <si>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</si>
  <si>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</si>
  <si>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</si>
  <si>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</si>
  <si>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</si>
  <si>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</si>
  <si>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</si>
  <si>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</si>
  <si>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</si>
  <si>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</si>
  <si>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</si>
  <si>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</si>
  <si>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</si>
  <si>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</si>
  <si>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</si>
  <si>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</si>
  <si>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</si>
  <si>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</si>
  <si>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</si>
  <si>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</si>
  <si>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</si>
  <si>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</si>
  <si>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</si>
  <si>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</si>
  <si>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</si>
  <si>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</si>
  <si>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</si>
  <si>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</si>
  <si>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</si>
  <si>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</si>
  <si>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</si>
  <si>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</si>
  <si>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</si>
  <si>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</si>
  <si>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</si>
  <si>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</si>
  <si>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</si>
  <si>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</si>
  <si>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</si>
  <si>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</si>
  <si>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</si>
  <si>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</si>
  <si>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</si>
  <si>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</si>
  <si>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</si>
  <si>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</si>
  <si>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</si>
  <si>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</si>
  <si>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</si>
  <si>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</si>
  <si>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</si>
  <si>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</si>
  <si>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</si>
  <si>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</si>
  <si>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</si>
  <si>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</si>
  <si>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</si>
  <si>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</si>
  <si>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</si>
  <si>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</si>
  <si>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</si>
  <si>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</si>
  <si>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</si>
  <si>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</si>
  <si>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</si>
  <si>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</si>
  <si>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</si>
  <si>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</si>
  <si>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</si>
  <si>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</si>
  <si>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</si>
  <si>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</si>
  <si>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</si>
  <si>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</si>
  <si>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</si>
  <si>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</si>
  <si>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</si>
  <si>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</si>
  <si>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</si>
  <si>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</si>
  <si>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</si>
  <si>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</si>
  <si>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</si>
  <si>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</si>
  <si>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</si>
  <si>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</si>
  <si>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</si>
  <si>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</si>
  <si>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</si>
  <si>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</si>
  <si>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</si>
  <si>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</si>
  <si>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</si>
  <si>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</si>
  <si>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</si>
  <si>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</si>
  <si>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</si>
  <si>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</si>
  <si>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</si>
  <si>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</si>
  <si>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</si>
  <si>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</si>
  <si>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</si>
  <si>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</si>
  <si>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</si>
  <si>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</si>
  <si>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</si>
  <si>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</si>
  <si>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</si>
  <si>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</si>
  <si>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</si>
  <si>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</si>
  <si>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</si>
  <si>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</si>
  <si>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</si>
  <si>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</si>
  <si>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</si>
  <si>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</si>
  <si>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</si>
  <si>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</si>
  <si>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</si>
  <si>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</si>
  <si>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</si>
  <si>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</si>
  <si>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</si>
  <si>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</si>
  <si>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</si>
  <si>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</si>
  <si>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</si>
  <si>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</si>
  <si>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</si>
  <si>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</si>
  <si>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</si>
  <si>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</si>
  <si>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</si>
  <si>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</si>
  <si>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</si>
  <si>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</si>
  <si>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</si>
  <si>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</si>
  <si>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</si>
  <si>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</si>
  <si>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</si>
  <si>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</si>
  <si>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</si>
  <si>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</si>
  <si>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</si>
  <si>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</si>
  <si>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</si>
  <si>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</si>
  <si>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</si>
  <si>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</si>
  <si>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</si>
  <si>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</si>
  <si>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</si>
  <si>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</si>
  <si>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</si>
  <si>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</si>
  <si>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</si>
  <si>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</si>
  <si>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</si>
  <si>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</si>
  <si>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</si>
  <si>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</si>
  <si>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</si>
  <si>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</si>
  <si>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</si>
  <si>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</si>
  <si>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</si>
  <si>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</si>
  <si>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</si>
  <si>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</si>
  <si>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</si>
  <si>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</si>
  <si>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</si>
  <si>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</si>
  <si>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</si>
  <si>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</si>
  <si>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</si>
  <si>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</si>
  <si>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</si>
  <si>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</si>
  <si>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</si>
  <si>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</si>
  <si>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</si>
  <si>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</si>
  <si>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</si>
  <si>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</si>
  <si>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</si>
  <si>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</si>
  <si>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</si>
  <si>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</si>
  <si>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</si>
  <si>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</si>
  <si>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</si>
  <si>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</si>
  <si>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</si>
  <si>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</si>
  <si>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</si>
  <si>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</si>
  <si>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</si>
  <si>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</si>
  <si>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</si>
  <si>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</si>
  <si>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</si>
  <si>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</si>
  <si>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</si>
  <si>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</si>
  <si>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</si>
  <si>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</si>
  <si>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</si>
  <si>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</si>
  <si>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</si>
  <si>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</si>
  <si>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</si>
  <si>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</si>
  <si>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</si>
  <si>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</si>
  <si>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</si>
  <si>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</si>
  <si>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</si>
  <si>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</si>
  <si>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</si>
  <si>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</si>
  <si>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</si>
  <si>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</si>
  <si>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</si>
  <si>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</si>
  <si>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</si>
  <si>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</si>
  <si>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</si>
  <si>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</si>
  <si>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</si>
  <si>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</si>
  <si>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</si>
  <si>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</si>
  <si>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</si>
  <si>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</si>
  <si>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</si>
  <si>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</si>
  <si>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</si>
  <si>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</si>
  <si>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</si>
  <si>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</si>
  <si>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</si>
  <si>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</si>
  <si>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</si>
  <si>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</si>
  <si>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</si>
  <si>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</si>
  <si>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</si>
  <si>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</si>
  <si>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</si>
  <si>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</si>
  <si>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</si>
  <si>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</si>
  <si>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</si>
  <si>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</si>
  <si>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</si>
  <si>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</si>
  <si>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</si>
  <si>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</si>
  <si>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</si>
  <si>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</si>
  <si>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</si>
  <si>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</si>
  <si>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</si>
  <si>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</si>
  <si>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</si>
  <si>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</si>
  <si>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</si>
  <si>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</si>
  <si>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</si>
  <si>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</si>
  <si>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</si>
  <si>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</si>
  <si>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</si>
  <si>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</si>
  <si>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</si>
  <si>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</si>
  <si>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</si>
  <si>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</si>
  <si>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</si>
  <si>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</si>
  <si>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</si>
  <si>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</si>
  <si>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</si>
  <si>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</si>
  <si>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</si>
  <si>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</si>
  <si>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</si>
  <si>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</si>
  <si>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</si>
  <si>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</si>
  <si>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</si>
  <si>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</si>
  <si>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</si>
  <si>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</si>
  <si>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</si>
  <si>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</si>
  <si>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</si>
  <si>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</si>
  <si>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</si>
  <si>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</si>
  <si>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</si>
  <si>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</si>
  <si>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</si>
  <si>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</si>
  <si>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</si>
  <si>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</si>
  <si>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</si>
  <si>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</si>
  <si>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</si>
  <si>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</si>
  <si>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</si>
  <si>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</si>
  <si>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</si>
  <si>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</si>
  <si>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</si>
  <si>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</si>
  <si>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</si>
  <si>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</si>
  <si>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</si>
  <si>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</si>
  <si>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</si>
  <si>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</si>
  <si>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</si>
  <si>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</si>
  <si>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</si>
  <si>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</si>
  <si>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</si>
  <si>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</si>
  <si>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</si>
  <si>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</si>
  <si>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</si>
  <si>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</si>
  <si>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</si>
  <si>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</si>
  <si>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</si>
  <si>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</si>
  <si>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</si>
  <si>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</si>
  <si>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</si>
  <si>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</si>
  <si>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</si>
  <si>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</si>
  <si>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</si>
  <si>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</si>
  <si>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</si>
  <si>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</si>
  <si>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</si>
  <si>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</si>
  <si>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</si>
  <si>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</si>
  <si>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</si>
  <si>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</si>
  <si>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</si>
  <si>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</si>
  <si>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</si>
  <si>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</si>
  <si>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</si>
  <si>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</si>
  <si>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</si>
  <si>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</si>
  <si>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</si>
  <si>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</si>
  <si>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</si>
  <si>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</si>
  <si>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</si>
  <si>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</si>
  <si>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</si>
  <si>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</si>
  <si>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</si>
  <si>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</si>
  <si>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</si>
  <si>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</si>
  <si>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</si>
  <si>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</si>
  <si>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</si>
  <si>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</si>
  <si>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</si>
  <si>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</si>
  <si>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</si>
  <si>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</si>
  <si>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</si>
  <si>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</si>
  <si>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</si>
  <si>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</si>
  <si>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</si>
  <si>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</si>
  <si>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</si>
  <si>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</si>
  <si>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</si>
  <si>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</si>
  <si>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</si>
  <si>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</si>
  <si>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</si>
  <si>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</si>
  <si>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</si>
  <si>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</si>
  <si>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</si>
  <si>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</si>
  <si>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</si>
  <si>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</si>
  <si>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</si>
  <si>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</si>
  <si>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</si>
  <si>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</si>
  <si>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</si>
  <si>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</si>
  <si>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</si>
  <si>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</si>
  <si>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</si>
  <si>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</si>
  <si>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</si>
  <si>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</si>
  <si>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</si>
  <si>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</si>
  <si>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</si>
  <si>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</si>
  <si>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</si>
  <si>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</si>
  <si>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</si>
  <si>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</si>
  <si>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</si>
  <si>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</si>
  <si>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</si>
  <si>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</si>
  <si>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</si>
  <si>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</si>
  <si>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</si>
  <si>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</si>
  <si>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</si>
  <si>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</si>
  <si>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</si>
  <si>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</si>
  <si>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</si>
  <si>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</si>
  <si>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</si>
  <si>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</si>
  <si>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</si>
  <si>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</si>
  <si>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</si>
  <si>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</si>
  <si>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</si>
  <si>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</si>
  <si>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</si>
  <si>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</si>
  <si>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</si>
  <si>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</si>
  <si>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</si>
  <si>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</si>
  <si>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</si>
  <si>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</si>
  <si>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</si>
  <si>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</si>
  <si>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</si>
  <si>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</si>
  <si>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</si>
  <si>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</si>
  <si>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</si>
  <si>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</si>
  <si>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</si>
  <si>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</si>
  <si>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</si>
  <si>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</si>
  <si>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</si>
  <si>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</si>
  <si>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</si>
  <si>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</si>
  <si>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</si>
  <si>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</si>
  <si>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</si>
  <si>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</si>
  <si>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</si>
  <si>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</si>
  <si>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</si>
  <si>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</si>
  <si>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</si>
  <si>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</si>
  <si>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</si>
  <si>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</si>
  <si>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</si>
  <si>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</si>
  <si>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</si>
  <si>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</si>
  <si>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</si>
  <si>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</si>
  <si>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</si>
  <si>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</si>
  <si>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</si>
  <si>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</si>
  <si>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</si>
  <si>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</si>
  <si>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</si>
  <si>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</si>
  <si>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</si>
  <si>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</si>
  <si>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</si>
  <si>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</si>
  <si>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</si>
  <si>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</si>
  <si>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</si>
  <si>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</si>
  <si>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</si>
  <si>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</si>
  <si>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</si>
  <si>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</si>
  <si>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</si>
  <si>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</si>
  <si>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</si>
  <si>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</si>
  <si>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</si>
  <si>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</si>
  <si>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</si>
  <si>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</si>
  <si>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</si>
  <si>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</si>
  <si>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</si>
  <si>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</si>
  <si>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</si>
  <si>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</si>
  <si>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</si>
  <si>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</si>
  <si>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</si>
  <si>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</si>
  <si>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</si>
  <si>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</si>
  <si>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</si>
  <si>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</si>
  <si>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</si>
  <si>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</si>
  <si>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</si>
  <si>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</si>
  <si>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</si>
  <si>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</si>
  <si>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</si>
  <si>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</si>
  <si>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</si>
  <si>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</si>
  <si>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</si>
  <si>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</si>
  <si>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</si>
  <si>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</si>
  <si>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</si>
  <si>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</si>
  <si>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</si>
  <si>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</si>
  <si>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</si>
  <si>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</si>
  <si>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</si>
  <si>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</si>
  <si>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</si>
  <si>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</si>
  <si>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</si>
  <si>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</si>
  <si>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</si>
  <si>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</si>
  <si>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</si>
  <si>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</si>
  <si>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</si>
  <si>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</si>
  <si>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</si>
  <si>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</si>
  <si>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</si>
  <si>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</si>
  <si>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</si>
  <si>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</si>
  <si>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</si>
  <si>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</si>
  <si>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</si>
  <si>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</si>
  <si>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</si>
  <si>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</si>
  <si>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</si>
  <si>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</si>
  <si>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</si>
  <si>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</si>
  <si>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</si>
  <si>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</si>
  <si>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</si>
  <si>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</si>
  <si>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</si>
  <si>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</si>
  <si>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</si>
  <si>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</si>
  <si>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</si>
  <si>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</si>
  <si>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</si>
  <si>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</si>
  <si>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</si>
  <si>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</si>
  <si>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</si>
  <si>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</si>
  <si>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</si>
  <si>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</si>
  <si>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</si>
  <si>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</si>
  <si>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</si>
  <si>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</si>
  <si>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</si>
  <si>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</si>
  <si>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</si>
  <si>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</si>
  <si>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</si>
  <si>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</si>
  <si>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</si>
  <si>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</si>
  <si>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</si>
  <si>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</si>
  <si>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</si>
  <si>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</si>
  <si>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</si>
  <si>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</si>
  <si>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</si>
  <si>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</si>
  <si>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</si>
  <si>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</si>
  <si>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</si>
  <si>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</si>
  <si>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</si>
  <si>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</si>
  <si>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</si>
  <si>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</si>
  <si>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</si>
  <si>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</si>
  <si>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</si>
  <si>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</si>
  <si>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</si>
  <si>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</si>
  <si>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</si>
  <si>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</si>
  <si>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</si>
  <si>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</si>
  <si>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</si>
  <si>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</si>
  <si>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</si>
  <si>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</si>
  <si>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</si>
  <si>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</si>
  <si>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</si>
  <si>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</si>
  <si>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</si>
  <si>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</si>
  <si>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</si>
  <si>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</si>
  <si>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</si>
  <si>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</si>
  <si>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</si>
  <si>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</si>
  <si>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</si>
  <si>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</si>
  <si>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</si>
  <si>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</si>
  <si>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</si>
  <si>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</si>
  <si>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</si>
  <si>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</si>
  <si>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</si>
  <si>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</si>
  <si>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</si>
  <si>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</si>
  <si>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</si>
  <si>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</si>
  <si>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</si>
  <si>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</si>
  <si>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</si>
  <si>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</si>
  <si>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</si>
  <si>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</si>
  <si>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</si>
  <si>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</si>
  <si>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</si>
  <si>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</si>
  <si>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</si>
  <si>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</si>
  <si>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</si>
  <si>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</si>
  <si>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</si>
  <si>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</si>
  <si>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</si>
  <si>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</si>
  <si>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</si>
  <si>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</si>
  <si>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</si>
  <si>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</si>
  <si>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</si>
  <si>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</si>
  <si>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</si>
  <si>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</si>
  <si>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</si>
  <si>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</si>
  <si>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</si>
  <si>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</si>
  <si>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</si>
  <si>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</si>
  <si>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</si>
  <si>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</si>
  <si>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</si>
  <si>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</si>
  <si>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</si>
  <si>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</si>
  <si>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</si>
  <si>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</si>
  <si>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</si>
  <si>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</si>
  <si>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</si>
  <si>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</si>
  <si>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</si>
  <si>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</si>
  <si>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</si>
  <si>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</si>
  <si>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</si>
  <si>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</si>
  <si>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</si>
  <si>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</si>
  <si>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</si>
  <si>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</si>
  <si>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</si>
  <si>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</si>
  <si>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</si>
  <si>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</si>
  <si>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</si>
  <si>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</si>
  <si>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</si>
  <si>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</si>
  <si>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</si>
  <si>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</si>
  <si>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</si>
  <si>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</si>
  <si>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</si>
  <si>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</si>
  <si>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</si>
  <si>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</si>
  <si>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</si>
  <si>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</si>
  <si>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</si>
  <si>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</si>
  <si>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</si>
  <si>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</si>
  <si>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</si>
  <si>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</si>
  <si>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</si>
  <si>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</si>
  <si>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</si>
  <si>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</si>
  <si>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</si>
  <si>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</si>
  <si>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</si>
  <si>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</si>
  <si>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</si>
  <si>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</si>
  <si>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</si>
  <si>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</si>
  <si>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</si>
  <si>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</si>
  <si>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</si>
  <si>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</si>
  <si>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</si>
  <si>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</si>
  <si>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</si>
  <si>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</si>
  <si>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</si>
  <si>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</si>
  <si>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</si>
  <si>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</si>
  <si>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</si>
  <si>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</si>
  <si>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</si>
  <si>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</si>
  <si>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</si>
  <si>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</si>
  <si>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</si>
  <si>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</si>
  <si>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</si>
  <si>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</si>
  <si>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</si>
  <si>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</si>
  <si>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</si>
  <si>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</si>
  <si>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</si>
  <si>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</si>
  <si>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</si>
  <si>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</si>
  <si>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</si>
  <si>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</si>
  <si>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</si>
  <si>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</si>
  <si>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</si>
  <si>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</si>
  <si>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</si>
  <si>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</si>
  <si>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</si>
  <si>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</si>
  <si>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</si>
  <si>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</si>
  <si>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</si>
  <si>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</si>
  <si>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</si>
  <si>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</si>
  <si>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</si>
  <si>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</si>
  <si>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</si>
  <si>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</si>
  <si>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</si>
  <si>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</si>
  <si>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</si>
  <si>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</si>
  <si>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</si>
  <si>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</si>
  <si>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</si>
  <si>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</si>
  <si>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</si>
  <si>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</si>
  <si>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</si>
  <si>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</si>
  <si>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</si>
  <si>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</si>
  <si>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</si>
  <si>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</si>
  <si>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</si>
  <si>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</si>
  <si>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</si>
  <si>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</si>
  <si>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</si>
  <si>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</si>
  <si>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</si>
  <si>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</si>
  <si>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</si>
  <si>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</si>
  <si>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</si>
  <si>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</si>
  <si>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</si>
  <si>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</si>
  <si>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</si>
  <si>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</si>
  <si>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</si>
  <si>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</si>
  <si>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</si>
  <si>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</si>
  <si>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</si>
  <si>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</si>
  <si>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</si>
  <si>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</si>
  <si>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</si>
  <si>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</si>
  <si>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</si>
  <si>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</si>
  <si>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</si>
  <si>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</si>
  <si>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</si>
  <si>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</si>
  <si>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</si>
  <si>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</si>
  <si>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</si>
  <si>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</si>
  <si>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</si>
  <si>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</si>
  <si>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</si>
  <si>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</si>
  <si>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</si>
  <si>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</si>
  <si>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</si>
  <si>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</si>
  <si>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</si>
  <si>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</si>
  <si>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</si>
  <si>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</si>
  <si>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</si>
  <si>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</si>
  <si>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</si>
  <si>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</si>
  <si>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</si>
  <si>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</si>
  <si>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</si>
  <si>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</si>
  <si>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</si>
  <si>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</si>
  <si>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</si>
  <si>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</si>
  <si>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</si>
  <si>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</si>
  <si>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</si>
  <si>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</si>
  <si>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</si>
  <si>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</si>
  <si>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</si>
  <si>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</si>
  <si>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</si>
  <si>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</si>
  <si>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</si>
  <si>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</si>
  <si>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</si>
  <si>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</si>
  <si>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</si>
  <si>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</si>
  <si>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</si>
  <si>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</si>
  <si>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</si>
  <si>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</si>
  <si>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</si>
  <si>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</si>
  <si>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</si>
  <si>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</si>
  <si>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</si>
  <si>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</si>
  <si>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</si>
  <si>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</si>
  <si>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</si>
  <si>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</si>
  <si>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</si>
  <si>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</si>
  <si>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</si>
  <si>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</si>
  <si>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</si>
  <si>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</si>
  <si>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</si>
  <si>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</si>
  <si>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</si>
  <si>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</si>
  <si>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</si>
  <si>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</si>
  <si>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</si>
  <si>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</si>
  <si>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</si>
  <si>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</si>
  <si>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</si>
  <si>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</si>
  <si>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</si>
  <si>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</si>
  <si>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</si>
  <si>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</si>
  <si>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</si>
  <si>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</si>
  <si>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</si>
  <si>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</si>
  <si>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</si>
  <si>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</si>
  <si>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</si>
  <si>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</si>
  <si>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</si>
  <si>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</si>
  <si>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</si>
  <si>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</si>
  <si>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</si>
  <si>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</si>
  <si>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</si>
  <si>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</si>
  <si>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</si>
  <si>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</si>
  <si>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</si>
  <si>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</si>
  <si>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</si>
  <si>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</si>
  <si>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</si>
  <si>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</si>
  <si>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</si>
  <si>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</si>
  <si>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</si>
  <si>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</si>
  <si>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</si>
  <si>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</si>
  <si>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</si>
  <si>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</si>
  <si>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</si>
  <si>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</si>
  <si>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</si>
  <si>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</si>
  <si>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</si>
  <si>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</si>
  <si>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</si>
  <si>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</si>
  <si>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</si>
  <si>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</si>
  <si>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</si>
  <si>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</si>
  <si>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</si>
  <si>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</si>
  <si>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</si>
  <si>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</si>
  <si>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</si>
  <si>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</si>
  <si>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</si>
  <si>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</si>
  <si>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</si>
  <si>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</si>
  <si>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</si>
  <si>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</si>
  <si>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</si>
  <si>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</si>
  <si>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</si>
  <si>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</si>
  <si>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</si>
  <si>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</si>
  <si>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</si>
  <si>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</si>
  <si>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</si>
  <si>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</si>
  <si>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</si>
  <si>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</si>
  <si>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</si>
  <si>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</si>
  <si>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</si>
  <si>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</si>
  <si>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</si>
  <si>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</si>
  <si>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</si>
  <si>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</si>
  <si>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</si>
  <si>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</si>
  <si>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</si>
  <si>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</si>
  <si>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</si>
  <si>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</si>
  <si>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</si>
  <si>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</si>
  <si>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</si>
  <si>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</si>
  <si>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</si>
  <si>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</si>
  <si>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</si>
  <si>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</si>
  <si>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</si>
  <si>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</si>
  <si>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</si>
  <si>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</si>
  <si>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</si>
  <si>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</si>
  <si>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</si>
  <si>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</si>
  <si>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</si>
  <si>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</si>
  <si>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</si>
  <si>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</si>
  <si>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</si>
  <si>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</si>
  <si>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</si>
  <si>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</si>
  <si>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</si>
  <si>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</si>
  <si>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</si>
  <si>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</si>
  <si>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</si>
  <si>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</si>
  <si>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</si>
  <si>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</si>
  <si>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</si>
  <si>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</si>
  <si>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</si>
  <si>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</si>
  <si>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</si>
  <si>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</si>
  <si>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</si>
  <si>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</si>
  <si>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</si>
  <si>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</si>
  <si>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</si>
  <si>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</si>
  <si>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</si>
  <si>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</si>
  <si>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</si>
  <si>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</si>
  <si>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</si>
  <si>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</si>
  <si>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</si>
  <si>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</si>
  <si>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</si>
  <si>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</si>
  <si>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</si>
  <si>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</si>
  <si>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</si>
  <si>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</si>
  <si>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</si>
  <si>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</si>
  <si>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</si>
  <si>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</si>
  <si>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</si>
  <si>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</si>
  <si>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</si>
  <si>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</si>
  <si>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</si>
  <si>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</si>
  <si>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</si>
  <si>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</si>
  <si>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</si>
  <si>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</si>
  <si>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</si>
  <si>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</si>
  <si>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</si>
  <si>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</si>
  <si>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</si>
  <si>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</si>
  <si>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</si>
  <si>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</si>
  <si>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</si>
  <si>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</si>
  <si>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</si>
  <si>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</si>
  <si>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</si>
  <si>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</si>
  <si>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</si>
  <si>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</si>
  <si>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</si>
  <si>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</si>
  <si>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</si>
  <si>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</si>
  <si>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</si>
  <si>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</si>
  <si>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</si>
  <si>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</si>
  <si>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</si>
  <si>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</si>
  <si>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</si>
  <si>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</si>
  <si>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</si>
  <si>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</si>
  <si>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</si>
  <si>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</si>
  <si>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</si>
  <si>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</si>
  <si>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</si>
  <si>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</si>
  <si>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</si>
  <si>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</si>
  <si>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</si>
  <si>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</si>
  <si>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</si>
  <si>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</si>
  <si>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</si>
  <si>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</si>
  <si>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</si>
  <si>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</si>
  <si>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</si>
  <si>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</si>
  <si>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</si>
  <si>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</si>
  <si>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</si>
  <si>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</si>
  <si>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</si>
  <si>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</si>
  <si>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</si>
  <si>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</si>
  <si>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</si>
  <si>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</si>
  <si>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</si>
  <si>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</si>
  <si>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</si>
  <si>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</si>
  <si>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</si>
  <si>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</si>
  <si>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</si>
  <si>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</si>
  <si>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</si>
  <si>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</si>
  <si>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</si>
  <si>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</si>
  <si>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</si>
  <si>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</si>
  <si>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</si>
  <si>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</si>
  <si>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</si>
  <si>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</si>
  <si>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</si>
  <si>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</si>
  <si>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</si>
  <si>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</si>
  <si>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</si>
  <si>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</si>
  <si>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</si>
  <si>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</si>
  <si>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</si>
  <si>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</si>
  <si>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</si>
  <si>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</si>
  <si>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</si>
  <si>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</si>
  <si>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</si>
  <si>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</si>
  <si>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</si>
  <si>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</si>
  <si>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</si>
  <si>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</si>
  <si>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</si>
  <si>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</si>
  <si>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</si>
  <si>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</si>
  <si>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</si>
  <si>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</si>
  <si>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</si>
  <si>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</si>
  <si>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</si>
  <si>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</si>
  <si>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</si>
  <si>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</si>
  <si>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</si>
  <si>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</si>
  <si>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</si>
  <si>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</si>
  <si>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</si>
  <si>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</si>
  <si>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</si>
  <si>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</si>
  <si>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</si>
  <si>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</si>
  <si>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</si>
  <si>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</si>
  <si>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</si>
  <si>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</si>
  <si>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</si>
  <si>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</si>
  <si>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</si>
  <si>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</si>
  <si>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</si>
  <si>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</si>
  <si>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</si>
  <si>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</si>
  <si>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</si>
  <si>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</si>
  <si>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</si>
  <si>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</si>
  <si>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</si>
  <si>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</si>
  <si>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</si>
  <si>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</si>
  <si>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</si>
  <si>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</si>
  <si>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</si>
  <si>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</si>
  <si>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</si>
  <si>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</si>
  <si>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</si>
  <si>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</si>
  <si>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</si>
  <si>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</si>
  <si>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</si>
  <si>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</si>
  <si>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</si>
  <si>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</si>
  <si>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</si>
  <si>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</si>
  <si>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</si>
  <si>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</si>
  <si>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</si>
  <si>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</si>
  <si>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</si>
  <si>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</si>
  <si>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</si>
  <si>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</si>
  <si>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</si>
  <si>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</si>
  <si>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</si>
  <si>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</si>
  <si>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</si>
  <si>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</si>
  <si>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</si>
  <si>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</si>
  <si>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</si>
  <si>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</si>
  <si>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</si>
  <si>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</si>
  <si>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</si>
  <si>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</si>
  <si>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</si>
  <si>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</si>
  <si>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</si>
  <si>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</si>
  <si>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</si>
  <si>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</si>
  <si>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</si>
  <si>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</si>
  <si>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</si>
  <si>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</si>
  <si>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</si>
  <si>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</si>
  <si>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</si>
  <si>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</si>
  <si>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</si>
  <si>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</si>
  <si>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</si>
  <si>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</si>
  <si>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</si>
  <si>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</si>
  <si>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</si>
  <si>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</si>
  <si>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</si>
  <si>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</si>
  <si>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</si>
  <si>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</si>
  <si>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</si>
  <si>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</si>
  <si>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</si>
  <si>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</si>
  <si>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</si>
  <si>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</si>
  <si>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</si>
  <si>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</si>
  <si>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</si>
  <si>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</si>
  <si>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</si>
  <si>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</si>
  <si>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</si>
  <si>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</si>
  <si>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</si>
  <si>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</si>
  <si>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</si>
  <si>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</si>
  <si>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</si>
  <si>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</si>
  <si>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</si>
  <si>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</si>
  <si>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</si>
  <si>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</si>
  <si>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</si>
  <si>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</si>
  <si>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</si>
  <si>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</si>
  <si>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</si>
  <si>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</si>
  <si>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</si>
  <si>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</si>
  <si>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</si>
  <si>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</si>
  <si>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</si>
  <si>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</si>
  <si>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</si>
  <si>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</si>
  <si>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</si>
  <si>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</si>
  <si>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</si>
  <si>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</si>
  <si>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</si>
  <si>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</si>
  <si>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</si>
  <si>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</si>
  <si>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</si>
  <si>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</si>
  <si>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</si>
  <si>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</si>
  <si>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</si>
  <si>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</si>
  <si>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</si>
  <si>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</si>
  <si>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</si>
  <si>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</si>
  <si>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</si>
  <si>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</si>
  <si>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</si>
  <si>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</si>
  <si>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</si>
  <si>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</si>
  <si>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</si>
  <si>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</si>
  <si>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</si>
  <si>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</si>
  <si>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</si>
  <si>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</si>
  <si>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</si>
  <si>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</si>
  <si>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</si>
  <si>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</si>
  <si>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</si>
  <si>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</si>
  <si>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</si>
  <si>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</si>
  <si>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</si>
  <si>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</si>
  <si>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</si>
  <si>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</si>
  <si>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</si>
  <si>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</si>
  <si>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</si>
  <si>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</si>
  <si>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</si>
  <si>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</si>
  <si>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</si>
  <si>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</si>
  <si>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</si>
  <si>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</si>
  <si>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</si>
  <si>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</si>
  <si>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</si>
  <si>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</si>
  <si>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</si>
  <si>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</si>
  <si>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</si>
  <si>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</si>
  <si>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</si>
  <si>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</si>
  <si>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</si>
  <si>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</si>
  <si>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</si>
  <si>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</si>
  <si>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</si>
  <si>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</si>
  <si>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</si>
  <si>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</si>
  <si>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</si>
  <si>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</si>
  <si>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</si>
  <si>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</si>
  <si>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</si>
  <si>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</si>
  <si>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</si>
  <si>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</si>
  <si>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</si>
  <si>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</si>
  <si>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</si>
  <si>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</si>
  <si>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</si>
  <si>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</si>
  <si>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</si>
  <si>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</si>
  <si>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</si>
  <si>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</si>
  <si>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</si>
  <si>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</si>
  <si>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</si>
  <si>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</si>
  <si>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</si>
  <si>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</si>
  <si>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</si>
  <si>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</si>
  <si>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</si>
  <si>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</si>
  <si>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</si>
  <si>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</si>
  <si>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</si>
  <si>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</si>
  <si>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</si>
  <si>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</si>
  <si>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</si>
  <si>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</si>
  <si>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</si>
  <si>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</si>
  <si>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</si>
  <si>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</si>
  <si>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</si>
  <si>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</si>
  <si>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</si>
  <si>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</si>
  <si>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</si>
  <si>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</si>
  <si>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</si>
  <si>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</si>
  <si>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</si>
  <si>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</si>
  <si>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</si>
  <si>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</si>
  <si>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</si>
  <si>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</si>
  <si>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</si>
  <si>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</si>
  <si>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</si>
  <si>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</si>
  <si>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</si>
  <si>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</si>
  <si>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</si>
  <si>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</si>
  <si>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</si>
  <si>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</si>
  <si>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</si>
  <si>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</si>
  <si>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</si>
  <si>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</si>
  <si>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</si>
  <si>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</si>
  <si>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</si>
  <si>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</si>
  <si>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</si>
  <si>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</si>
  <si>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</si>
  <si>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</si>
  <si>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</si>
  <si>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</si>
  <si>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</si>
  <si>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</si>
  <si>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</si>
  <si>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</si>
  <si>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</si>
  <si>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</si>
  <si>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</si>
  <si>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</si>
  <si>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</si>
  <si>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</si>
  <si>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</si>
  <si>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</si>
  <si>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</si>
  <si>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</si>
  <si>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</si>
  <si>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</si>
  <si>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</si>
  <si>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</si>
  <si>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</si>
  <si>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</si>
  <si>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</si>
  <si>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</si>
  <si>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</si>
  <si>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</si>
  <si>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</si>
  <si>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</si>
  <si>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</si>
  <si>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</si>
  <si>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</si>
  <si>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</si>
  <si>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</si>
  <si>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</si>
  <si>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</si>
  <si>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</si>
  <si>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</si>
  <si>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</si>
  <si>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</si>
  <si>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</si>
  <si>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</si>
  <si>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</si>
  <si>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</si>
  <si>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</si>
  <si>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</si>
  <si>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</si>
  <si>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</si>
  <si>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</si>
  <si>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</si>
  <si>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</si>
  <si>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</si>
  <si>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</si>
  <si>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</si>
  <si>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</si>
  <si>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</si>
  <si>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</si>
  <si>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</si>
  <si>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</si>
  <si>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</si>
  <si>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</si>
  <si>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</si>
  <si>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</si>
  <si>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</si>
  <si>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</si>
  <si>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</si>
  <si>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</si>
  <si>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</si>
  <si>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</si>
  <si>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</si>
  <si>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</si>
  <si>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</si>
  <si>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</si>
  <si>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</si>
  <si>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</si>
  <si>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</si>
  <si>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</si>
  <si>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</si>
  <si>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</si>
  <si>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</si>
  <si>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</si>
  <si>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</si>
  <si>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</si>
  <si>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</si>
  <si>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</si>
  <si>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</si>
  <si>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</si>
  <si>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</si>
  <si>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</si>
  <si>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</si>
  <si>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</si>
  <si>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</si>
  <si>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</si>
  <si>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</si>
  <si>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</si>
  <si>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</si>
  <si>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</si>
  <si>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</si>
  <si>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</si>
  <si>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</si>
  <si>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</si>
  <si>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</si>
  <si>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</si>
  <si>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</si>
  <si>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</si>
  <si>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</si>
  <si>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</si>
  <si>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</si>
  <si>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</si>
  <si>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</si>
  <si>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</si>
  <si>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</si>
  <si>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</si>
  <si>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</si>
  <si>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</si>
  <si>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</si>
  <si>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</si>
  <si>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</si>
  <si>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</si>
  <si>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</si>
  <si>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</si>
  <si>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</si>
  <si>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</si>
  <si>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</si>
  <si>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</si>
  <si>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</si>
  <si>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</si>
  <si>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</si>
  <si>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</si>
  <si>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</si>
  <si>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</si>
  <si>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</si>
  <si>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</si>
  <si>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</si>
  <si>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</si>
  <si>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</si>
  <si>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</si>
  <si>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</si>
  <si>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</si>
  <si>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</si>
  <si>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</si>
  <si>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</si>
  <si>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</si>
  <si>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</si>
  <si>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</si>
  <si>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</si>
  <si>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</si>
  <si>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</si>
  <si>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</si>
  <si>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</si>
  <si>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</si>
  <si>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</si>
  <si>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</si>
  <si>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</si>
  <si>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</si>
  <si>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</si>
  <si>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</si>
  <si>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</si>
  <si>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</si>
  <si>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</si>
  <si>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</si>
  <si>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</si>
  <si>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</si>
  <si>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</si>
  <si>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</si>
  <si>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</si>
  <si>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</si>
  <si>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</si>
  <si>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</si>
  <si>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</si>
  <si>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</si>
  <si>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</si>
  <si>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</si>
  <si>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</si>
  <si>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</si>
  <si>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</si>
  <si>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</si>
  <si>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</si>
  <si>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</si>
  <si>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</si>
  <si>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</si>
  <si>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</si>
  <si>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</si>
  <si>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</si>
  <si>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</si>
  <si>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</si>
  <si>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</si>
  <si>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</si>
  <si>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</si>
  <si>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</si>
  <si>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</si>
  <si>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</si>
  <si>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</si>
  <si>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</si>
  <si>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</si>
  <si>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</si>
  <si>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</si>
  <si>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</si>
  <si>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</si>
  <si>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</si>
  <si>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</si>
  <si>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</si>
  <si>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</si>
  <si>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</si>
  <si>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</si>
  <si>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</si>
  <si>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</si>
  <si>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</si>
  <si>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</si>
  <si>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</si>
  <si>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</si>
  <si>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</si>
  <si>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</si>
  <si>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</si>
  <si>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</si>
  <si>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</si>
  <si>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</si>
  <si>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</si>
  <si>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</si>
  <si>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</si>
  <si>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</si>
  <si>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</si>
  <si>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</si>
  <si>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</si>
  <si>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</si>
  <si>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</si>
  <si>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</si>
  <si>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</si>
  <si>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</si>
  <si>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</si>
  <si>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</si>
  <si>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</si>
  <si>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</si>
  <si>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</si>
  <si>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</si>
  <si>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</si>
  <si>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</si>
  <si>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</si>
  <si>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</si>
  <si>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</si>
  <si>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</si>
  <si>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</si>
  <si>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</si>
  <si>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</si>
  <si>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</si>
  <si>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</si>
  <si>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</si>
  <si>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</si>
  <si>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</si>
  <si>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</si>
  <si>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</si>
  <si>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</si>
  <si>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</si>
  <si>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</si>
  <si>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</si>
  <si>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</si>
  <si>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</si>
  <si>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</si>
  <si>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</si>
  <si>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</si>
  <si>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</si>
  <si>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</si>
  <si>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</si>
  <si>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</si>
  <si>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</si>
  <si>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</si>
  <si>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</si>
  <si>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</si>
  <si>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</si>
  <si>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</si>
  <si>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</si>
  <si>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</si>
  <si>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</si>
  <si>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</si>
  <si>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</si>
  <si>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</si>
  <si>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</si>
  <si>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</si>
  <si>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</si>
  <si>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</si>
  <si>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</si>
  <si>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</si>
  <si>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</si>
  <si>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</si>
  <si>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</si>
  <si>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</si>
  <si>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</si>
  <si>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</si>
  <si>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</si>
  <si>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</si>
  <si>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</si>
  <si>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</si>
  <si>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</si>
  <si>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</si>
  <si>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</si>
  <si>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</si>
  <si>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</si>
  <si>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</si>
  <si>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</si>
  <si>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</si>
  <si>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</si>
  <si>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</si>
  <si>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</si>
  <si>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</si>
  <si>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</si>
  <si>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</si>
  <si>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</si>
  <si>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</si>
  <si>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</si>
  <si>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</si>
  <si>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</si>
  <si>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</si>
  <si>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</si>
  <si>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</si>
  <si>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</si>
  <si>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</si>
  <si>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</si>
  <si>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</si>
  <si>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</si>
  <si>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</si>
  <si>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</si>
  <si>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</si>
  <si>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</si>
  <si>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</si>
  <si>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</si>
  <si>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</si>
  <si>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</si>
  <si>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</si>
  <si>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</si>
  <si>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</si>
  <si>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</si>
  <si>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</si>
  <si>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</si>
  <si>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</si>
  <si>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</si>
  <si>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</si>
  <si>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</si>
  <si>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</si>
  <si>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</si>
  <si>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</si>
  <si>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</si>
  <si>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</si>
  <si>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</si>
  <si>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</si>
  <si>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</si>
  <si>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</si>
  <si>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</si>
  <si>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</si>
  <si>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</si>
  <si>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</si>
  <si>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</si>
  <si>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</si>
  <si>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</si>
  <si>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</si>
  <si>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</si>
  <si>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</si>
  <si>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</si>
  <si>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</si>
  <si>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</si>
  <si>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</si>
  <si>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</si>
  <si>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</si>
  <si>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</si>
  <si>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</si>
  <si>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</si>
  <si>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</si>
  <si>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</si>
  <si>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</si>
  <si>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</si>
  <si>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</si>
  <si>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</si>
  <si>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</si>
  <si>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</si>
  <si>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</si>
  <si>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</si>
  <si>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</si>
  <si>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</si>
  <si>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</si>
  <si>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</si>
  <si>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</si>
  <si>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</si>
  <si>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</si>
  <si>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</si>
  <si>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</si>
  <si>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</si>
  <si>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</si>
  <si>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</si>
  <si>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</si>
  <si>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</si>
  <si>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</si>
  <si>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</si>
  <si>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</si>
  <si>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</si>
  <si>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</si>
  <si>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</si>
  <si>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</si>
  <si>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</si>
  <si>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</si>
  <si>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</si>
  <si>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</si>
  <si>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</si>
  <si>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</si>
  <si>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</si>
  <si>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</si>
  <si>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</si>
  <si>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</si>
  <si>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</si>
  <si>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</si>
  <si>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</si>
  <si>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</si>
  <si>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</si>
  <si>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</si>
  <si>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</si>
  <si>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</si>
  <si>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</si>
  <si>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</si>
  <si>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</si>
  <si>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</si>
  <si>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</si>
  <si>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</si>
  <si>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</si>
  <si>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</si>
  <si>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</si>
  <si>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</si>
  <si>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</si>
  <si>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</si>
  <si>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</si>
  <si>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</si>
  <si>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</si>
  <si>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</si>
  <si>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</si>
  <si>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</si>
  <si>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</si>
  <si>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</si>
  <si>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</si>
  <si>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</si>
  <si>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</si>
  <si>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</si>
  <si>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</si>
  <si>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</si>
  <si>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</si>
  <si>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</si>
  <si>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</si>
  <si>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</si>
  <si>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</si>
  <si>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</si>
  <si>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</si>
  <si>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</si>
  <si>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</si>
  <si>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</si>
  <si>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</si>
  <si>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</si>
  <si>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</si>
  <si>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</si>
  <si>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</si>
  <si>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</si>
  <si>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</si>
  <si>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</si>
  <si>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</si>
  <si>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</si>
  <si>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</si>
  <si>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</si>
  <si>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</si>
  <si>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</si>
  <si>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</si>
  <si>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</si>
  <si>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</si>
  <si>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</si>
  <si>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</si>
  <si>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</si>
  <si>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</si>
  <si>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</si>
  <si>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</si>
  <si>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</si>
  <si>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</si>
  <si>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</si>
  <si>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</si>
  <si>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</si>
  <si>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</si>
  <si>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</si>
  <si>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</si>
  <si>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</si>
  <si>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</si>
  <si>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</si>
  <si>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</si>
  <si>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</si>
  <si>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</si>
  <si>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</si>
  <si>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</si>
  <si>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</si>
  <si>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</si>
  <si>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</si>
  <si>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</si>
  <si>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</si>
  <si>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</si>
  <si>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</si>
  <si>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</si>
  <si>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</si>
  <si>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</si>
  <si>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</si>
  <si>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</si>
  <si>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</si>
  <si>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</si>
  <si>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</si>
  <si>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</si>
  <si>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</si>
  <si>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</si>
  <si>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</si>
  <si>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</si>
  <si>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</si>
  <si>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</si>
  <si>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</si>
  <si>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</si>
  <si>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</si>
  <si>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</si>
  <si>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</si>
  <si>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</si>
  <si>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</si>
  <si>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</si>
  <si>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</si>
  <si>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</si>
  <si>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</si>
  <si>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</si>
  <si>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</si>
  <si>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</si>
  <si>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</si>
  <si>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</si>
  <si>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</si>
  <si>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</si>
  <si>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</si>
  <si>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</si>
  <si>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</si>
  <si>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</si>
  <si>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</si>
  <si>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</si>
  <si>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</si>
  <si>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</si>
  <si>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</si>
  <si>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</si>
  <si>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</si>
  <si>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</si>
  <si>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</si>
  <si>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</si>
  <si>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</si>
  <si>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</si>
  <si>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</si>
  <si>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</si>
  <si>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</si>
  <si>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</si>
  <si>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</si>
  <si>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</si>
  <si>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</si>
  <si>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</si>
  <si>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</si>
  <si>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</si>
  <si>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</si>
  <si>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</si>
  <si>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</si>
  <si>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</si>
  <si>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</si>
  <si>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</si>
  <si>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</si>
  <si>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</si>
  <si>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</si>
  <si>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</si>
  <si>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</si>
  <si>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</si>
  <si>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</si>
  <si>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</si>
  <si>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</si>
  <si>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</si>
  <si>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</si>
  <si>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</si>
  <si>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</si>
  <si>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</si>
  <si>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</si>
  <si>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</si>
  <si>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</si>
  <si>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</si>
  <si>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</si>
  <si>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</si>
  <si>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</si>
  <si>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</si>
  <si>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</si>
  <si>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</si>
  <si>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</si>
  <si>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</si>
  <si>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</si>
  <si>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</si>
  <si>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</si>
  <si>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</si>
  <si>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</si>
  <si>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</si>
  <si>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</si>
  <si>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</si>
  <si>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</si>
  <si>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</si>
  <si>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</si>
  <si>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</si>
  <si>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</si>
  <si>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</si>
  <si>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</si>
  <si>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</si>
  <si>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</si>
  <si>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</si>
  <si>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</si>
  <si>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</si>
  <si>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</si>
  <si>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</si>
  <si>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</si>
  <si>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</si>
  <si>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</si>
  <si>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</si>
  <si>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</si>
  <si>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</si>
  <si>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</si>
  <si>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</si>
  <si>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</si>
  <si>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</si>
  <si>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</si>
  <si>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</si>
  <si>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</si>
  <si>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</si>
  <si>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</si>
  <si>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</si>
  <si>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</si>
  <si>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</si>
  <si>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</si>
  <si>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</si>
  <si>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</si>
  <si>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</si>
  <si>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</si>
  <si>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</si>
  <si>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</si>
  <si>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</si>
  <si>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</si>
  <si>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</si>
  <si>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</si>
  <si>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</si>
  <si>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</si>
  <si>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</si>
  <si>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</si>
  <si>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</si>
  <si>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</si>
  <si>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</si>
  <si>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</si>
  <si>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</si>
  <si>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</si>
  <si>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</si>
  <si>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</si>
  <si>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</si>
  <si>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</si>
  <si>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</si>
  <si>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</si>
  <si>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</si>
  <si>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</si>
  <si>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</si>
  <si>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</si>
  <si>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</si>
  <si>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</si>
  <si>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</si>
  <si>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</si>
  <si>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</si>
  <si>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</si>
  <si>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</si>
  <si>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</si>
  <si>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</si>
  <si>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</si>
  <si>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</si>
  <si>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</si>
  <si>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</si>
  <si>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</si>
  <si>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</si>
  <si>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</si>
  <si>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</si>
  <si>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</si>
  <si>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</si>
  <si>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</si>
  <si>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</si>
  <si>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</si>
  <si>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</si>
  <si>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</si>
  <si>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</si>
  <si>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</si>
  <si>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</si>
  <si>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</si>
  <si>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</si>
  <si>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</si>
  <si>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</si>
  <si>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</si>
  <si>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</si>
  <si>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</si>
  <si>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</si>
  <si>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</si>
  <si>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</si>
  <si>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</si>
  <si>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</si>
  <si>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</si>
  <si>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</si>
  <si>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</si>
  <si>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</si>
  <si>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</si>
  <si>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</si>
  <si>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</si>
  <si>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</si>
  <si>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</si>
  <si>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</si>
  <si>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</si>
  <si>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</si>
  <si>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</si>
  <si>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</si>
  <si>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</si>
  <si>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</si>
  <si>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</si>
  <si>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</si>
  <si>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</si>
  <si>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</si>
  <si>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</si>
  <si>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</si>
  <si>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</si>
  <si>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</si>
  <si>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</si>
  <si>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</si>
  <si>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</si>
  <si>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</si>
  <si>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</si>
  <si>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</si>
  <si>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</si>
  <si>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</si>
  <si>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</si>
  <si>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</si>
  <si>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</si>
  <si>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</si>
  <si>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</si>
  <si>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</si>
  <si>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</si>
  <si>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</si>
  <si>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</si>
  <si>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</si>
  <si>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</si>
  <si>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</si>
  <si>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</si>
  <si>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</si>
  <si>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</si>
  <si>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</si>
  <si>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</si>
  <si>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</si>
  <si>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</si>
  <si>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</si>
  <si>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</si>
  <si>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</si>
  <si>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</si>
  <si>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</si>
  <si>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</si>
  <si>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</si>
  <si>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</si>
  <si>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</si>
  <si>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</si>
  <si>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</si>
  <si>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</si>
  <si>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</si>
  <si>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</si>
  <si>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</si>
  <si>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</si>
  <si>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</si>
  <si>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</si>
  <si>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</si>
  <si>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</si>
  <si>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</si>
  <si>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</si>
  <si>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</si>
  <si>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</si>
  <si>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</si>
  <si>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</si>
  <si>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</si>
  <si>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</si>
  <si>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</si>
  <si>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</si>
  <si>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</si>
  <si>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</si>
  <si>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</si>
  <si>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</si>
  <si>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</si>
  <si>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</si>
  <si>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</si>
  <si>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</si>
  <si>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</si>
  <si>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</si>
  <si>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</si>
  <si>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</si>
  <si>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</si>
  <si>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</si>
  <si>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</si>
  <si>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</si>
  <si>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</si>
  <si>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</si>
  <si>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</si>
  <si>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</si>
  <si>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</si>
  <si>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</si>
  <si>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</si>
  <si>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</si>
  <si>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</si>
  <si>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</si>
  <si>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</si>
  <si>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</si>
  <si>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</si>
  <si>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</si>
  <si>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</si>
  <si>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</si>
  <si>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</si>
  <si>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</si>
  <si>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</si>
  <si>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</si>
  <si>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</si>
  <si>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</si>
  <si>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</si>
  <si>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</si>
  <si>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</si>
  <si>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</si>
  <si>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</si>
  <si>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</si>
  <si>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</si>
  <si>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</si>
  <si>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</si>
  <si>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</si>
  <si>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</si>
  <si>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</si>
  <si>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</si>
  <si>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</si>
  <si>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</si>
  <si>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</si>
  <si>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</si>
  <si>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</si>
  <si>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</si>
  <si>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</si>
  <si>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</si>
  <si>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</si>
  <si>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</si>
  <si>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</si>
  <si>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</si>
  <si>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</si>
  <si>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</si>
  <si>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</si>
  <si>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</si>
  <si>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</si>
  <si>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</si>
  <si>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</si>
  <si>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</si>
  <si>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</si>
  <si>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</si>
  <si>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</si>
  <si>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</si>
  <si>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</si>
  <si>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</si>
  <si>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</si>
  <si>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</si>
  <si>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</si>
  <si>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</si>
  <si>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</si>
  <si>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</si>
  <si>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</si>
  <si>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</si>
  <si>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</si>
  <si>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</si>
  <si>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</si>
  <si>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</si>
  <si>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</si>
  <si>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</si>
  <si>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</si>
  <si>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</si>
  <si>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</si>
  <si>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</si>
  <si>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</si>
  <si>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</si>
  <si>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</si>
  <si>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</si>
  <si>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</si>
  <si>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</si>
  <si>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</si>
  <si>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</si>
  <si>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</si>
  <si>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</si>
  <si>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</si>
  <si>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</si>
  <si>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</si>
  <si>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</si>
  <si>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</si>
  <si>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</si>
  <si>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</si>
  <si>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</si>
  <si>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</si>
  <si>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</si>
  <si>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</si>
  <si>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</si>
  <si>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</si>
  <si>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</si>
  <si>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</si>
  <si>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</si>
  <si>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</si>
  <si>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</si>
  <si>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</si>
  <si>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</si>
  <si>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</si>
  <si>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</si>
  <si>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</si>
  <si>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</si>
  <si>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</si>
  <si>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</si>
  <si>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</si>
  <si>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</si>
  <si>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</si>
  <si>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</si>
  <si>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</si>
  <si>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</si>
  <si>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</si>
  <si>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</si>
  <si>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</si>
  <si>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</si>
  <si>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</si>
  <si>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</si>
  <si>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</si>
  <si>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</si>
  <si>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</si>
  <si>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</si>
  <si>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</si>
  <si>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</si>
  <si>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</si>
  <si>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</si>
  <si>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</si>
  <si>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</si>
  <si>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</si>
  <si>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</si>
  <si>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</si>
  <si>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</si>
  <si>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</si>
  <si>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</si>
  <si>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</si>
  <si>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</si>
  <si>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</si>
  <si>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</si>
  <si>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</si>
  <si>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</si>
  <si>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</si>
  <si>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</si>
  <si>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</si>
  <si>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</si>
  <si>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</si>
  <si>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</si>
  <si>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</si>
  <si>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</si>
  <si>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</si>
  <si>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</si>
  <si>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</si>
  <si>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</si>
  <si>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</si>
  <si>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</si>
  <si>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</si>
  <si>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</si>
  <si>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</si>
  <si>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</si>
  <si>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</si>
  <si>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</si>
  <si>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</si>
  <si>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</si>
  <si>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</si>
  <si>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</si>
  <si>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</si>
  <si>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</si>
  <si>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</si>
  <si>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</si>
  <si>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</si>
  <si>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</si>
  <si>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</si>
  <si>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</si>
  <si>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</si>
  <si>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</si>
  <si>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</si>
  <si>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</si>
  <si>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</si>
  <si>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</si>
  <si>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</si>
  <si>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</si>
  <si>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</si>
  <si>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</si>
  <si>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</si>
  <si>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</si>
  <si>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</si>
  <si>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</si>
  <si>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</si>
  <si>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</si>
  <si>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</si>
  <si>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</si>
  <si>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</si>
  <si>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</si>
  <si>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</si>
  <si>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</si>
  <si>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</si>
  <si>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</si>
  <si>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</si>
  <si>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</si>
  <si>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</si>
  <si>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</si>
  <si>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</si>
  <si>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</si>
  <si>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</si>
  <si>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</si>
  <si>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</si>
  <si>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</si>
  <si>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</si>
  <si>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</si>
  <si>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</si>
  <si>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</si>
  <si>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</si>
  <si>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</si>
  <si>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</si>
  <si>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</si>
  <si>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</si>
  <si>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</si>
  <si>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</si>
  <si>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</si>
  <si>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</si>
  <si>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</si>
  <si>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</si>
  <si>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</si>
  <si>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</si>
  <si>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</si>
  <si>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</si>
  <si>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</si>
  <si>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</si>
  <si>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</si>
  <si>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</si>
  <si>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</si>
  <si>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</si>
  <si>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</si>
  <si>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</si>
  <si>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</si>
  <si>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</si>
  <si>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</si>
  <si>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</si>
  <si>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</si>
  <si>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</si>
  <si>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</si>
  <si>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</si>
  <si>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</si>
  <si>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</si>
  <si>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</si>
  <si>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</si>
  <si>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</si>
  <si>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</si>
  <si>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</si>
  <si>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</si>
  <si>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</si>
  <si>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</si>
  <si>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</si>
  <si>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</si>
  <si>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</si>
  <si>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</si>
  <si>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</si>
  <si>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</si>
  <si>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</si>
  <si>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</si>
  <si>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</si>
  <si>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</si>
  <si>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</si>
  <si>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</si>
  <si>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</si>
  <si>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</si>
  <si>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</si>
  <si>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</si>
  <si>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</si>
  <si>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</si>
  <si>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</si>
  <si>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</si>
  <si>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</si>
  <si>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</si>
  <si>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</si>
  <si>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</si>
  <si>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</si>
  <si>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</si>
  <si>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</si>
  <si>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</si>
  <si>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</si>
  <si>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</si>
  <si>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</si>
  <si>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</si>
  <si>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</si>
  <si>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</si>
  <si>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</si>
  <si>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</si>
  <si>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</si>
  <si>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</si>
  <si>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</si>
  <si>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</si>
  <si>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</si>
  <si>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</si>
  <si>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</si>
  <si>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</si>
  <si>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</si>
  <si>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</si>
  <si>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</si>
  <si>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</si>
  <si>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</si>
  <si>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</si>
  <si>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</si>
  <si>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</si>
  <si>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</si>
  <si>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</si>
  <si>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</si>
  <si>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</si>
  <si>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</si>
  <si>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</si>
  <si>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</si>
  <si>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</si>
  <si>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</si>
  <si>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</si>
  <si>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</si>
  <si>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</si>
  <si>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</si>
  <si>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</si>
  <si>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</si>
  <si>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</si>
  <si>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</si>
  <si>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</si>
  <si>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</si>
  <si>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</si>
  <si>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</si>
  <si>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</si>
  <si>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</si>
  <si>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</si>
  <si>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</si>
  <si>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</si>
  <si>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</si>
  <si>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</si>
  <si>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</si>
  <si>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</si>
  <si>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</si>
  <si>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</si>
  <si>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</si>
  <si>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</si>
  <si>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</si>
  <si>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</si>
  <si>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</si>
  <si>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</si>
  <si>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</si>
  <si>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</si>
  <si>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</si>
  <si>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</si>
  <si>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</si>
  <si>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</si>
  <si>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</si>
  <si>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</si>
  <si>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</si>
  <si>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</si>
  <si>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</si>
  <si>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</si>
  <si>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</si>
  <si>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</si>
  <si>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</si>
  <si>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</si>
  <si>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</si>
  <si>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</si>
  <si>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</si>
  <si>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</si>
  <si>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</si>
  <si>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</si>
  <si>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</si>
  <si>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</si>
  <si>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</si>
  <si>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</si>
  <si>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</si>
  <si>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</si>
  <si>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</si>
  <si>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</si>
  <si>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</si>
  <si>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</si>
  <si>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</si>
  <si>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</si>
  <si>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</si>
  <si>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</si>
  <si>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</si>
  <si>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</si>
  <si>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</si>
  <si>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</si>
  <si>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</si>
  <si>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</si>
  <si>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</si>
  <si>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</si>
  <si>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</si>
  <si>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</si>
  <si>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</si>
  <si>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</si>
  <si>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</si>
  <si>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</si>
  <si>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</si>
  <si>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</si>
  <si>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</si>
  <si>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</si>
  <si>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</si>
  <si>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</si>
  <si>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</si>
  <si>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</si>
  <si>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</si>
  <si>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</si>
  <si>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</si>
  <si>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</si>
  <si>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</si>
  <si>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</si>
  <si>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</si>
  <si>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</si>
  <si>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</si>
  <si>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</si>
  <si>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</si>
  <si>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</si>
  <si>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</si>
  <si>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</si>
  <si>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</si>
  <si>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</si>
  <si>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</si>
  <si>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</si>
  <si>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</si>
  <si>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</si>
  <si>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</si>
  <si>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</si>
  <si>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</si>
  <si>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</si>
  <si>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</si>
  <si>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</si>
  <si>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</si>
  <si>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</si>
  <si>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</si>
  <si>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</si>
  <si>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</si>
  <si>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</si>
  <si>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</si>
  <si>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</si>
  <si>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</si>
  <si>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</si>
  <si>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</si>
  <si>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</si>
  <si>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</si>
  <si>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</si>
  <si>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</si>
  <si>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</si>
  <si>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</si>
  <si>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</si>
  <si>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</si>
  <si>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</si>
  <si>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</si>
  <si>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</si>
  <si>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</si>
  <si>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</si>
  <si>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</si>
  <si>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</si>
  <si>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</si>
  <si>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</si>
  <si>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</si>
  <si>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</si>
  <si>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</si>
  <si>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</si>
  <si>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</si>
  <si>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</si>
  <si>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</si>
  <si>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</si>
  <si>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</si>
  <si>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</si>
  <si>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</si>
  <si>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</si>
  <si>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</si>
  <si>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</si>
  <si>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</si>
  <si>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</si>
  <si>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</si>
  <si>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</si>
  <si>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</si>
  <si>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</si>
  <si>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</si>
  <si>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</si>
  <si>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</si>
  <si>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</si>
  <si>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</si>
  <si>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</si>
  <si>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</si>
  <si>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</si>
  <si>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</si>
  <si>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</si>
  <si>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</si>
  <si>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</si>
  <si>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</si>
  <si>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</si>
  <si>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</si>
  <si>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</si>
  <si>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</si>
  <si>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</si>
  <si>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</si>
  <si>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</si>
  <si>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</si>
  <si>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</si>
  <si>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</si>
  <si>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</si>
  <si>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</si>
  <si>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</si>
  <si>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</si>
  <si>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</si>
  <si>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</si>
  <si>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</si>
  <si>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</si>
  <si>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</si>
  <si>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</si>
  <si>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</si>
  <si>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</si>
  <si>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</si>
  <si>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</si>
  <si>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</si>
  <si>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</si>
  <si>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</si>
  <si>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</si>
  <si>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</si>
  <si>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</si>
  <si>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</si>
  <si>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</si>
  <si>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</si>
  <si>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</si>
  <si>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</si>
  <si>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</si>
  <si>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</si>
  <si>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</si>
  <si>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</si>
  <si>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</si>
  <si>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</si>
  <si>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</si>
  <si>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</si>
  <si>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</si>
  <si>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</si>
  <si>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</si>
  <si>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</si>
  <si>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</si>
  <si>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</si>
  <si>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</si>
  <si>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</si>
  <si>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</si>
  <si>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</si>
  <si>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</si>
  <si>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</si>
  <si>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</si>
  <si>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</si>
  <si>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</si>
  <si>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</si>
  <si>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</si>
  <si>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</si>
  <si>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</si>
  <si>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</si>
  <si>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</si>
  <si>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</si>
  <si>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</si>
  <si>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</si>
  <si>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</si>
  <si>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</si>
  <si>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</si>
  <si>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</si>
  <si>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</si>
  <si>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</si>
  <si>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</si>
  <si>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</si>
  <si>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</si>
  <si>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</si>
  <si>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</si>
  <si>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</si>
  <si>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</si>
  <si>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</si>
  <si>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</si>
  <si>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</si>
  <si>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</si>
  <si>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</si>
  <si>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</si>
  <si>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</si>
  <si>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</si>
  <si>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</si>
  <si>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</si>
  <si>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</si>
  <si>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</si>
  <si>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</si>
  <si>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</si>
  <si>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</si>
  <si>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</si>
  <si>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</si>
  <si>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</si>
  <si>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</si>
  <si>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</si>
  <si>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</si>
  <si>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</si>
  <si>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</si>
  <si>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</si>
  <si>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</si>
  <si>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</si>
  <si>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</si>
  <si>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</si>
  <si>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</si>
  <si>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</si>
  <si>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</si>
  <si>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</si>
  <si>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</si>
  <si>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</si>
  <si>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</si>
  <si>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</si>
  <si>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</si>
  <si>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</si>
  <si>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</si>
  <si>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</si>
  <si>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</si>
  <si>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</si>
  <si>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</si>
  <si>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</si>
  <si>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</si>
  <si>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</si>
  <si>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</si>
  <si>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</si>
  <si>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</si>
  <si>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</si>
  <si>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</si>
  <si>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</si>
  <si>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</si>
  <si>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</si>
  <si>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</si>
  <si>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</si>
  <si>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</si>
  <si>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</si>
  <si>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</si>
  <si>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</si>
  <si>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</si>
  <si>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</si>
  <si>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</si>
  <si>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</si>
  <si>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</si>
  <si>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</si>
  <si>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</si>
  <si>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</si>
  <si>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</si>
  <si>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</si>
  <si>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</si>
  <si>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</si>
  <si>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</si>
  <si>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</si>
  <si>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</si>
  <si>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</si>
  <si>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</si>
  <si>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</si>
  <si>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</si>
  <si>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</si>
  <si>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</si>
  <si>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</si>
  <si>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</si>
  <si>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</si>
  <si>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</si>
  <si>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</si>
  <si>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</si>
  <si>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</si>
  <si>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</si>
  <si>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</si>
  <si>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</si>
  <si>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r>
      <t>Viladia</t>
    </r>
    <r>
      <rPr>
        <sz val="10"/>
        <color theme="1"/>
        <rFont val="細明體"/>
        <family val="3"/>
        <charset val="136"/>
      </rPr>
      <t>：精靈村的時光</t>
    </r>
    <phoneticPr fontId="2" type="noConversion"/>
  </si>
  <si>
    <r>
      <t>G9</t>
    </r>
    <r>
      <rPr>
        <sz val="10"/>
        <color theme="1"/>
        <rFont val="細明體"/>
        <family val="3"/>
        <charset val="136"/>
      </rPr>
      <t>：特功聯盟</t>
    </r>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</si>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</sst>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printerSettings" Target="../printerSettings/printerSettings1.bin"/><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F293" activePane="bottomRight" state="frozen"/>
      <selection pane="topRight" activeCell="B1" sqref="B1"/>
      <selection pane="bottomLeft" activeCell="A2" sqref="A2"/>
      <selection pane="bottomRight" activeCell="V305" sqref="V305:W30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5455</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5455</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5455</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5455</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5455</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5455</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5455</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5455</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5455</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5455</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5455</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5455</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5455</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5455</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5455</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5455</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5455</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5455</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5455</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5455</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5455</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5455</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5455</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5455</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5455</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5455</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5455</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5455</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5455</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5455</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5455</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5455</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5455</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5455</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5455</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5455</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5455</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5455</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5455</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5455</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5455</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5455</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5455</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5455</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5455</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5455</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5455</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5455</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5455</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5455</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5455</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5455</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5455</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5455</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5455</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5455</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5455</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5455</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5455</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5455</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5455</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5455</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5455</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5455</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5455</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5455</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5455</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5455</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5455</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5455</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5489</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5455</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5490</v>
      </c>
      <c r="D297" s="37" t="s">
        <v>5490</v>
      </c>
      <c r="E297" s="38" t="s">
        <v>5491</v>
      </c>
      <c r="F297" s="37" t="str">
        <f t="shared" si="12"/>
        <v>gift-codes.html?game=熱血主公Go</v>
      </c>
      <c r="G297" s="2" t="s">
        <v>5500</v>
      </c>
      <c r="H297" s="38" t="str">
        <f t="shared" si="13"/>
        <v>https://www.ssbuy.tw/game-detail.html?game=熱血主公Go</v>
      </c>
      <c r="I297" s="39" t="s">
        <v>5501</v>
      </c>
      <c r="J297" s="2" t="s">
        <v>5425</v>
      </c>
      <c r="K297" s="88" t="s">
        <v>5455</v>
      </c>
      <c r="L297" s="1" t="s">
        <v>5502</v>
      </c>
      <c r="M297" s="59">
        <v>2511</v>
      </c>
      <c r="N297" s="1" t="s">
        <v>5503</v>
      </c>
      <c r="O297" s="59">
        <v>1275</v>
      </c>
      <c r="P297" s="1" t="s">
        <v>5504</v>
      </c>
      <c r="Q297" s="59">
        <v>855</v>
      </c>
      <c r="R297" s="1" t="s">
        <v>5505</v>
      </c>
      <c r="S297" s="59">
        <v>423</v>
      </c>
      <c r="T297" s="1" t="s">
        <v>5506</v>
      </c>
      <c r="U297" s="59">
        <v>153</v>
      </c>
      <c r="V297" s="1" t="s">
        <v>5507</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5455</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5455</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5455</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5455</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5633</v>
      </c>
      <c r="C302" s="37" t="s">
        <v>5578</v>
      </c>
      <c r="D302" s="38" t="s">
        <v>5577</v>
      </c>
      <c r="E302" s="38" t="s">
        <v>5575</v>
      </c>
      <c r="F302" s="37" t="str">
        <f t="shared" si="12"/>
        <v>gift-codes.html?game=Jetpack Joyride Racing</v>
      </c>
      <c r="G302" s="38" t="s">
        <v>5576</v>
      </c>
      <c r="H302" s="38" t="str">
        <f t="shared" si="13"/>
        <v>https://www.ssbuy.tw/game-detail.html?game=Jetpack Joyride Racing</v>
      </c>
      <c r="I302" s="39" t="s">
        <v>5639</v>
      </c>
      <c r="J302" s="2" t="s">
        <v>5425</v>
      </c>
      <c r="K302" s="88" t="s">
        <v>5455</v>
      </c>
      <c r="L302" s="1" t="s">
        <v>5617</v>
      </c>
      <c r="M302" s="59">
        <v>864</v>
      </c>
      <c r="N302" s="1" t="s">
        <v>107</v>
      </c>
      <c r="O302" s="59">
        <v>84</v>
      </c>
    </row>
    <row r="303" spans="1:31" ht="22.5" customHeight="1" thickBot="1">
      <c r="A303" s="83" t="s">
        <v>5634</v>
      </c>
      <c r="C303" s="37" t="s">
        <v>5582</v>
      </c>
      <c r="D303" s="38" t="s">
        <v>5581</v>
      </c>
      <c r="E303" s="38" t="s">
        <v>5579</v>
      </c>
      <c r="F303" s="37" t="str">
        <f t="shared" si="12"/>
        <v>gift-codes.html?game=三國格子爭奪戰</v>
      </c>
      <c r="G303" s="38" t="s">
        <v>5580</v>
      </c>
      <c r="H303" s="38" t="str">
        <f t="shared" si="13"/>
        <v>https://www.ssbuy.tw/game-detail.html?game=三國格子爭奪戰</v>
      </c>
      <c r="I303" s="39" t="s">
        <v>5640</v>
      </c>
      <c r="J303" s="2" t="s">
        <v>5425</v>
      </c>
      <c r="K303" s="88" t="s">
        <v>5455</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5635</v>
      </c>
      <c r="C304" s="37" t="s">
        <v>5585</v>
      </c>
      <c r="D304" s="38" t="s">
        <v>5584</v>
      </c>
      <c r="E304" s="38" t="s">
        <v>5586</v>
      </c>
      <c r="F304" s="37" t="str">
        <f t="shared" si="12"/>
        <v>gift-codes.html?game=貓茶小當家：掌櫃養成記</v>
      </c>
      <c r="G304" s="38" t="s">
        <v>5583</v>
      </c>
      <c r="H304" s="38" t="str">
        <f t="shared" si="13"/>
        <v>https://www.ssbuy.tw/game-detail.html?game=貓茶小當家：掌櫃養成記</v>
      </c>
      <c r="I304" s="39" t="s">
        <v>5641</v>
      </c>
      <c r="J304" s="2" t="s">
        <v>5425</v>
      </c>
      <c r="K304" s="88" t="s">
        <v>5455</v>
      </c>
      <c r="L304" s="1" t="s">
        <v>5608</v>
      </c>
      <c r="M304" s="59">
        <v>2539</v>
      </c>
      <c r="N304" s="1" t="s">
        <v>5609</v>
      </c>
      <c r="O304" s="59">
        <v>1289</v>
      </c>
      <c r="P304" s="1" t="s">
        <v>5610</v>
      </c>
      <c r="Q304" s="59">
        <v>864</v>
      </c>
      <c r="R304" s="1" t="s">
        <v>5611</v>
      </c>
      <c r="S304" s="59">
        <v>602</v>
      </c>
      <c r="T304" s="1" t="s">
        <v>5612</v>
      </c>
      <c r="U304" s="59">
        <v>428</v>
      </c>
      <c r="V304" s="1" t="s">
        <v>5613</v>
      </c>
      <c r="W304" s="59">
        <v>279</v>
      </c>
      <c r="X304" s="1" t="s">
        <v>5614</v>
      </c>
      <c r="Y304" s="59">
        <v>137</v>
      </c>
      <c r="Z304" s="1" t="s">
        <v>5615</v>
      </c>
      <c r="AA304" s="59">
        <v>110</v>
      </c>
      <c r="AB304" s="1" t="s">
        <v>5616</v>
      </c>
      <c r="AC304" s="59">
        <v>56</v>
      </c>
    </row>
    <row r="305" spans="1:23" ht="22.5" customHeight="1" thickBot="1">
      <c r="A305" s="84" t="s">
        <v>5636</v>
      </c>
      <c r="C305" s="37" t="s">
        <v>5593</v>
      </c>
      <c r="D305" s="38" t="s">
        <v>5589</v>
      </c>
      <c r="E305" s="38" t="s">
        <v>5587</v>
      </c>
      <c r="F305" s="37" t="str">
        <f t="shared" si="12"/>
        <v>gift-codes.html?game=Viladia：精靈村的時光</v>
      </c>
      <c r="G305" s="38" t="s">
        <v>5588</v>
      </c>
      <c r="H305" s="38" t="str">
        <f t="shared" si="13"/>
        <v>https://www.ssbuy.tw/game-detail.html?game=Viladia：精靈村的時光</v>
      </c>
      <c r="I305" s="39" t="s">
        <v>5642</v>
      </c>
      <c r="J305" s="2" t="s">
        <v>5425</v>
      </c>
      <c r="K305" s="88" t="s">
        <v>5458</v>
      </c>
      <c r="L305" s="1" t="s">
        <v>1268</v>
      </c>
      <c r="M305" s="59">
        <v>2539</v>
      </c>
      <c r="N305" s="1" t="s">
        <v>5645</v>
      </c>
      <c r="O305" s="59">
        <v>1116</v>
      </c>
      <c r="P305" s="1" t="s">
        <v>65</v>
      </c>
      <c r="Q305" s="59">
        <v>602</v>
      </c>
      <c r="R305" s="1" t="s">
        <v>1327</v>
      </c>
      <c r="S305" s="59">
        <v>279</v>
      </c>
      <c r="T305" s="1" t="s">
        <v>5646</v>
      </c>
      <c r="U305" s="59">
        <v>137</v>
      </c>
      <c r="V305" s="1" t="s">
        <v>5647</v>
      </c>
      <c r="W305" s="59">
        <v>56</v>
      </c>
    </row>
    <row r="306" spans="1:23" ht="22.5" customHeight="1">
      <c r="A306" s="84" t="s">
        <v>5637</v>
      </c>
      <c r="C306" s="37" t="s">
        <v>5592</v>
      </c>
      <c r="D306" s="38" t="s">
        <v>5590</v>
      </c>
      <c r="E306" s="38" t="s">
        <v>5591</v>
      </c>
      <c r="F306" s="37" t="str">
        <f t="shared" si="12"/>
        <v>gift-codes.html?game=G9：特功聯盟</v>
      </c>
      <c r="G306" s="2" t="s">
        <v>5638</v>
      </c>
      <c r="H306" s="38" t="str">
        <f t="shared" si="13"/>
        <v>https://www.ssbuy.tw/game-detail.html?game=G9：特功聯盟</v>
      </c>
      <c r="I306" s="39" t="s">
        <v>5643</v>
      </c>
      <c r="J306" s="2" t="s">
        <v>5425</v>
      </c>
      <c r="K306" s="88" t="s">
        <v>5455</v>
      </c>
    </row>
    <row r="307" spans="1:23" ht="22.5" customHeight="1">
      <c r="F307" s="37" t="str">
        <f t="shared" si="12"/>
        <v/>
      </c>
      <c r="H307" s="38" t="str">
        <f t="shared" si="13"/>
        <v/>
      </c>
    </row>
    <row r="308" spans="1:23" ht="22.5" customHeight="1">
      <c r="F308" s="37" t="str">
        <f t="shared" si="12"/>
        <v/>
      </c>
      <c r="H308" s="38" t="str">
        <f t="shared" si="13"/>
        <v/>
      </c>
    </row>
    <row r="309" spans="1:23" ht="22.5" customHeight="1">
      <c r="F309" s="37" t="str">
        <f t="shared" si="12"/>
        <v/>
      </c>
      <c r="H309" s="38" t="str">
        <f t="shared" si="13"/>
        <v/>
      </c>
    </row>
    <row r="310" spans="1:23" ht="22.5" customHeight="1">
      <c r="F310" s="37" t="str">
        <f t="shared" si="12"/>
        <v/>
      </c>
      <c r="H310" s="38" t="str">
        <f t="shared" si="13"/>
        <v/>
      </c>
    </row>
    <row r="311" spans="1:23" ht="22.5" customHeight="1">
      <c r="F311" s="37" t="str">
        <f t="shared" si="12"/>
        <v/>
      </c>
      <c r="H311" s="38" t="str">
        <f t="shared" si="13"/>
        <v/>
      </c>
    </row>
    <row r="312" spans="1:23" ht="22.5" customHeight="1">
      <c r="F312" s="37" t="str">
        <f t="shared" ref="F312:F375" si="14">IF(A312="", "", "gift-codes.html?game=" &amp; A312)</f>
        <v/>
      </c>
      <c r="H312" s="38" t="str">
        <f t="shared" ref="H312:H375" si="15">IF(A312="", "", "https://www.ssbuy.tw/game-detail.html?game="&amp;A312)</f>
        <v/>
      </c>
    </row>
    <row r="313" spans="1:23" ht="22.5" customHeight="1">
      <c r="F313" s="37" t="str">
        <f t="shared" si="14"/>
        <v/>
      </c>
      <c r="H313" s="38" t="str">
        <f t="shared" si="15"/>
        <v/>
      </c>
    </row>
    <row r="314" spans="1:23" ht="22.5" customHeight="1">
      <c r="F314" s="37" t="str">
        <f t="shared" si="14"/>
        <v/>
      </c>
      <c r="H314" s="38" t="str">
        <f t="shared" si="15"/>
        <v/>
      </c>
    </row>
    <row r="315" spans="1:23" ht="22.5" customHeight="1">
      <c r="F315" s="37" t="str">
        <f t="shared" si="14"/>
        <v/>
      </c>
      <c r="H315" s="38" t="str">
        <f t="shared" si="15"/>
        <v/>
      </c>
    </row>
    <row r="316" spans="1:23" ht="22.5" customHeight="1">
      <c r="F316" s="37" t="str">
        <f t="shared" si="14"/>
        <v/>
      </c>
      <c r="H316" s="38" t="str">
        <f t="shared" si="15"/>
        <v/>
      </c>
    </row>
    <row r="317" spans="1:23" ht="22.5" customHeight="1">
      <c r="F317" s="37" t="str">
        <f t="shared" si="14"/>
        <v/>
      </c>
      <c r="H317" s="38" t="str">
        <f t="shared" si="15"/>
        <v/>
      </c>
    </row>
    <row r="318" spans="1:23" ht="22.5" customHeight="1">
      <c r="F318" s="37" t="str">
        <f t="shared" si="14"/>
        <v/>
      </c>
      <c r="H318" s="38" t="str">
        <f t="shared" si="15"/>
        <v/>
      </c>
    </row>
    <row r="319" spans="1:23" ht="22.5" customHeight="1">
      <c r="F319" s="37" t="str">
        <f t="shared" si="14"/>
        <v/>
      </c>
      <c r="H319" s="38" t="str">
        <f t="shared" si="15"/>
        <v/>
      </c>
    </row>
    <row r="320" spans="1:23"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s>
  <pageMargins left="0.7" right="0.7" top="0.75" bottom="0.75" header="0.3" footer="0.3"/>
  <pageSetup paperSize="9" orientation="portrait" r:id="rId2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K290" activePane="bottomRight" state="frozen"/>
      <selection pane="topRight" activeCell="B1" sqref="B1"/>
      <selection pane="bottomLeft" activeCell="A2" sqref="A2"/>
      <selection pane="bottomRight" activeCell="U303" sqref="U30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5596</v>
      </c>
      <c r="AK236" s="15" t="s">
        <v>5594</v>
      </c>
      <c r="AL236" s="10" t="s">
        <v>5597</v>
      </c>
      <c r="AM236" s="15" t="s">
        <v>4992</v>
      </c>
      <c r="AN236" s="10" t="s">
        <v>5598</v>
      </c>
      <c r="AO236" s="15" t="s">
        <v>5595</v>
      </c>
      <c r="AP236" s="10" t="s">
        <v>5599</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5462</v>
      </c>
      <c r="R274" s="10" t="s">
        <v>5456</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5462</v>
      </c>
      <c r="AB275" s="10" t="s">
        <v>5456</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5462</v>
      </c>
      <c r="R276" s="10" t="s">
        <v>5456</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5462</v>
      </c>
      <c r="L277" s="10" t="s">
        <v>5456</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5462</v>
      </c>
      <c r="P278" s="10" t="s">
        <v>5456</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5462</v>
      </c>
      <c r="AH279" s="10" t="s">
        <v>5456</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5457</v>
      </c>
      <c r="L280" s="10" t="s">
        <v>5458</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5457</v>
      </c>
      <c r="L281" s="10" t="s">
        <v>5458</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5457</v>
      </c>
      <c r="L282" s="10" t="s">
        <v>5458</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5481</v>
      </c>
      <c r="AG283" s="15" t="s">
        <v>5482</v>
      </c>
      <c r="AI283" s="89" t="s">
        <v>5462</v>
      </c>
      <c r="AJ283" s="10" t="s">
        <v>5456</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5462</v>
      </c>
      <c r="AP284" s="10" t="s">
        <v>5456</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5511</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5511</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5479</v>
      </c>
      <c r="U287" t="s">
        <v>5480</v>
      </c>
      <c r="W287" s="89" t="s">
        <v>5462</v>
      </c>
      <c r="X287" s="10" t="s">
        <v>5456</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5511</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5511</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5511</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5460</v>
      </c>
      <c r="G291" s="10" t="s">
        <v>5459</v>
      </c>
      <c r="H291" s="10" t="s">
        <v>5461</v>
      </c>
      <c r="K291" s="78" t="s">
        <v>5463</v>
      </c>
      <c r="L291" s="10" t="s">
        <v>5464</v>
      </c>
      <c r="M291" s="89" t="s">
        <v>5511</v>
      </c>
      <c r="N291" s="10" t="s">
        <v>5512</v>
      </c>
      <c r="AC291" s="89" t="s">
        <v>5462</v>
      </c>
      <c r="AD291" s="10" t="s">
        <v>5456</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5473</v>
      </c>
      <c r="G292" s="10" t="s">
        <v>5474</v>
      </c>
      <c r="H292" s="10" t="s">
        <v>2625</v>
      </c>
      <c r="K292" s="89" t="s">
        <v>5465</v>
      </c>
      <c r="M292" s="15" t="s">
        <v>5466</v>
      </c>
      <c r="N292" s="90"/>
      <c r="O292" s="15" t="s">
        <v>5467</v>
      </c>
      <c r="Q292" s="15" t="s">
        <v>5468</v>
      </c>
      <c r="S292" s="15" t="s">
        <v>5469</v>
      </c>
      <c r="U292" s="15" t="s">
        <v>1933</v>
      </c>
      <c r="W292" s="15" t="s">
        <v>5470</v>
      </c>
      <c r="Y292" s="15" t="s">
        <v>5471</v>
      </c>
      <c r="AA292" s="15" t="s">
        <v>5472</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5473</v>
      </c>
      <c r="G293" s="10" t="s">
        <v>5474</v>
      </c>
      <c r="H293" s="10" t="s">
        <v>2625</v>
      </c>
      <c r="K293" s="89" t="s">
        <v>5475</v>
      </c>
      <c r="M293" s="15" t="s">
        <v>5476</v>
      </c>
      <c r="O293" s="15" t="s">
        <v>5477</v>
      </c>
      <c r="Q293" s="15" t="s">
        <v>5478</v>
      </c>
      <c r="S293" s="15" t="s">
        <v>5483</v>
      </c>
      <c r="U293" s="15" t="s">
        <v>5291</v>
      </c>
      <c r="W293" s="15" t="s">
        <v>1841</v>
      </c>
      <c r="Y293" s="15" t="s">
        <v>5484</v>
      </c>
      <c r="AA293" s="15" t="s">
        <v>5485</v>
      </c>
      <c r="AC293" s="15" t="s">
        <v>2912</v>
      </c>
      <c r="AE293" s="15" t="s">
        <v>5486</v>
      </c>
      <c r="AG293" s="15" t="s">
        <v>5487</v>
      </c>
      <c r="AI293" s="15" t="s">
        <v>5488</v>
      </c>
      <c r="AK293" s="89" t="s">
        <v>5462</v>
      </c>
      <c r="AL293" s="10" t="s">
        <v>5456</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5239</v>
      </c>
      <c r="K294" s="89" t="s">
        <v>5511</v>
      </c>
      <c r="L294" s="10" t="s">
        <v>5512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5511</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5508</v>
      </c>
      <c r="G296" s="10" t="s">
        <v>5509</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5511</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5498</v>
      </c>
      <c r="G297" s="10" t="s">
        <v>5499</v>
      </c>
      <c r="H297" s="10" t="s">
        <v>2625</v>
      </c>
      <c r="K297" s="14" t="s">
        <v>5497</v>
      </c>
      <c r="L297" s="10" t="s">
        <v>5510</v>
      </c>
      <c r="M297" s="10" t="s">
        <v>5492</v>
      </c>
      <c r="N297" s="10" t="s">
        <v>5510</v>
      </c>
      <c r="O297" s="15" t="s">
        <v>5493</v>
      </c>
      <c r="P297" s="10" t="s">
        <v>5510</v>
      </c>
      <c r="Q297" s="15" t="s">
        <v>5494</v>
      </c>
      <c r="R297" s="10" t="s">
        <v>5510</v>
      </c>
      <c r="S297" s="15" t="s">
        <v>5495</v>
      </c>
      <c r="T297" s="10" t="s">
        <v>5510</v>
      </c>
      <c r="U297" s="15" t="s">
        <v>5496</v>
      </c>
      <c r="V297" s="10" t="s">
        <v>5510</v>
      </c>
      <c r="W297" s="89" t="s">
        <v>5511</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5606</v>
      </c>
      <c r="G298" s="10" t="s">
        <v>5607</v>
      </c>
      <c r="H298" s="10" t="s">
        <v>2625</v>
      </c>
      <c r="K298" s="89" t="s">
        <v>5511</v>
      </c>
      <c r="L298" s="10" t="s">
        <v>5512</v>
      </c>
      <c r="M298" s="15" t="s">
        <v>5600</v>
      </c>
      <c r="N298" s="10" t="s">
        <v>5603</v>
      </c>
      <c r="O298" s="15" t="s">
        <v>5601</v>
      </c>
      <c r="P298" s="10" t="s">
        <v>5604</v>
      </c>
      <c r="Q298" s="15" t="s">
        <v>5602</v>
      </c>
      <c r="R298" s="10" t="s">
        <v>5605</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5511</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5511</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5511</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5511</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5627</v>
      </c>
      <c r="G303" s="10" t="s">
        <v>5628</v>
      </c>
      <c r="H303" s="10" t="s">
        <v>2625</v>
      </c>
      <c r="K303" s="89" t="s">
        <v>5511</v>
      </c>
      <c r="L303" s="10" t="s">
        <v>5512</v>
      </c>
      <c r="M303" s="15" t="s">
        <v>5618</v>
      </c>
      <c r="N303" s="10" t="s">
        <v>5629</v>
      </c>
      <c r="O303" s="15" t="s">
        <v>5620</v>
      </c>
      <c r="P303" s="10" t="s">
        <v>5630</v>
      </c>
      <c r="Q303" s="15" t="s">
        <v>5625</v>
      </c>
      <c r="R303" s="10" t="s">
        <v>5631</v>
      </c>
      <c r="S303" s="15" t="s">
        <v>5626</v>
      </c>
      <c r="T303" s="10" t="s">
        <v>5632</v>
      </c>
      <c r="U303" s="15" t="s">
        <v>5644</v>
      </c>
      <c r="W303" s="15" t="s">
        <v>5619</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5239</v>
      </c>
      <c r="K304" s="89" t="s">
        <v>5511</v>
      </c>
      <c r="L304" s="10" t="s">
        <v>5512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5511</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5623</v>
      </c>
      <c r="G306" s="10" t="s">
        <v>5624</v>
      </c>
      <c r="H306" s="10" t="s">
        <v>2625</v>
      </c>
      <c r="K306" s="89" t="s">
        <v>5511</v>
      </c>
      <c r="L306" s="10" t="s">
        <v>5512</v>
      </c>
      <c r="M306" s="15" t="s">
        <v>5621</v>
      </c>
      <c r="N306" s="10" t="s">
        <v>2754</v>
      </c>
      <c r="O306" s="15" t="s">
        <v>2755</v>
      </c>
      <c r="P306" s="10" t="s">
        <v>5622</v>
      </c>
    </row>
    <row r="307" spans="1:16">
      <c r="A307" s="10" t="str">
        <f>IF(games!A307="", "", games!A307)</f>
        <v/>
      </c>
      <c r="C307" s="10" t="str">
        <f t="shared" si="12"/>
        <v/>
      </c>
      <c r="D307" s="10" t="str">
        <f t="shared" si="13"/>
        <v/>
      </c>
      <c r="E307" s="11" t="str">
        <f>IF(games!I307&lt;&gt;"", games!I307, "")</f>
        <v/>
      </c>
    </row>
    <row r="308" spans="1:16">
      <c r="A308" s="10" t="str">
        <f>IF(games!A308="", "", games!A308)</f>
        <v/>
      </c>
      <c r="C308" s="10" t="str">
        <f t="shared" si="12"/>
        <v/>
      </c>
      <c r="D308" s="10" t="str">
        <f t="shared" si="13"/>
        <v/>
      </c>
      <c r="E308" s="11" t="str">
        <f>IF(games!I308&lt;&gt;"", games!I308, "")</f>
        <v/>
      </c>
    </row>
    <row r="309" spans="1:16">
      <c r="A309" s="10" t="str">
        <f>IF(games!A309="", "", games!A309)</f>
        <v/>
      </c>
      <c r="C309" s="10" t="str">
        <f t="shared" si="12"/>
        <v/>
      </c>
      <c r="D309" s="10" t="str">
        <f t="shared" si="13"/>
        <v/>
      </c>
      <c r="E309" s="11" t="str">
        <f>IF(games!I309&lt;&gt;"", games!I309, "")</f>
        <v/>
      </c>
    </row>
    <row r="310" spans="1:16">
      <c r="A310" s="10" t="str">
        <f>IF(games!A310="", "", games!A310)</f>
        <v/>
      </c>
      <c r="C310" s="10" t="str">
        <f t="shared" si="12"/>
        <v/>
      </c>
      <c r="D310" s="10" t="str">
        <f t="shared" si="13"/>
        <v/>
      </c>
      <c r="E310" s="11" t="str">
        <f>IF(games!I310&lt;&gt;"", games!I310, "")</f>
        <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s>
  <pageMargins left="0.7" right="0.7" top="0.75" bottom="0.75" header="0.3" footer="0.3"/>
  <pageSetup paperSize="9" orientation="portrait" r:id="rId4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2025-11-12T11:14:56Z</dcterms:modified>
</cp:coreProperties>
</file>