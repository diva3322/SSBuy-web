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269" i="3" l="1"/>
  <c r="E255" i="3"/>
  <c r="E256" i="3"/>
  <c r="E257" i="3"/>
  <c r="E258" i="3"/>
  <c r="E259" i="3"/>
  <c r="E260" i="3"/>
  <c r="E261" i="3"/>
  <c r="E262" i="3"/>
  <c r="E263" i="3"/>
  <c r="E264" i="3"/>
  <c r="E265" i="3"/>
  <c r="E266" i="3"/>
  <c r="E267" i="3"/>
  <c r="E268" i="3"/>
  <c r="E269" i="3"/>
  <c r="E270" i="3"/>
  <c r="E271" i="3"/>
  <c r="E272"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<sst xmlns="http://schemas.openxmlformats.org/spreadsheetml/2006/main" count="7239" uniqueCount="4938">
  <si>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</si>
  <si>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</si>
  <si>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</si>
  <si>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</si>
  <si>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</si>
  <si>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</si>
  <si>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</si>
  <si>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</si>
  <si>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</si>
  <si>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</si>
  <si>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</si>
  <si>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</si>
  <si>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</si>
  <si>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</si>
  <si>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</si>
  <si>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</si>
  <si>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</si>
  <si>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</si>
  <si>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</si>
  <si>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</si>
  <si>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</si>
  <si>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</si>
  <si>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</si>
  <si>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</si>
  <si>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</si>
  <si>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</si>
  <si>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</si>
  <si>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</si>
  <si>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</si>
  <si>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</si>
  <si>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</si>
  <si>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</si>
  <si>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</si>
  <si>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</si>
  <si>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</si>
  <si>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</si>
  <si>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</si>
  <si>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</si>
  <si>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</si>
  <si>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</si>
  <si>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</si>
  <si>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</si>
  <si>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</si>
  <si>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</si>
  <si>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</si>
  <si>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</si>
  <si>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</si>
  <si>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</si>
  <si>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</si>
  <si>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</si>
  <si>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</si>
  <si>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</si>
  <si>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</si>
  <si>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</si>
  <si>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</si>
  <si>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</si>
  <si>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</si>
  <si>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</si>
  <si>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</si>
  <si>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</si>
  <si>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</si>
  <si>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</si>
  <si>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</si>
  <si>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</si>
  <si>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</si>
  <si>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</si>
  <si>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</si>
  <si>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</si>
  <si>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</si>
  <si>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</si>
  <si>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</si>
  <si>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</si>
  <si>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</si>
  <si>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</si>
  <si>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</si>
  <si>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</si>
  <si>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</si>
  <si>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</si>
  <si>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</si>
  <si>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</si>
  <si>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</si>
  <si>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</si>
  <si>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</si>
  <si>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</si>
  <si>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</si>
  <si>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</si>
  <si>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</si>
  <si>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</si>
  <si>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</si>
  <si>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</si>
  <si>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</si>
  <si>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</si>
  <si>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</si>
  <si>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</si>
  <si>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</si>
  <si>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</si>
  <si>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</si>
  <si>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</si>
  <si>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</si>
  <si>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</si>
  <si>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</si>
  <si>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</si>
  <si>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</si>
  <si>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</si>
  <si>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</si>
  <si>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</si>
  <si>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</si>
  <si>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</si>
  <si>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</si>
  <si>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</si>
  <si>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</si>
  <si>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</si>
  <si>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</si>
  <si>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</si>
  <si>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</si>
  <si>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</si>
  <si>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</si>
  <si>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</si>
  <si>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</si>
  <si>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</si>
  <si>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</si>
  <si>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</si>
  <si>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</si>
  <si>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</si>
  <si>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</si>
  <si>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</si>
  <si>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</si>
  <si>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</si>
  <si>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</si>
  <si>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</si>
  <si>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</si>
  <si>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</si>
  <si>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</si>
  <si>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</si>
  <si>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</si>
  <si>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</si>
  <si>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</si>
  <si>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</si>
  <si>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</si>
  <si>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</si>
  <si>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</si>
  <si>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</si>
  <si>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</si>
  <si>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</si>
  <si>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</si>
  <si>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</si>
  <si>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</si>
  <si>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</si>
  <si>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</si>
  <si>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</si>
  <si>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</si>
  <si>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</si>
  <si>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</si>
  <si>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</si>
  <si>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</si>
  <si>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</si>
  <si>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</si>
  <si>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</si>
  <si>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</si>
  <si>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</si>
  <si>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</si>
  <si>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</si>
  <si>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</si>
  <si>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</si>
  <si>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</si>
  <si>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</si>
  <si>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</si>
  <si>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</si>
  <si>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</si>
  <si>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</si>
  <si>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</si>
  <si>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</si>
  <si>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</si>
  <si>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</si>
  <si>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</si>
  <si>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</si>
  <si>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</si>
  <si>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</si>
  <si>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</si>
  <si>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</si>
  <si>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</si>
  <si>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</si>
  <si>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</si>
  <si>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</si>
  <si>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</si>
  <si>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</si>
  <si>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</si>
  <si>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</si>
  <si>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</si>
  <si>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</si>
  <si>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</si>
  <si>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</si>
  <si>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</si>
  <si>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</si>
  <si>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</si>
  <si>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</si>
  <si>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</si>
  <si>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</si>
  <si>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</si>
  <si>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</si>
  <si>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</si>
  <si>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</si>
  <si>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</si>
  <si>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</si>
  <si>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</si>
  <si>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</si>
  <si>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</si>
  <si>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</si>
  <si>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</si>
  <si>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</si>
  <si>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</si>
  <si>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</si>
  <si>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</si>
  <si>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</si>
  <si>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</si>
  <si>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</si>
  <si>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</si>
  <si>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</si>
  <si>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</si>
  <si>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</si>
  <si>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</si>
  <si>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</si>
  <si>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</si>
  <si>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</si>
  <si>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</si>
  <si>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</si>
  <si>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</si>
  <si>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</si>
  <si>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</si>
  <si>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</si>
  <si>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</si>
  <si>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</si>
  <si>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</si>
  <si>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</si>
  <si>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</si>
  <si>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</si>
  <si>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</si>
  <si>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</si>
  <si>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</si>
  <si>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</si>
  <si>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</si>
  <si>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</si>
  <si>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</si>
  <si>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</si>
  <si>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</si>
  <si>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</si>
  <si>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</si>
  <si>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</si>
  <si>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</si>
  <si>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</si>
  <si>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</si>
  <si>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</si>
  <si>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</si>
  <si>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</si>
  <si>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</si>
  <si>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</si>
  <si>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</si>
  <si>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</si>
  <si>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</si>
  <si>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</si>
  <si>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</si>
  <si>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</si>
  <si>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</si>
  <si>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</si>
  <si>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</si>
  <si>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</si>
  <si>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</si>
  <si>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</si>
  <si>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</si>
  <si>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</si>
  <si>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</si>
  <si>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</si>
  <si>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</si>
  <si>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</si>
  <si>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</si>
  <si>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</si>
  <si>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</si>
  <si>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</si>
  <si>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</si>
  <si>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</si>
  <si>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</si>
  <si>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</si>
  <si>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</si>
  <si>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</si>
  <si>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</si>
  <si>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</si>
  <si>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</si>
  <si>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</si>
  <si>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</si>
  <si>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</si>
  <si>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</si>
  <si>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</si>
  <si>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</si>
  <si>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</si>
  <si>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</si>
  <si>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</si>
  <si>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</si>
  <si>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</si>
  <si>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</si>
  <si>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</si>
  <si>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</si>
  <si>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</si>
  <si>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</si>
  <si>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</si>
  <si>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</si>
  <si>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</si>
  <si>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</si>
  <si>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</si>
  <si>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</si>
  <si>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</si>
  <si>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</si>
  <si>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</si>
  <si>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</si>
  <si>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</si>
  <si>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</si>
  <si>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</si>
  <si>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</si>
  <si>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</si>
  <si>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</si>
  <si>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</si>
  <si>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</si>
  <si>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</si>
  <si>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</si>
  <si>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</si>
  <si>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</si>
  <si>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</si>
  <si>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</si>
  <si>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</si>
  <si>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</si>
  <si>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</si>
  <si>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</si>
  <si>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</si>
  <si>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</si>
  <si>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</si>
  <si>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</si>
  <si>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</si>
  <si>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</si>
  <si>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</si>
  <si>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</si>
  <si>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</si>
  <si>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</si>
  <si>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</si>
  <si>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</si>
  <si>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</si>
  <si>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</si>
  <si>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</si>
  <si>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</si>
  <si>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</si>
  <si>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</si>
  <si>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</si>
  <si>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</si>
  <si>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</si>
  <si>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</si>
  <si>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</si>
  <si>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</si>
  <si>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</si>
  <si>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</si>
  <si>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</si>
  <si>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</si>
  <si>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</si>
  <si>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</si>
  <si>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</si>
  <si>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</si>
  <si>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</si>
  <si>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</si>
  <si>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</si>
  <si>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</si>
  <si>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</si>
  <si>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</si>
  <si>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</si>
  <si>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</si>
  <si>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</si>
  <si>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</si>
  <si>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</si>
  <si>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</si>
  <si>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</si>
  <si>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</si>
  <si>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</si>
  <si>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</si>
  <si>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</si>
  <si>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</si>
  <si>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</si>
  <si>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</si>
  <si>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</si>
  <si>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</si>
  <si>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</si>
  <si>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</si>
  <si>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</si>
  <si>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</si>
  <si>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</si>
  <si>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</si>
  <si>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</si>
  <si>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</si>
  <si>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</si>
  <si>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</si>
  <si>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</si>
  <si>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</si>
  <si>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</si>
  <si>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</si>
  <si>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</si>
  <si>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</si>
  <si>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</si>
  <si>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</si>
  <si>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</si>
  <si>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</si>
  <si>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</si>
  <si>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</si>
  <si>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</si>
  <si>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</si>
  <si>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</si>
  <si>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</si>
  <si>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</si>
  <si>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</si>
  <si>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</si>
  <si>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</si>
  <si>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</si>
  <si>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</si>
  <si>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</si>
  <si>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</si>
  <si>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</si>
  <si>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</si>
  <si>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</si>
  <si>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</si>
  <si>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</si>
  <si>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</si>
  <si>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</si>
  <si>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</si>
  <si>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</si>
  <si>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</si>
  <si>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</si>
  <si>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</si>
  <si>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</si>
  <si>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</si>
  <si>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</si>
  <si>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</si>
  <si>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</si>
  <si>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</si>
  <si>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</si>
  <si>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</si>
  <si>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</si>
  <si>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</si>
  <si>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</si>
  <si>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</si>
  <si>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</si>
  <si>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</si>
  <si>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</si>
  <si>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</si>
  <si>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</si>
  <si>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</si>
  <si>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</si>
  <si>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</si>
  <si>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</si>
  <si>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</si>
  <si>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</si>
  <si>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</si>
  <si>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</si>
  <si>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</si>
  <si>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</si>
  <si>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</si>
  <si>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</si>
  <si>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</si>
  <si>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</si>
  <si>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</si>
  <si>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</si>
  <si>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</si>
  <si>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</si>
  <si>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</si>
  <si>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</si>
  <si>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</si>
  <si>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</si>
  <si>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</si>
  <si>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</si>
  <si>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</si>
  <si>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</si>
  <si>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</si>
  <si>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</si>
  <si>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</si>
  <si>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</si>
  <si>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</si>
  <si>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</si>
  <si>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</si>
  <si>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</si>
  <si>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</si>
  <si>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</si>
  <si>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</si>
  <si>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</si>
  <si>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</si>
  <si>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</si>
  <si>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</si>
  <si>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</si>
  <si>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</si>
  <si>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</si>
  <si>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</si>
  <si>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</si>
  <si>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</si>
  <si>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</si>
  <si>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</si>
  <si>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</si>
  <si>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</si>
  <si>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</si>
  <si>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</si>
  <si>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</si>
  <si>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</si>
  <si>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</si>
  <si>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</si>
  <si>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</si>
  <si>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</si>
  <si>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</si>
  <si>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</si>
  <si>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</si>
  <si>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</si>
  <si>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</si>
  <si>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</si>
  <si>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</si>
  <si>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</si>
  <si>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</si>
  <si>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</si>
  <si>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</si>
  <si>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</si>
  <si>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</si>
  <si>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</si>
  <si>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</si>
  <si>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</si>
  <si>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</si>
  <si>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</si>
  <si>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</si>
  <si>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</si>
  <si>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</si>
  <si>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</si>
  <si>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</si>
  <si>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</si>
  <si>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</si>
  <si>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</si>
  <si>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</si>
  <si>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</si>
  <si>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</si>
  <si>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</si>
  <si>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</si>
  <si>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</si>
  <si>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</si>
  <si>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</si>
  <si>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</si>
  <si>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</si>
  <si>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</si>
  <si>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</si>
  <si>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</si>
  <si>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</si>
  <si>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</si>
  <si>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</si>
  <si>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</si>
  <si>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</si>
  <si>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</si>
  <si>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</si>
  <si>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</si>
  <si>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</si>
  <si>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</si>
  <si>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</si>
  <si>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</si>
  <si>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</si>
  <si>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</si>
  <si>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</si>
  <si>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</si>
  <si>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</si>
  <si>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</si>
  <si>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</si>
  <si>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</si>
  <si>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</si>
  <si>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</si>
  <si>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</si>
  <si>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</si>
  <si>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</si>
  <si>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</si>
  <si>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</si>
  <si>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</si>
  <si>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</si>
  <si>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</si>
  <si>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</si>
  <si>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</si>
  <si>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</si>
  <si>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</si>
  <si>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</si>
  <si>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</si>
  <si>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</si>
  <si>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</si>
  <si>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</si>
  <si>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</si>
  <si>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</si>
  <si>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</si>
  <si>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</si>
  <si>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</si>
  <si>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</si>
  <si>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</si>
  <si>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</si>
  <si>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</si>
  <si>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</si>
  <si>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</si>
  <si>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</si>
  <si>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</si>
  <si>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</si>
  <si>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</si>
  <si>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</si>
  <si>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</si>
  <si>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</si>
  <si>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</si>
  <si>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</si>
  <si>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</si>
  <si>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</si>
  <si>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</si>
  <si>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</si>
  <si>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</si>
  <si>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</si>
  <si>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</si>
  <si>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</si>
  <si>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</si>
  <si>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</si>
  <si>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</si>
  <si>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</si>
  <si>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</si>
  <si>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</si>
  <si>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</si>
  <si>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</si>
  <si>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</si>
  <si>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</si>
  <si>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</si>
  <si>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</si>
  <si>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</si>
  <si>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</si>
  <si>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</si>
  <si>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</si>
  <si>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</si>
  <si>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</si>
  <si>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</si>
  <si>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</si>
  <si>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</si>
  <si>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</si>
  <si>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</si>
  <si>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</si>
  <si>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</si>
  <si>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</si>
  <si>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</si>
  <si>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</si>
  <si>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</si>
  <si>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</si>
  <si>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</si>
  <si>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</si>
  <si>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</si>
  <si>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</si>
  <si>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</si>
  <si>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</si>
  <si>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</si>
  <si>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</si>
  <si>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</si>
  <si>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</si>
  <si>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</si>
  <si>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</si>
  <si>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</si>
  <si>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</si>
  <si>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</si>
  <si>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</si>
  <si>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</si>
  <si>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</si>
  <si>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</si>
  <si>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</si>
  <si>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</si>
  <si>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</si>
  <si>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</si>
  <si>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</si>
  <si>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</si>
  <si>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</si>
  <si>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</si>
  <si>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</si>
  <si>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</si>
  <si>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</si>
  <si>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</si>
  <si>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</si>
  <si>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</si>
  <si>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</si>
  <si>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</si>
  <si>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</si>
  <si>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</si>
  <si>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</si>
  <si>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</si>
  <si>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</si>
  <si>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</si>
  <si>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</si>
  <si>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</si>
  <si>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</si>
  <si>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</si>
  <si>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</si>
  <si>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</si>
  <si>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</si>
  <si>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</si>
  <si>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</si>
  <si>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</si>
  <si>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</si>
  <si>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</si>
  <si>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</si>
  <si>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</si>
  <si>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</si>
  <si>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</si>
  <si>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</si>
  <si>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</si>
  <si>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</si>
  <si>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</si>
  <si>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</si>
  <si>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</si>
  <si>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</si>
  <si>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</si>
  <si>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</si>
  <si>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</si>
  <si>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</si>
  <si>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</si>
  <si>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</si>
  <si>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</si>
  <si>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</si>
  <si>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</si>
  <si>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</si>
  <si>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</si>
  <si>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</si>
  <si>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</si>
  <si>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</si>
  <si>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</si>
  <si>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</si>
  <si>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</si>
  <si>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</si>
  <si>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</si>
  <si>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</si>
  <si>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</si>
  <si>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</si>
  <si>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</si>
  <si>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</si>
  <si>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</si>
  <si>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</si>
  <si>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</si>
  <si>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</si>
  <si>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</si>
  <si>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</si>
  <si>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</si>
  <si>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</si>
  <si>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</si>
  <si>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</si>
  <si>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</si>
  <si>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</si>
  <si>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</si>
  <si>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</si>
  <si>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</si>
  <si>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</si>
  <si>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</si>
  <si>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</si>
  <si>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</si>
  <si>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</si>
  <si>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</si>
  <si>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</si>
  <si>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</si>
  <si>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</si>
  <si>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</si>
  <si>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</si>
  <si>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</si>
  <si>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</si>
  <si>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</si>
  <si>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</si>
  <si>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</si>
  <si>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</si>
  <si>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</si>
  <si>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</si>
  <si>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</si>
  <si>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</si>
  <si>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</si>
  <si>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</si>
  <si>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</si>
  <si>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</si>
  <si>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</si>
  <si>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</si>
  <si>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</si>
  <si>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</si>
  <si>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</si>
  <si>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</si>
  <si>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</si>
  <si>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</si>
  <si>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</si>
  <si>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</si>
  <si>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</si>
  <si>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</si>
  <si>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</si>
  <si>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</si>
  <si>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</si>
  <si>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</si>
  <si>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</si>
  <si>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</si>
  <si>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</si>
  <si>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</si>
  <si>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</si>
  <si>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</si>
  <si>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</si>
  <si>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</si>
  <si>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</si>
  <si>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</si>
  <si>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</si>
  <si>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</si>
  <si>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</si>
  <si>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</si>
  <si>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</si>
  <si>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</si>
  <si>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</si>
  <si>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</si>
  <si>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</si>
  <si>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</si>
  <si>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</si>
  <si>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</si>
  <si>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</si>
  <si>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</si>
  <si>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</si>
  <si>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</si>
  <si>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</si>
  <si>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</si>
  <si>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</si>
  <si>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</si>
  <si>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</si>
  <si>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</si>
  <si>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</si>
  <si>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</si>
  <si>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</si>
  <si>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</si>
  <si>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</si>
  <si>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</si>
  <si>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</si>
  <si>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</si>
  <si>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</si>
  <si>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</si>
  <si>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</si>
  <si>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</si>
  <si>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</si>
  <si>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</si>
  <si>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</si>
  <si>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</si>
  <si>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</si>
  <si>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</si>
  <si>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</si>
  <si>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</si>
  <si>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</si>
  <si>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</si>
  <si>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</si>
  <si>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</si>
  <si>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</si>
  <si>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</si>
  <si>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</si>
  <si>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</si>
  <si>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</si>
  <si>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</si>
  <si>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</si>
  <si>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</si>
  <si>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</si>
  <si>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</si>
  <si>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</si>
  <si>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</si>
  <si>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</si>
  <si>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</si>
  <si>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</si>
  <si>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</si>
  <si>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</si>
  <si>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</si>
  <si>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</si>
  <si>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</si>
  <si>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</si>
  <si>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</si>
  <si>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</si>
  <si>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</si>
  <si>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</si>
  <si>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</si>
  <si>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</si>
  <si>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</si>
  <si>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</si>
  <si>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</si>
  <si>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</si>
  <si>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</si>
  <si>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</si>
  <si>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</si>
  <si>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</si>
  <si>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</si>
  <si>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</si>
  <si>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</si>
  <si>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</si>
  <si>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</si>
  <si>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</si>
  <si>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</si>
  <si>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</si>
  <si>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</si>
  <si>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</si>
  <si>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</si>
  <si>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</si>
  <si>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</si>
  <si>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</si>
  <si>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</si>
  <si>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</si>
  <si>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</si>
  <si>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</si>
  <si>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</si>
  <si>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</si>
  <si>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</si>
  <si>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</si>
  <si>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</si>
  <si>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</si>
  <si>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</si>
  <si>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</si>
  <si>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</si>
  <si>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</si>
  <si>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</si>
  <si>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</si>
  <si>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</si>
  <si>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</si>
  <si>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</si>
  <si>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</si>
  <si>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</si>
  <si>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</si>
  <si>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</si>
  <si>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</si>
  <si>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</si>
  <si>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</si>
  <si>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</si>
  <si>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</si>
  <si>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</si>
  <si>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</si>
  <si>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</si>
  <si>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</si>
  <si>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</si>
  <si>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</si>
  <si>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</si>
  <si>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</si>
  <si>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</si>
  <si>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</si>
  <si>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</si>
  <si>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</si>
  <si>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</si>
  <si>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</si>
  <si>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</si>
  <si>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</si>
  <si>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</si>
  <si>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</si>
  <si>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</si>
  <si>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</si>
  <si>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</si>
  <si>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</si>
  <si>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</si>
  <si>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</si>
  <si>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</si>
  <si>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</si>
  <si>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</si>
  <si>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</si>
  <si>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</si>
  <si>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</si>
  <si>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</si>
  <si>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</si>
  <si>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</si>
  <si>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</si>
  <si>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</si>
  <si>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</si>
  <si>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</si>
  <si>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</si>
  <si>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</si>
  <si>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</si>
  <si>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</si>
  <si>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</si>
  <si>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</si>
  <si>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</si>
  <si>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</si>
  <si>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</si>
  <si>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</si>
  <si>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</si>
  <si>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</si>
  <si>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</si>
  <si>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</si>
  <si>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</si>
  <si>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</si>
  <si>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</si>
  <si>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</si>
  <si>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</si>
  <si>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</si>
  <si>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</si>
  <si>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</si>
  <si>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</si>
  <si>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</si>
  <si>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</si>
  <si>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</si>
  <si>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</si>
  <si>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</si>
  <si>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</si>
  <si>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</si>
  <si>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</si>
  <si>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</si>
  <si>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</si>
  <si>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</si>
  <si>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</si>
  <si>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</si>
  <si>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</si>
  <si>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</si>
  <si>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</si>
  <si>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</si>
  <si>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</si>
  <si>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</si>
  <si>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</si>
  <si>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</si>
  <si>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</si>
  <si>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</si>
  <si>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</si>
  <si>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</si>
  <si>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</si>
  <si>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</si>
  <si>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</si>
  <si>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</si>
  <si>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</si>
  <si>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</si>
  <si>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</si>
  <si>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</si>
  <si>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</si>
  <si>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</si>
  <si>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</si>
  <si>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</si>
  <si>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</si>
  <si>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</si>
  <si>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</si>
  <si>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</si>
  <si>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</si>
  <si>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</si>
  <si>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</si>
  <si>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</si>
  <si>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</si>
  <si>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</si>
  <si>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</si>
  <si>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</si>
  <si>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</si>
  <si>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</si>
  <si>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</si>
  <si>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</si>
  <si>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</si>
  <si>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</si>
  <si>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</si>
  <si>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</si>
  <si>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</si>
  <si>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</si>
  <si>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</si>
  <si>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</si>
  <si>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</si>
  <si>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</si>
  <si>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</si>
  <si>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</si>
  <si>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</si>
  <si>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</si>
  <si>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</si>
  <si>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</si>
  <si>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</si>
  <si>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</si>
  <si>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</si>
  <si>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</si>
  <si>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</si>
  <si>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</si>
  <si>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</si>
  <si>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</si>
  <si>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</si>
  <si>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</si>
  <si>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</si>
  <si>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</si>
  <si>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</si>
  <si>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</si>
  <si>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</si>
  <si>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</si>
  <si>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</si>
  <si>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</si>
  <si>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</si>
  <si>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</si>
  <si>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</si>
  <si>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</si>
  <si>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</si>
  <si>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</si>
  <si>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</si>
  <si>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</si>
  <si>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</si>
  <si>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</si>
  <si>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</si>
  <si>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</si>
  <si>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</si>
  <si>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</si>
  <si>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</si>
  <si>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</si>
  <si>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</si>
  <si>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</si>
  <si>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</si>
  <si>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</si>
  <si>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</si>
  <si>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</si>
  <si>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</si>
  <si>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</si>
  <si>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</si>
  <si>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</si>
  <si>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</si>
  <si>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</si>
  <si>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</si>
  <si>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</si>
  <si>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</si>
  <si>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</si>
  <si>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</si>
  <si>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</si>
  <si>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</si>
  <si>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</si>
  <si>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</si>
  <si>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</si>
  <si>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</si>
  <si>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</si>
  <si>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</si>
  <si>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</si>
  <si>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</si>
  <si>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</si>
  <si>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</si>
  <si>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</si>
  <si>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</si>
  <si>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</si>
  <si>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</si>
  <si>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</si>
  <si>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</si>
  <si>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</si>
  <si>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</si>
  <si>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</si>
  <si>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</si>
  <si>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</si>
  <si>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</si>
  <si>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</si>
  <si>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</si>
  <si>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</si>
  <si>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</si>
  <si>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</si>
  <si>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</si>
  <si>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</si>
  <si>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</si>
  <si>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</si>
  <si>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</si>
  <si>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</si>
  <si>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</si>
  <si>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</si>
  <si>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</si>
  <si>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</si>
  <si>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</si>
  <si>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</si>
  <si>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</si>
  <si>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</si>
  <si>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</si>
  <si>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</si>
  <si>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</si>
  <si>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</si>
  <si>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</si>
  <si>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</si>
  <si>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</si>
  <si>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</si>
  <si>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</si>
  <si>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</si>
  <si>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</si>
  <si>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</si>
  <si>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</si>
  <si>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</si>
  <si>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</si>
  <si>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</si>
  <si>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</si>
  <si>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</si>
  <si>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</si>
  <si>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</si>
  <si>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</si>
  <si>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</si>
  <si>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</si>
  <si>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</si>
  <si>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</si>
  <si>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</si>
  <si>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</si>
  <si>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</si>
  <si>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</si>
  <si>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</si>
  <si>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</si>
  <si>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</si>
  <si>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</si>
  <si>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</si>
  <si>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</si>
  <si>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</si>
  <si>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</si>
  <si>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</si>
  <si>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</si>
  <si>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</si>
  <si>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</si>
  <si>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</si>
  <si>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</si>
  <si>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</si>
  <si>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</si>
  <si>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</si>
  <si>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</si>
  <si>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</si>
  <si>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</si>
  <si>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</si>
  <si>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</si>
  <si>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</si>
  <si>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</si>
  <si>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</si>
  <si>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</si>
  <si>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</si>
  <si>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</si>
  <si>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</si>
  <si>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</si>
  <si>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</si>
  <si>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</si>
  <si>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</si>
  <si>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</si>
  <si>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</si>
  <si>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</si>
  <si>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</si>
  <si>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</si>
  <si>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</si>
  <si>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</si>
  <si>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</si>
  <si>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</si>
  <si>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</si>
  <si>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</si>
  <si>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</si>
  <si>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</si>
  <si>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</si>
  <si>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</si>
  <si>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</si>
  <si>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</si>
  <si>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</si>
  <si>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</si>
  <si>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</si>
  <si>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</si>
  <si>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</si>
  <si>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</si>
  <si>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</si>
  <si>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</si>
  <si>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</si>
  <si>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</si>
  <si>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</si>
  <si>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</si>
  <si>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</si>
  <si>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</si>
  <si>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</si>
  <si>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</si>
  <si>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</si>
  <si>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</si>
  <si>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</si>
  <si>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</si>
  <si>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</si>
  <si>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</si>
  <si>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</si>
  <si>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</si>
  <si>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</si>
  <si>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</si>
  <si>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</si>
  <si>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</si>
  <si>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</si>
  <si>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</si>
  <si>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</si>
  <si>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</si>
  <si>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</si>
  <si>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</si>
  <si>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</si>
  <si>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</si>
  <si>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</si>
  <si>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</si>
  <si>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</si>
  <si>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</si>
  <si>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</si>
  <si>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</si>
  <si>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</si>
  <si>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</si>
  <si>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</si>
  <si>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</si>
  <si>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</si>
  <si>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</si>
  <si>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</si>
  <si>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</si>
  <si>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</si>
  <si>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</si>
  <si>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</si>
  <si>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</si>
  <si>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</si>
  <si>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</si>
  <si>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</si>
  <si>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</si>
  <si>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</si>
  <si>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</si>
  <si>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</si>
  <si>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</si>
  <si>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</si>
  <si>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</si>
  <si>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</si>
  <si>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</si>
  <si>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</si>
  <si>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</si>
  <si>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</si>
  <si>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</si>
  <si>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</si>
  <si>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</si>
  <si>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</si>
  <si>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</si>
  <si>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</si>
  <si>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</si>
  <si>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</si>
  <si>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</si>
  <si>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</si>
  <si>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</si>
  <si>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</si>
  <si>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</si>
  <si>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</si>
  <si>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</si>
  <si>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</si>
  <si>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</si>
  <si>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</si>
  <si>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</si>
  <si>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</si>
  <si>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</si>
  <si>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</si>
  <si>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</si>
  <si>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</si>
  <si>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</si>
  <si>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</si>
  <si>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</si>
  <si>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</si>
  <si>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</si>
  <si>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</si>
  <si>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</si>
  <si>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</si>
  <si>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</si>
  <si>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</si>
  <si>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</si>
  <si>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</si>
  <si>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</si>
  <si>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</si>
  <si>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</si>
  <si>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</si>
  <si>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</si>
  <si>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</si>
  <si>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</si>
  <si>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</si>
  <si>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</si>
  <si>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</si>
  <si>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</si>
  <si>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</si>
  <si>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</si>
  <si>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</si>
  <si>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</si>
  <si>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</si>
  <si>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</si>
  <si>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</si>
  <si>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</si>
  <si>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</si>
  <si>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</si>
  <si>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</si>
  <si>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</si>
  <si>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</si>
  <si>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</si>
  <si>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</si>
  <si>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</si>
  <si>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</si>
  <si>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</si>
  <si>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</si>
  <si>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</si>
  <si>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</si>
  <si>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</si>
  <si>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</si>
  <si>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</si>
  <si>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</si>
  <si>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</si>
  <si>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</si>
  <si>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</si>
  <si>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</si>
  <si>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</si>
  <si>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</si>
  <si>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</si>
  <si>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</si>
  <si>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</si>
  <si>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</si>
  <si>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</si>
  <si>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</si>
  <si>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</si>
  <si>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</si>
  <si>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</si>
  <si>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</si>
  <si>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</si>
  <si>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</si>
  <si>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</si>
  <si>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</si>
  <si>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</si>
  <si>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</si>
  <si>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</si>
  <si>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</si>
  <si>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</si>
  <si>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</si>
  <si>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</si>
  <si>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</si>
  <si>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</si>
  <si>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</si>
  <si>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</si>
  <si>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</si>
  <si>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</si>
  <si>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</si>
  <si>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</si>
  <si>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</si>
  <si>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</si>
  <si>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</si>
  <si>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</si>
  <si>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</si>
  <si>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</si>
  <si>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</si>
  <si>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</si>
  <si>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</si>
  <si>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</si>
  <si>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</si>
  <si>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</si>
  <si>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</si>
  <si>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</si>
  <si>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</si>
  <si>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</si>
  <si>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</si>
  <si>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</si>
  <si>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</si>
  <si>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</si>
  <si>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</si>
  <si>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</si>
  <si>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</si>
  <si>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</si>
  <si>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</si>
  <si>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</si>
  <si>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</si>
  <si>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</si>
  <si>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</si>
  <si>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</si>
  <si>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</si>
  <si>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</si>
  <si>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</si>
  <si>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</si>
  <si>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</si>
  <si>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</si>
  <si>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</si>
  <si>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</si>
  <si>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</si>
  <si>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</si>
  <si>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</si>
  <si>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</si>
  <si>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</si>
  <si>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</si>
  <si>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</si>
  <si>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</si>
  <si>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</si>
  <si>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</si>
  <si>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</si>
  <si>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</si>
  <si>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</si>
  <si>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</si>
  <si>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</si>
  <si>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</si>
  <si>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</si>
  <si>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</si>
  <si>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</si>
  <si>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</si>
  <si>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</si>
  <si>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</si>
  <si>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</si>
  <si>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</si>
  <si>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</si>
  <si>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</si>
  <si>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</si>
  <si>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</si>
  <si>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</si>
  <si>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</si>
  <si>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</si>
  <si>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</si>
  <si>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</si>
  <si>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</si>
  <si>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</si>
  <si>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</si>
  <si>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</si>
  <si>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</si>
  <si>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</si>
  <si>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</si>
  <si>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</si>
  <si>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</si>
  <si>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</si>
  <si>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</si>
  <si>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</si>
  <si>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</si>
  <si>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</si>
  <si>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</si>
  <si>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</si>
  <si>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</si>
  <si>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</si>
  <si>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</si>
  <si>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</si>
  <si>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</si>
  <si>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</si>
  <si>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</si>
  <si>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</si>
  <si>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</si>
  <si>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</si>
  <si>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</si>
  <si>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</si>
  <si>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</si>
  <si>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</si>
  <si>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</si>
  <si>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</si>
  <si>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</si>
  <si>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</si>
  <si>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</si>
  <si>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</si>
  <si>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</si>
  <si>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</si>
  <si>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</si>
  <si>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</si>
  <si>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</si>
  <si>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</si>
  <si>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</si>
  <si>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</si>
  <si>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</si>
  <si>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</si>
  <si>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</si>
  <si>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</si>
  <si>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</si>
  <si>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</si>
  <si>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</si>
  <si>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</si>
  <si>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</si>
  <si>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</si>
  <si>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</si>
  <si>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</si>
  <si>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</si>
  <si>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</si>
  <si>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</si>
  <si>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</si>
  <si>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</si>
  <si>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</si>
  <si>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</si>
  <si>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</si>
  <si>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</si>
  <si>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</si>
  <si>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</si>
  <si>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</si>
  <si>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</si>
  <si>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</si>
  <si>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</si>
  <si>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</si>
  <si>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</si>
  <si>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</si>
  <si>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</si>
  <si>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</si>
  <si>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</si>
  <si>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</si>
  <si>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</si>
  <si>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</si>
  <si>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</si>
  <si>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</si>
  <si>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</si>
  <si>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</si>
  <si>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</si>
  <si>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</si>
  <si>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</si>
  <si>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</si>
  <si>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</si>
  <si>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</si>
  <si>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</si>
  <si>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</si>
  <si>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</si>
  <si>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</si>
  <si>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</si>
  <si>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</si>
  <si>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</si>
  <si>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</si>
  <si>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</si>
  <si>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</si>
  <si>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</si>
  <si>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</si>
  <si>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</si>
  <si>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</si>
  <si>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</si>
  <si>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</si>
  <si>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</si>
  <si>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</si>
  <si>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</si>
  <si>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</si>
  <si>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</si>
  <si>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</si>
  <si>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</si>
  <si>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</si>
  <si>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</si>
  <si>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</si>
  <si>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</si>
  <si>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</si>
  <si>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</si>
  <si>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</si>
  <si>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</si>
  <si>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</si>
  <si>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</si>
  <si>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</si>
  <si>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</si>
  <si>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</si>
  <si>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</si>
  <si>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</si>
  <si>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</si>
  <si>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</si>
  <si>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</si>
  <si>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</si>
  <si>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</si>
  <si>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</si>
  <si>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</si>
  <si>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</si>
  <si>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</si>
  <si>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</si>
  <si>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</si>
  <si>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</si>
  <si>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</si>
  <si>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</si>
  <si>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</si>
  <si>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</si>
  <si>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</si>
  <si>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</si>
  <si>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</si>
  <si>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</si>
  <si>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</si>
  <si>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</si>
  <si>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</si>
  <si>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</si>
  <si>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</si>
  <si>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</si>
  <si>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</si>
  <si>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</si>
  <si>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</si>
  <si>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</si>
  <si>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</si>
  <si>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</si>
  <si>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</si>
  <si>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</si>
  <si>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</si>
  <si>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</si>
  <si>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</si>
  <si>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</si>
  <si>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</si>
  <si>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</si>
  <si>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</si>
  <si>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</si>
  <si>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</si>
  <si>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</si>
  <si>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</si>
  <si>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</si>
  <si>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</si>
  <si>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</si>
  <si>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</si>
  <si>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</si>
  <si>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</si>
  <si>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</si>
  <si>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</si>
  <si>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</si>
  <si>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</si>
  <si>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</si>
  <si>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</si>
  <si>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</si>
  <si>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</si>
  <si>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</si>
  <si>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</si>
  <si>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</si>
  <si>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</si>
  <si>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</si>
  <si>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</si>
  <si>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</si>
  <si>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</si>
  <si>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</si>
  <si>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</si>
  <si>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</si>
  <si>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</si>
  <si>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</si>
  <si>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</si>
  <si>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</si>
  <si>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</si>
  <si>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</si>
  <si>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</si>
  <si>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</si>
  <si>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</si>
  <si>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</si>
  <si>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</si>
  <si>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</si>
  <si>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</si>
  <si>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</si>
  <si>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</si>
  <si>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</si>
  <si>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</si>
  <si>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</si>
  <si>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</si>
  <si>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</si>
  <si>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</si>
  <si>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</si>
  <si>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</si>
  <si>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</si>
  <si>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</si>
  <si>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</si>
  <si>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</si>
  <si>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</si>
  <si>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</si>
  <si>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</si>
  <si>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</si>
  <si>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</si>
  <si>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</si>
  <si>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</si>
  <si>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</si>
  <si>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</si>
  <si>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</si>
  <si>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</si>
  <si>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</si>
  <si>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</si>
  <si>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</si>
  <si>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</si>
  <si>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</si>
  <si>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</si>
  <si>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</si>
  <si>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</si>
  <si>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</si>
  <si>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</si>
  <si>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</si>
  <si>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</si>
  <si>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</si>
  <si>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</si>
  <si>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</si>
  <si>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</si>
  <si>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</si>
  <si>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</si>
  <si>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</si>
  <si>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</si>
  <si>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</si>
  <si>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</si>
  <si>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</si>
  <si>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</si>
  <si>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</si>
  <si>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</si>
  <si>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</si>
  <si>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</si>
  <si>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</si>
  <si>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</si>
  <si>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</si>
  <si>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</si>
  <si>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</si>
  <si>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</si>
  <si>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</si>
  <si>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</si>
  <si>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</si>
  <si>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</si>
  <si>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</si>
  <si>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</si>
  <si>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</si>
  <si>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</si>
  <si>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</si>
  <si>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</si>
  <si>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</si>
  <si>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</si>
  <si>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</si>
  <si>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</si>
  <si>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</si>
  <si>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</si>
  <si>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</si>
  <si>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</si>
  <si>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</si>
  <si>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</si>
  <si>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</si>
  <si>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</si>
  <si>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</si>
  <si>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</si>
  <si>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</si>
  <si>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</si>
  <si>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</si>
  <si>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</si>
  <si>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</si>
  <si>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</si>
  <si>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</si>
  <si>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</si>
  <si>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</si>
  <si>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</si>
  <si>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</si>
  <si>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</si>
  <si>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</si>
  <si>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</si>
  <si>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</si>
  <si>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</si>
  <si>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</si>
  <si>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</si>
  <si>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</si>
  <si>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</si>
  <si>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</si>
  <si>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</si>
  <si>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</si>
  <si>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</si>
  <si>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</si>
  <si>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</si>
  <si>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</si>
  <si>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</si>
  <si>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</si>
  <si>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</si>
  <si>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</si>
  <si>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</si>
  <si>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</si>
  <si>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</si>
  <si>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</si>
  <si>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</si>
  <si>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</si>
  <si>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</si>
  <si>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</si>
  <si>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</si>
  <si>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</si>
  <si>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</si>
  <si>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</si>
  <si>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</si>
  <si>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</si>
  <si>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</si>
  <si>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</si>
  <si>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</si>
  <si>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</si>
  <si>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</si>
  <si>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</si>
  <si>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</si>
  <si>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</si>
  <si>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</si>
  <si>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</si>
  <si>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</si>
  <si>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</si>
  <si>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</si>
  <si>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</si>
  <si>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</si>
  <si>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</si>
  <si>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</si>
  <si>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</si>
  <si>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</si>
  <si>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</si>
  <si>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</si>
  <si>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</si>
  <si>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</si>
  <si>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</si>
  <si>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</si>
  <si>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</si>
  <si>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</si>
  <si>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</si>
  <si>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</si>
  <si>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</si>
  <si>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</si>
  <si>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</si>
  <si>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</si>
  <si>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</si>
  <si>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</si>
  <si>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</si>
  <si>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</si>
  <si>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</si>
  <si>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</si>
  <si>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</si>
  <si>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</si>
  <si>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</si>
  <si>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</si>
  <si>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</si>
  <si>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</si>
  <si>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</si>
  <si>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</si>
  <si>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</si>
  <si>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</si>
  <si>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</si>
  <si>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</si>
  <si>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</si>
  <si>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</si>
  <si>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</si>
  <si>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</si>
  <si>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</si>
  <si>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</si>
  <si>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</si>
  <si>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</si>
  <si>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</si>
  <si>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</si>
  <si>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</si>
  <si>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</si>
  <si>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</si>
  <si>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</si>
  <si>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</si>
  <si>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</si>
  <si>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</si>
  <si>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</si>
  <si>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</si>
  <si>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</si>
  <si>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</si>
  <si>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</si>
  <si>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</si>
  <si>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</si>
  <si>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</si>
  <si>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</si>
  <si>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</si>
  <si>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</si>
  <si>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</si>
  <si>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</si>
  <si>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</si>
  <si>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</si>
  <si>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</si>
  <si>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</si>
  <si>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</si>
  <si>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</si>
  <si>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</si>
  <si>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</si>
  <si>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</si>
  <si>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</si>
  <si>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</si>
  <si>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</si>
  <si>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</si>
  <si>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</si>
  <si>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</si>
  <si>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</si>
  <si>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</si>
  <si>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</si>
  <si>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</si>
  <si>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</si>
  <si>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</si>
  <si>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</si>
  <si>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</si>
  <si>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</si>
  <si>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</si>
  <si>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</si>
  <si>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</si>
  <si>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</si>
  <si>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</si>
  <si>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</si>
  <si>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</si>
  <si>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</si>
  <si>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</si>
  <si>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</si>
  <si>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</si>
  <si>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</si>
  <si>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</si>
  <si>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</si>
  <si>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</si>
  <si>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</si>
  <si>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</si>
  <si>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</si>
  <si>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</si>
  <si>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</si>
  <si>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</si>
  <si>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</si>
  <si>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</si>
  <si>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</si>
  <si>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</si>
  <si>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</si>
  <si>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</si>
  <si>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</si>
  <si>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</si>
  <si>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</si>
  <si>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</si>
  <si>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</si>
  <si>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</si>
  <si>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</si>
  <si>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</si>
  <si>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</si>
  <si>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</si>
  <si>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</si>
  <si>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</si>
  <si>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</si>
  <si>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</si>
  <si>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</si>
  <si>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</si>
  <si>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</si>
  <si>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</si>
  <si>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</si>
  <si>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</si>
  <si>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</si>
  <si>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</si>
  <si>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</si>
  <si>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</si>
  <si>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</si>
  <si>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</si>
  <si>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</si>
  <si>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</si>
  <si>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</si>
  <si>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</si>
  <si>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</si>
  <si>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</si>
  <si>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</si>
  <si>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</si>
  <si>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</si>
  <si>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</si>
  <si>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</si>
  <si>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</si>
  <si>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</si>
  <si>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</si>
  <si>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</si>
  <si>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</si>
  <si>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</si>
  <si>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</si>
  <si>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</si>
  <si>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</si>
  <si>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</si>
  <si>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</si>
  <si>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</si>
  <si>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</si>
  <si>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</si>
  <si>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</si>
  <si>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</si>
  <si>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</si>
  <si>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</si>
  <si>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</si>
  <si>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</si>
  <si>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</si>
  <si>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</si>
  <si>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</si>
  <si>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</si>
  <si>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</si>
  <si>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</si>
  <si>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</si>
  <si>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</si>
  <si>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</si>
  <si>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</si>
  <si>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</si>
  <si>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</si>
  <si>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</si>
  <si>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</si>
  <si>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</si>
  <si>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</si>
  <si>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</si>
  <si>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</si>
  <si>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</si>
  <si>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</si>
  <si>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</si>
  <si>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</si>
  <si>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</si>
  <si>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</si>
  <si>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</si>
  <si>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</si>
  <si>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</si>
  <si>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</si>
  <si>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</si>
  <si>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</si>
  <si>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</si>
  <si>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</si>
  <si>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</si>
  <si>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</si>
  <si>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</si>
  <si>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</si>
  <si>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</si>
  <si>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</si>
  <si>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</si>
  <si>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</si>
  <si>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</si>
  <si>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</si>
  <si>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</si>
  <si>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</si>
  <si>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</si>
  <si>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</si>
  <si>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</si>
  <si>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</si>
  <si>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</si>
  <si>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</si>
  <si>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</si>
  <si>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</si>
  <si>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</si>
  <si>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</si>
  <si>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</si>
  <si>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</si>
  <si>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</si>
  <si>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</si>
  <si>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</si>
  <si>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</si>
  <si>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</si>
  <si>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</si>
  <si>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</si>
  <si>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</si>
  <si>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</si>
  <si>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</si>
  <si>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</si>
  <si>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</si>
  <si>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</si>
  <si>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</si>
  <si>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</si>
  <si>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</si>
  <si>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</si>
  <si>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</si>
  <si>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</si>
  <si>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</si>
  <si>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</si>
  <si>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</si>
  <si>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</si>
  <si>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</si>
  <si>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</si>
  <si>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</si>
  <si>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</si>
  <si>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</si>
  <si>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</si>
  <si>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</si>
  <si>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</si>
  <si>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</si>
  <si>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</si>
  <si>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</si>
  <si>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</si>
  <si>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</si>
  <si>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</si>
  <si>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</si>
  <si>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</si>
  <si>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</si>
  <si>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</si>
  <si>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</si>
  <si>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</si>
  <si>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</si>
  <si>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</si>
  <si>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</si>
  <si>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</si>
  <si>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</si>
  <si>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</si>
  <si>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</si>
  <si>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</si>
  <si>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</si>
  <si>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</si>
  <si>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</si>
  <si>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</si>
  <si>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</si>
  <si>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</si>
  <si>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</si>
  <si>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</si>
  <si>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</si>
  <si>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</si>
  <si>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</si>
  <si>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</si>
  <si>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</si>
  <si>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</si>
  <si>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</si>
  <si>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</si>
  <si>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</si>
  <si>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</si>
  <si>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</si>
  <si>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</si>
  <si>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</si>
  <si>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</si>
  <si>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</si>
  <si>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</si>
  <si>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</si>
  <si>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</si>
  <si>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</si>
  <si>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</si>
  <si>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</si>
  <si>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</si>
  <si>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</si>
  <si>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</si>
  <si>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</si>
  <si>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</si>
  <si>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</si>
  <si>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</si>
  <si>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</si>
  <si>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</si>
  <si>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</si>
  <si>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</si>
  <si>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</si>
  <si>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</si>
  <si>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</si>
  <si>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</si>
  <si>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</si>
  <si>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</si>
  <si>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</si>
  <si>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</si>
  <si>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</si>
  <si>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</si>
  <si>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</si>
  <si>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</si>
  <si>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</si>
  <si>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</si>
  <si>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</si>
  <si>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</si>
  <si>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</si>
  <si>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</si>
  <si>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</si>
  <si>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</si>
  <si>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</si>
  <si>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</si>
  <si>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</si>
  <si>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</si>
  <si>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</si>
  <si>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</si>
  <si>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</si>
  <si>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</si>
  <si>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</si>
  <si>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</si>
  <si>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</si>
  <si>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</si>
  <si>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</si>
  <si>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</si>
  <si>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</si>
  <si>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</si>
  <si>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</si>
  <si>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</si>
  <si>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</si>
  <si>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</si>
  <si>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</si>
  <si>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</si>
  <si>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</si>
  <si>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</si>
  <si>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</si>
  <si>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</si>
  <si>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</si>
  <si>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</si>
  <si>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</si>
  <si>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</si>
  <si>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</si>
  <si>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</si>
  <si>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</si>
  <si>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</si>
  <si>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</si>
  <si>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</si>
  <si>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</si>
  <si>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</si>
  <si>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</si>
  <si>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</si>
  <si>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</si>
  <si>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</si>
  <si>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</si>
  <si>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</si>
  <si>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</si>
  <si>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</si>
  <si>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</si>
  <si>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</si>
  <si>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</si>
  <si>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</si>
  <si>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</si>
  <si>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</si>
  <si>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</si>
  <si>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</si>
  <si>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</si>
  <si>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</si>
  <si>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</si>
  <si>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</si>
  <si>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</si>
  <si>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</si>
  <si>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</si>
  <si>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</si>
  <si>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</si>
  <si>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</si>
  <si>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</si>
  <si>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</si>
  <si>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</si>
  <si>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</si>
  <si>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</si>
  <si>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</si>
  <si>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</si>
  <si>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</si>
  <si>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</si>
  <si>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</si>
  <si>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</si>
  <si>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</si>
  <si>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</si>
  <si>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</si>
  <si>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</si>
  <si>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</si>
  <si>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</si>
  <si>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</si>
  <si>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</si>
  <si>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</si>
  <si>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</si>
  <si>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</si>
  <si>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</si>
  <si>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</si>
  <si>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</si>
  <si>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</si>
  <si>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</si>
  <si>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</si>
  <si>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</si>
  <si>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</si>
  <si>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</si>
  <si>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</si>
  <si>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</si>
  <si>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</si>
  <si>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</si>
  <si>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</si>
  <si>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</si>
  <si>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</si>
  <si>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</si>
  <si>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</si>
  <si>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</si>
  <si>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</si>
  <si>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</si>
  <si>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</si>
  <si>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</si>
  <si>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</si>
  <si>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</si>
  <si>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</si>
  <si>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</si>
  <si>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</si>
  <si>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</si>
  <si>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</si>
  <si>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</si>
  <si>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</si>
  <si>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</si>
  <si>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</si>
  <si>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</si>
  <si>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</si>
  <si>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</si>
  <si>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</si>
  <si>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</si>
  <si>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</si>
  <si>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</si>
  <si>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</si>
  <si>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</si>
  <si>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</si>
  <si>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</si>
  <si>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</si>
  <si>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</si>
  <si>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</si>
  <si>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</si>
  <si>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</si>
  <si>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</si>
  <si>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</si>
  <si>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</si>
  <si>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</si>
  <si>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</si>
  <si>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</si>
  <si>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</si>
  <si>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</si>
  <si>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</si>
  <si>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</si>
  <si>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</si>
  <si>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</si>
  <si>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</si>
  <si>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</si>
  <si>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</si>
  <si>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</si>
  <si>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</si>
  <si>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</si>
  <si>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</si>
  <si>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</si>
  <si>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</si>
  <si>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</si>
  <si>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</si>
  <si>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</si>
  <si>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</si>
  <si>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</si>
  <si>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</si>
  <si>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</si>
  <si>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</si>
  <si>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</si>
  <si>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</si>
  <si>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</si>
  <si>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</si>
  <si>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</si>
  <si>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</si>
  <si>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</si>
  <si>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</si>
  <si>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</si>
  <si>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</si>
  <si>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</si>
  <si>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</si>
  <si>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</si>
  <si>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</si>
  <si>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</si>
  <si>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</si>
  <si>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</si>
  <si>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</si>
  <si>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</si>
  <si>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</si>
  <si>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</si>
  <si>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</si>
  <si>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</si>
  <si>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</si>
  <si>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</si>
  <si>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</si>
  <si>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</si>
  <si>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</si>
  <si>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</si>
  <si>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</si>
  <si>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</si>
  <si>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</si>
  <si>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</si>
  <si>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</si>
  <si>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</si>
  <si>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</si>
  <si>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</si>
  <si>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</si>
  <si>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</si>
  <si>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</si>
  <si>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</si>
  <si>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</si>
  <si>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</si>
  <si>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</si>
  <si>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</si>
  <si>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</si>
  <si>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</si>
  <si>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</si>
  <si>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</si>
  <si>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</si>
  <si>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</si>
  <si>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</si>
  <si>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</si>
  <si>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</si>
  <si>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</si>
  <si>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</si>
  <si>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</si>
  <si>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</si>
  <si>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</si>
  <si>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</si>
  <si>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</si>
  <si>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</si>
  <si>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</si>
  <si>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</si>
  <si>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</si>
  <si>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</si>
  <si>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</si>
  <si>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</si>
  <si>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</si>
  <si>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</si>
  <si>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</si>
  <si>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</si>
  <si>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</si>
  <si>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</si>
  <si>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</si>
  <si>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</si>
  <si>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</si>
  <si>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</si>
  <si>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</si>
  <si>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</si>
  <si>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</si>
  <si>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</si>
  <si>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</si>
  <si>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</si>
  <si>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</si>
  <si>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</si>
  <si>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</si>
  <si>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</si>
  <si>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</si>
  <si>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</si>
  <si>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</si>
  <si>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</si>
  <si>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</si>
  <si>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</si>
  <si>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</si>
  <si>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</si>
  <si>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</si>
  <si>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</si>
  <si>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</si>
  <si>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</si>
  <si>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</si>
  <si>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</si>
  <si>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</si>
  <si>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</si>
  <si>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</si>
  <si>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</si>
  <si>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</si>
  <si>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</si>
  <si>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</si>
  <si>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</si>
  <si>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</si>
  <si>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</si>
  <si>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</si>
  <si>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</si>
  <si>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</si>
  <si>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</si>
  <si>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</si>
  <si>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</si>
  <si>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</si>
  <si>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</si>
  <si>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</si>
  <si>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</si>
  <si>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</si>
  <si>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</si>
  <si>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</si>
  <si>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</si>
  <si>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</si>
  <si>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</si>
  <si>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</si>
  <si>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</si>
  <si>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</si>
  <si>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</si>
  <si>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</si>
  <si>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</si>
  <si>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</si>
  <si>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</si>
  <si>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</si>
  <si>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</si>
  <si>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</si>
  <si>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</si>
  <si>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</si>
  <si>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</si>
  <si>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</si>
  <si>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</si>
  <si>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</si>
  <si>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</si>
  <si>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</si>
  <si>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</si>
  <si>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</si>
  <si>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</si>
  <si>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</si>
  <si>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</si>
  <si>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</si>
  <si>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</si>
  <si>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</si>
  <si>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</si>
  <si>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</si>
  <si>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</si>
  <si>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</si>
  <si>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</si>
  <si>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</si>
  <si>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</si>
  <si>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</si>
  <si>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</si>
  <si>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</si>
  <si>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</si>
  <si>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</si>
  <si>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</si>
  <si>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</si>
  <si>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</si>
  <si>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</si>
  <si>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</si>
  <si>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</si>
  <si>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</si>
  <si>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</si>
  <si>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</si>
  <si>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</si>
  <si>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</si>
  <si>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</si>
  <si>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</si>
  <si>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</si>
  <si>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</si>
  <si>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</si>
  <si>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</si>
  <si>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</si>
  <si>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</si>
  <si>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</si>
  <si>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</si>
  <si>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</si>
  <si>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</si>
  <si>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</si>
  <si>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</si>
  <si>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</si>
  <si>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</si>
  <si>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</si>
  <si>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</si>
  <si>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</si>
  <si>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</si>
  <si>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</si>
  <si>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</si>
  <si>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</si>
  <si>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</si>
  <si>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</si>
  <si>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</si>
  <si>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</si>
  <si>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</si>
  <si>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</si>
  <si>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</si>
  <si>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</si>
  <si>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</si>
  <si>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</si>
  <si>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</si>
  <si>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</si>
  <si>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</si>
  <si>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</si>
  <si>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</si>
  <si>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</si>
  <si>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</si>
  <si>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</si>
  <si>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</si>
  <si>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</si>
  <si>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</si>
  <si>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</si>
  <si>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</si>
  <si>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</si>
  <si>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</si>
  <si>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</si>
  <si>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</si>
  <si>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</si>
  <si>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</si>
  <si>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</si>
  <si>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</si>
  <si>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</si>
  <si>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</si>
  <si>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</si>
  <si>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</si>
  <si>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</si>
  <si>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</si>
  <si>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</si>
  <si>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</si>
  <si>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</si>
  <si>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</si>
  <si>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</si>
  <si>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</si>
  <si>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</si>
  <si>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</si>
  <si>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</si>
  <si>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</si>
  <si>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</si>
  <si>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</si>
  <si>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</si>
  <si>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</si>
  <si>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</si>
  <si>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</si>
  <si>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</si>
  <si>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</si>
  <si>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</si>
  <si>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</si>
  <si>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</si>
  <si>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</si>
  <si>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</si>
  <si>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</si>
  <si>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</si>
  <si>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</si>
  <si>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</si>
  <si>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</si>
  <si>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</si>
  <si>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</si>
  <si>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</si>
  <si>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</si>
  <si>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</si>
  <si>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</si>
  <si>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</si>
  <si>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</si>
  <si>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</si>
  <si>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</si>
  <si>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</si>
  <si>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</si>
  <si>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</si>
  <si>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</si>
  <si>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</si>
  <si>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</si>
  <si>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</si>
  <si>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</si>
  <si>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</si>
  <si>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</si>
  <si>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</si>
  <si>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</si>
  <si>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</si>
  <si>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</si>
  <si>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</si>
  <si>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</si>
  <si>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</si>
  <si>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</si>
  <si>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</si>
  <si>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</si>
  <si>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</si>
  <si>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</si>
  <si>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</si>
  <si>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</si>
  <si>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</si>
  <si>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</si>
  <si>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</si>
  <si>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</si>
  <si>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</si>
  <si>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</si>
  <si>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</si>
  <si>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</si>
  <si>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</si>
  <si>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</si>
  <si>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</si>
  <si>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</si>
  <si>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</si>
  <si>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</si>
  <si>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</si>
  <si>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</si>
  <si>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</si>
  <si>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</si>
  <si>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</si>
  <si>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</si>
  <si>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</si>
  <si>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</si>
  <si>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</si>
  <si>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</si>
  <si>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</si>
  <si>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</si>
  <si>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</si>
  <si>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</si>
  <si>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</si>
  <si>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</si>
  <si>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</si>
  <si>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</si>
  <si>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</si>
  <si>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</si>
  <si>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</si>
  <si>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</si>
  <si>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</si>
  <si>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</si>
  <si>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</si>
  <si>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</si>
  <si>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</si>
  <si>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</si>
  <si>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</si>
  <si>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</si>
  <si>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</si>
  <si>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</si>
  <si>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</si>
  <si>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</si>
  <si>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</si>
  <si>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</si>
  <si>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</si>
  <si>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</si>
  <si>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</si>
  <si>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</si>
  <si>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</si>
  <si>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</si>
  <si>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</si>
  <si>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</si>
  <si>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</si>
  <si>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</si>
  <si>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</si>
  <si>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</si>
  <si>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</si>
  <si>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</si>
  <si>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</si>
  <si>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</si>
  <si>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</si>
  <si>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</si>
  <si>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</si>
  <si>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</si>
  <si>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</si>
  <si>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</si>
  <si>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</si>
  <si>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</si>
  <si>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</si>
  <si>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</si>
  <si>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</si>
  <si>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</si>
  <si>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</si>
  <si>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</si>
  <si>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</si>
  <si>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</si>
  <si>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</si>
  <si>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</si>
  <si>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</si>
  <si>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</si>
  <si>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</si>
  <si>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</si>
  <si>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</si>
  <si>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</si>
  <si>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</si>
  <si>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</si>
  <si>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</si>
  <si>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</si>
  <si>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</si>
  <si>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</si>
  <si>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</si>
  <si>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</si>
  <si>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</si>
  <si>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</si>
  <si>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</si>
  <si>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</si>
  <si>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</si>
  <si>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</si>
  <si>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</si>
  <si>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</si>
  <si>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</si>
  <si>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</si>
  <si>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</si>
  <si>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</si>
  <si>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</si>
  <si>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</si>
  <si>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</si>
  <si>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</si>
  <si>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</si>
  <si>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</si>
  <si>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</si>
  <si>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</si>
  <si>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</si>
  <si>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</si>
  <si>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</si>
  <si>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</si>
  <si>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</si>
  <si>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</si>
  <si>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</si>
  <si>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</si>
  <si>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</si>
  <si>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</si>
  <si>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</si>
  <si>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</si>
  <si>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</si>
  <si>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</si>
  <si>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</si>
  <si>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</si>
  <si>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</si>
  <si>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</si>
  <si>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</si>
  <si>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</si>
  <si>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</si>
  <si>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</si>
  <si>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</si>
  <si>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</si>
  <si>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</si>
  <si>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</si>
  <si>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</si>
  <si>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</si>
  <si>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</si>
  <si>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</si>
  <si>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</si>
  <si>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</si>
  <si>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</si>
  <si>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</si>
  <si>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</si>
  <si>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</si>
  <si>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</si>
  <si>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</si>
  <si>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</si>
  <si>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</si>
  <si>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</si>
  <si>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</si>
  <si>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</si>
  <si>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</si>
  <si>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</si>
  <si>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</si>
  <si>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</si>
  <si>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</si>
  <si>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</si>
  <si>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</si>
  <si>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</si>
  <si>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</si>
  <si>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</si>
  <si>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</si>
  <si>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</si>
  <si>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</si>
  <si>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</si>
  <si>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</si>
  <si>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</si>
  <si>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</si>
  <si>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</si>
  <si>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</si>
  <si>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</si>
  <si>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</si>
  <si>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</si>
  <si>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</si>
  <si>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</si>
  <si>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</si>
  <si>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</si>
  <si>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</si>
  <si>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</si>
  <si>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</si>
  <si>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</si>
  <si>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</si>
  <si>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</si>
  <si>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</si>
  <si>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</si>
  <si>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</si>
  <si>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</si>
  <si>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</si>
  <si>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</si>
  <si>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</si>
  <si>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</si>
  <si>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</si>
  <si>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</si>
  <si>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</si>
  <si>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</si>
  <si>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</si>
  <si>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</si>
  <si>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</si>
  <si>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</si>
  <si>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</si>
  <si>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</si>
  <si>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</si>
  <si>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</si>
  <si>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</si>
  <si>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</si>
  <si>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</si>
  <si>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</si>
  <si>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</si>
  <si>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</si>
  <si>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</si>
  <si>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</si>
  <si>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</si>
  <si>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</si>
  <si>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</si>
  <si>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</si>
  <si>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</si>
  <si>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</si>
  <si>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</si>
  <si>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</si>
  <si>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</si>
  <si>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</si>
  <si>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</si>
  <si>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</si>
  <si>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</si>
  <si>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</si>
  <si>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</si>
  <si>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</si>
  <si>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</si>
  <si>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</si>
  <si>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</si>
  <si>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</si>
  <si>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</si>
  <si>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</si>
  <si>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</si>
  <si>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</si>
  <si>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</si>
  <si>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</si>
  <si>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</si>
  <si>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</si>
  <si>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</si>
  <si>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</si>
  <si>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</si>
  <si>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</si>
  <si>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</si>
  <si>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</si>
  <si>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</si>
  <si>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</si>
  <si>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</si>
  <si>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</si>
  <si>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</si>
  <si>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</si>
  <si>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</si>
  <si>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</si>
  <si>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</si>
  <si>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</si>
  <si>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</si>
  <si>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</si>
  <si>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</si>
  <si>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</si>
  <si>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</si>
  <si>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</si>
  <si>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</si>
  <si>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</si>
  <si>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</si>
  <si>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</si>
  <si>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</si>
  <si>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</si>
  <si>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</si>
  <si>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</si>
  <si>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</si>
  <si>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</si>
  <si>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</si>
  <si>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</si>
  <si>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</si>
  <si>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</si>
  <si>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</si>
  <si>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</si>
  <si>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</si>
  <si>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</si>
  <si>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</si>
  <si>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</si>
  <si>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</si>
  <si>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</si>
  <si>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</si>
  <si>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</si>
  <si>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</si>
  <si>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</si>
  <si>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</si>
  <si>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</si>
  <si>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</si>
  <si>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</si>
  <si>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</si>
  <si>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</si>
  <si>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</si>
  <si>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</si>
  <si>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</si>
  <si>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</si>
  <si>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</si>
  <si>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</si>
  <si>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</si>
  <si>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</si>
  <si>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</si>
  <si>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</si>
  <si>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</si>
  <si>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</si>
  <si>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</si>
  <si>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</si>
  <si>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</si>
  <si>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</si>
  <si>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</si>
  <si>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</si>
  <si>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</si>
  <si>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</si>
  <si>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</si>
  <si>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</si>
  <si>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</si>
  <si>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</si>
  <si>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</si>
  <si>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</si>
  <si>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</si>
  <si>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</si>
  <si>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</si>
  <si>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</si>
  <si>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</si>
  <si>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</si>
  <si>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</si>
  <si>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</si>
  <si>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</si>
  <si>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</si>
  <si>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</si>
  <si>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</si>
  <si>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</si>
  <si>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</si>
  <si>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</si>
  <si>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</si>
  <si>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</si>
  <si>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</si>
  <si>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</si>
  <si>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</si>
  <si>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</si>
  <si>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</si>
  <si>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</si>
  <si>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</si>
  <si>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</si>
  <si>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</si>
  <si>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</si>
  <si>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</si>
  <si>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</si>
  <si>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</si>
  <si>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</si>
  <si>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</si>
  <si>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</si>
  <si>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</si>
  <si>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</si>
  <si>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</si>
  <si>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</si>
  <si>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</si>
  <si>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</si>
  <si>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</si>
  <si>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</si>
  <si>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</si>
  <si>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</si>
  <si>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</si>
  <si>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</si>
  <si>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</si>
  <si>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</si>
  <si>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</si>
  <si>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</si>
  <si>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</si>
  <si>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</si>
  <si>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</si>
  <si>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</si>
  <si>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</si>
  <si>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</si>
  <si>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</si>
  <si>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</si>
  <si>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</si>
  <si>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</si>
  <si>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</si>
  <si>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</si>
  <si>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</si>
  <si>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</si>
  <si>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</si>
  <si>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</si>
  <si>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</si>
  <si>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</si>
  <si>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</si>
  <si>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</si>
  <si>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</si>
  <si>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</si>
  <si>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</si>
  <si>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</si>
  <si>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</si>
  <si>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</si>
  <si>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</si>
  <si>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</si>
  <si>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</si>
  <si>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</si>
  <si>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</si>
  <si>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</si>
  <si>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</si>
  <si>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</si>
  <si>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</si>
  <si>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</si>
  <si>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</si>
  <si>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</si>
  <si>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</si>
  <si>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</si>
  <si>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</si>
  <si>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</si>
  <si>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</si>
  <si>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</si>
  <si>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</si>
  <si>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</si>
  <si>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</si>
  <si>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</si>
  <si>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</si>
  <si>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</si>
  <si>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</si>
  <si>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</si>
  <si>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</si>
  <si>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</si>
  <si>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</si>
  <si>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</si>
  <si>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</si>
  <si>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</si>
  <si>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</si>
  <si>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</si>
  <si>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</si>
  <si>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</si>
  <si>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</si>
  <si>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</si>
  <si>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</si>
  <si>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</si>
  <si>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</si>
  <si>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</si>
  <si>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</si>
  <si>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</si>
  <si>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</si>
  <si>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</si>
  <si>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</si>
  <si>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</si>
  <si>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</si>
  <si>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</si>
  <si>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</si>
  <si>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</si>
  <si>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</si>
  <si>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</si>
  <si>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</si>
  <si>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</si>
  <si>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</si>
  <si>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</si>
  <si>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</si>
  <si>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</si>
  <si>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</si>
  <si>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</si>
  <si>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</si>
  <si>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</si>
  <si>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</si>
  <si>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</si>
  <si>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</si>
  <si>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</si>
  <si>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</si>
  <si>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</si>
  <si>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</si>
  <si>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</si>
  <si>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</si>
  <si>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</si>
  <si>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</si>
  <si>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</si>
  <si>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</si>
  <si>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</si>
  <si>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</si>
  <si>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</si>
  <si>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</si>
  <si>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</si>
  <si>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</si>
  <si>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</si>
  <si>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</si>
  <si>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</si>
  <si>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</si>
  <si>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</si>
  <si>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</si>
  <si>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</si>
  <si>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</si>
  <si>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</si>
  <si>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</si>
  <si>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</si>
  <si>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</si>
  <si>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</si>
  <si>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</si>
  <si>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</si>
  <si>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</si>
  <si>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</si>
  <si>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</si>
  <si>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</si>
  <si>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</si>
  <si>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</si>
  <si>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</si>
  <si>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</si>
  <si>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</si>
  <si>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</si>
  <si>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</si>
  <si>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</si>
  <si>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</si>
  <si>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</si>
  <si>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</si>
  <si>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</si>
  <si>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</si>
  <si>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</si>
  <si>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</si>
  <si>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</si>
  <si>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</si>
  <si>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</si>
  <si>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</si>
  <si>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</si>
  <si>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</si>
  <si>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</si>
  <si>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</si>
  <si>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</si>
  <si>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</si>
  <si>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</si>
  <si>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</si>
  <si>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</si>
  <si>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</si>
  <si>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</si>
  <si>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</si>
  <si>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</si>
  <si>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</si>
  <si>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</si>
  <si>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</si>
  <si>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</si>
  <si>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</si>
  <si>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</si>
  <si>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</si>
  <si>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</si>
  <si>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</si>
  <si>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</si>
  <si>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</si>
  <si>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</si>
  <si>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</si>
  <si>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</si>
  <si>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</si>
  <si>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</si>
  <si>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</si>
  <si>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</si>
  <si>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</si>
  <si>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</si>
  <si>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</si>
  <si>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</si>
  <si>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</si>
  <si>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</si>
  <si>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</si>
  <si>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</si>
  <si>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</si>
  <si>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</si>
  <si>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</si>
  <si>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</si>
  <si>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</si>
  <si>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</si>
  <si>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</si>
  <si>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</si>
  <si>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</si>
  <si>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</si>
  <si>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</si>
  <si>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</si>
  <si>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</si>
  <si>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</si>
  <si>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</si>
  <si>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</si>
  <si>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</si>
  <si>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</si>
  <si>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</si>
  <si>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</si>
  <si>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</si>
  <si>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</si>
  <si>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</si>
  <si>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</si>
  <si>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</si>
  <si>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</si>
  <si>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</si>
  <si>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</si>
  <si>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</si>
  <si>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</si>
  <si>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</si>
  <si>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</si>
  <si>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</si>
  <si>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</si>
  <si>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</si>
  <si>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</si>
  <si>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</si>
  <si>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</si>
  <si>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</si>
  <si>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</si>
  <si>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</si>
  <si>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</si>
  <si>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</si>
  <si>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</si>
  <si>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</si>
  <si>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</si>
  <si>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</si>
  <si>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</si>
  <si>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</si>
  <si>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</si>
  <si>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</si>
  <si>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</si>
  <si>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</si>
  <si>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</si>
  <si>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</si>
  <si>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</si>
  <si>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</si>
  <si>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</si>
  <si>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</si>
  <si>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</si>
  <si>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</si>
  <si>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</si>
  <si>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</si>
  <si>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</si>
  <si>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</si>
  <si>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</si>
  <si>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</si>
  <si>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</si>
  <si>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</si>
  <si>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</si>
  <si>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</si>
  <si>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</si>
  <si>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</si>
  <si>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</si>
  <si>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</si>
  <si>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</si>
  <si>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</si>
  <si>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</si>
  <si>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</si>
  <si>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</si>
  <si>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</si>
  <si>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</si>
  <si>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</si>
  <si>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</si>
  <si>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</si>
  <si>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</si>
  <si>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</si>
  <si>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</si>
  <si>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</si>
  <si>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</si>
  <si>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</si>
  <si>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</si>
  <si>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</si>
  <si>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</si>
  <si>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</si>
  <si>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</si>
  <si>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</si>
  <si>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</si>
  <si>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</si>
  <si>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</si>
  <si>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</si>
  <si>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</si>
  <si>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</si>
  <si>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</si>
  <si>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</si>
  <si>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</si>
  <si>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</si>
  <si>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</si>
  <si>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</si>
  <si>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</si>
  <si>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</si>
  <si>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</si>
  <si>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</si>
  <si>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</si>
  <si>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</si>
  <si>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</si>
  <si>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</si>
  <si>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</si>
  <si>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</si>
  <si>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</si>
  <si>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</si>
  <si>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</si>
  <si>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</si>
  <si>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</si>
  <si>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</si>
  <si>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</si>
  <si>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</si>
  <si>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</si>
  <si>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</si>
  <si>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</si>
  <si>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</si>
  <si>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</si>
  <si>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</si>
  <si>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</si>
  <si>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</si>
  <si>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</si>
  <si>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</si>
  <si>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</si>
  <si>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</si>
  <si>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</si>
  <si>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</si>
  <si>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</si>
  <si>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</si>
  <si>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</si>
  <si>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</si>
  <si>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</si>
  <si>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</si>
  <si>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</si>
  <si>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</si>
  <si>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</si>
  <si>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</si>
  <si>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</si>
  <si>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</si>
  <si>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</si>
  <si>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</si>
  <si>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</si>
  <si>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</si>
  <si>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</si>
  <si>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</si>
  <si>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</si>
  <si>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</si>
  <si>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</si>
  <si>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</si>
  <si>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</si>
  <si>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</si>
  <si>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</si>
  <si>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</si>
  <si>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</si>
  <si>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</si>
  <si>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</si>
  <si>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</si>
  <si>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</si>
  <si>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</si>
  <si>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</si>
  <si>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</si>
  <si>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</si>
  <si>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</si>
  <si>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</si>
  <si>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</si>
  <si>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</si>
  <si>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</si>
  <si>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</si>
  <si>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</si>
  <si>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</si>
  <si>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</si>
  <si>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</si>
  <si>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</si>
  <si>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</si>
  <si>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</si>
  <si>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</si>
  <si>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</si>
  <si>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</si>
  <si>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</si>
  <si>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</si>
  <si>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</si>
  <si>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</si>
  <si>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</si>
  <si>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</si>
  <si>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</si>
  <si>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</si>
  <si>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</si>
  <si>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</si>
  <si>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</si>
  <si>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</si>
  <si>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</si>
  <si>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</si>
  <si>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</si>
  <si>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</si>
  <si>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</si>
  <si>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</si>
  <si>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</si>
  <si>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</si>
  <si>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</si>
  <si>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</si>
  <si>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</si>
  <si>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</si>
  <si>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</si>
  <si>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</si>
  <si>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</si>
  <si>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</si>
  <si>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</si>
  <si>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</si>
  <si>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</si>
  <si>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</si>
  <si>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</si>
  <si>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</si>
  <si>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</si>
  <si>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</si>
  <si>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</si>
  <si>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</si>
  <si>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</si>
  <si>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</si>
  <si>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</si>
  <si>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</si>
  <si>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</si>
  <si>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</si>
  <si>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</si>
  <si>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</si>
  <si>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</si>
  <si>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</si>
  <si>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</si>
  <si>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</si>
  <si>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</si>
  <si>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</si>
  <si>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</si>
  <si>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</si>
  <si>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</si>
  <si>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</si>
  <si>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</si>
  <si>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</si>
  <si>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</si>
  <si>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</si>
  <si>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</si>
  <si>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</si>
  <si>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</si>
  <si>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</si>
  <si>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</si>
  <si>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</si>
  <si>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</si>
  <si>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</si>
  <si>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</si>
  <si>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</si>
  <si>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</si>
  <si>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</si>
  <si>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</si>
  <si>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</si>
  <si>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</si>
  <si>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</si>
  <si>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</si>
  <si>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</si>
  <si>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</si>
  <si>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</si>
  <si>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</si>
  <si>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</si>
  <si>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</si>
  <si>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</si>
  <si>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</si>
  <si>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</si>
  <si>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</si>
  <si>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</si>
  <si>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</si>
  <si>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</si>
  <si>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</si>
  <si>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</si>
  <si>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</si>
  <si>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</si>
  <si>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</si>
  <si>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</si>
  <si>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</si>
  <si>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</si>
  <si>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</si>
  <si>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</si>
  <si>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</si>
  <si>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</si>
  <si>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</si>
  <si>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</si>
  <si>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</si>
  <si>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</si>
  <si>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</si>
  <si>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</si>
  <si>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</si>
  <si>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</si>
  <si>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</si>
  <si>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</si>
  <si>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</si>
  <si>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</si>
  <si>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</si>
  <si>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</si>
  <si>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</si>
  <si>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</si>
  <si>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</si>
  <si>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</si>
  <si>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</si>
  <si>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</si>
  <si>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</si>
  <si>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</si>
  <si>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</si>
  <si>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</si>
  <si>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</si>
  <si>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</si>
  <si>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</si>
  <si>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</si>
  <si>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</si>
  <si>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</si>
  <si>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</si>
  <si>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</si>
  <si>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</si>
  <si>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</si>
  <si>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</si>
  <si>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</si>
  <si>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</si>
  <si>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</si>
  <si>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</si>
  <si>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</si>
  <si>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</si>
  <si>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</si>
  <si>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</si>
  <si>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</si>
  <si>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</si>
  <si>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</si>
  <si>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</si>
  <si>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</si>
  <si>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</si>
  <si>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</si>
  <si>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</si>
  <si>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</si>
  <si>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</si>
  <si>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</si>
  <si>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</si>
  <si>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</si>
  <si>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</si>
  <si>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</si>
  <si>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</si>
  <si>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</si>
  <si>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</si>
  <si>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</si>
  <si>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</si>
  <si>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</si>
  <si>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</si>
  <si>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</si>
  <si>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</si>
  <si>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</si>
  <si>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</si>
  <si>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</si>
  <si>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</si>
  <si>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</si>
  <si>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</si>
  <si>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</si>
  <si>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</si>
  <si>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</si>
  <si>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</si>
  <si>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</si>
  <si>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</si>
  <si>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</si>
  <si>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</si>
  <si>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</si>
  <si>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</si>
  <si>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</si>
  <si>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</si>
  <si>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</si>
  <si>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</si>
  <si>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</si>
  <si>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</si>
  <si>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</si>
  <si>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</si>
  <si>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</si>
  <si>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</si>
  <si>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</si>
  <si>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</si>
  <si>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</si>
  <si>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</si>
  <si>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</si>
  <si>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</si>
  <si>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</si>
  <si>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</si>
  <si>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</si>
  <si>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</si>
  <si>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</si>
  <si>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</si>
  <si>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</si>
  <si>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</si>
  <si>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</si>
  <si>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</si>
  <si>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</si>
  <si>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</si>
  <si>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</si>
  <si>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</si>
  <si>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</si>
  <si>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</si>
  <si>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</si>
  <si>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</si>
  <si>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</si>
  <si>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</si>
  <si>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</si>
  <si>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</si>
  <si>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</si>
  <si>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</si>
  <si>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</si>
  <si>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</si>
  <si>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</si>
  <si>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</si>
  <si>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</si>
  <si>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</si>
  <si>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</si>
  <si>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</si>
  <si>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</si>
  <si>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</si>
  <si>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</si>
  <si>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</si>
  <si>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</si>
  <si>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</si>
  <si>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</si>
  <si>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</si>
  <si>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</si>
  <si>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</si>
  <si>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</si>
  <si>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</si>
  <si>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</si>
  <si>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</si>
  <si>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</si>
  <si>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</si>
  <si>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</si>
  <si>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</si>
  <si>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</si>
  <si>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</si>
  <si>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</si>
  <si>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</si>
  <si>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</si>
  <si>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</si>
  <si>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</si>
  <si>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</si>
  <si>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</si>
  <si>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</si>
  <si>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</si>
  <si>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</si>
  <si>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</si>
  <si>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</si>
  <si>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</si>
  <si>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</si>
  <si>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</si>
  <si>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</si>
  <si>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</si>
  <si>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</si>
  <si>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</si>
  <si>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</si>
  <si>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</si>
  <si>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</si>
  <si>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</si>
  <si>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</si>
  <si>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</si>
  <si>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</si>
  <si>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</si>
  <si>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</si>
  <si>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</si>
  <si>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</si>
  <si>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</si>
  <si>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</si>
  <si>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</si>
  <si>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</si>
  <si>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</si>
  <si>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</si>
  <si>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</si>
  <si>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</si>
  <si>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</si>
  <si>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</si>
  <si>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</si>
  <si>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</si>
  <si>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</si>
  <si>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</si>
  <si>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</si>
  <si>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</si>
  <si>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</si>
  <si>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</si>
  <si>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</si>
  <si>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</si>
  <si>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</si>
  <si>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</si>
  <si>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</si>
  <si>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</si>
  <si>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</si>
  <si>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</si>
  <si>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</si>
  <si>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</si>
  <si>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</si>
  <si>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</si>
  <si>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</si>
  <si>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</si>
  <si>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</si>
  <si>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</si>
  <si>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</si>
  <si>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</si>
  <si>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</si>
  <si>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</si>
  <si>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</si>
  <si>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</si>
  <si>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</si>
  <si>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</si>
  <si>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</si>
  <si>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</si>
  <si>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</si>
  <si>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</si>
  <si>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</si>
  <si>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</si>
  <si>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</si>
  <si>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</si>
  <si>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</si>
  <si>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</si>
  <si>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</si>
  <si>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</si>
  <si>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</si>
  <si>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</si>
  <si>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</si>
  <si>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</si>
  <si>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</si>
  <si>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</si>
  <si>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</si>
  <si>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</si>
  <si>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</si>
  <si>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</si>
  <si>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</si>
  <si>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</si>
  <si>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</si>
  <si>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</si>
  <si>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</si>
  <si>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</si>
  <si>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</si>
  <si>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</si>
  <si>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</si>
  <si>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</si>
  <si>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</si>
  <si>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</si>
  <si>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</si>
  <si>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</si>
  <si>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</si>
  <si>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</si>
  <si>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</si>
  <si>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</si>
  <si>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</si>
  <si>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</si>
  <si>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</si>
  <si>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</si>
  <si>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</si>
  <si>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</si>
  <si>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</si>
  <si>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</si>
  <si>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</si>
  <si>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</si>
  <si>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</si>
  <si>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</si>
  <si>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</si>
  <si>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</si>
  <si>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</si>
  <si>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</si>
  <si>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</si>
  <si>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</si>
  <si>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</si>
  <si>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</si>
  <si>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</si>
  <si>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</si>
  <si>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</si>
  <si>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</si>
  <si>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</si>
  <si>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</si>
  <si>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</si>
  <si>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</si>
  <si>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</si>
  <si>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</si>
  <si>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</si>
  <si>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</si>
  <si>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</si>
  <si>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</si>
  <si>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</si>
  <si>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</si>
  <si>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</si>
  <si>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</si>
  <si>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</si>
  <si>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</si>
  <si>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</si>
  <si>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</si>
  <si>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</si>
  <si>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</si>
  <si>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</si>
  <si>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</si>
  <si>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</si>
  <si>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</si>
  <si>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</si>
  <si>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</si>
  <si>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</si>
  <si>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</si>
  <si>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</si>
  <si>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</si>
  <si>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</si>
  <si>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</si>
  <si>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</si>
  <si>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</si>
  <si>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</si>
  <si>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</si>
  <si>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</si>
  <si>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</si>
  <si>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</si>
  <si>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</si>
  <si>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</si>
  <si>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</si>
  <si>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</si>
  <si>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</si>
  <si>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</si>
  <si>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</si>
  <si>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</si>
  <si>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</si>
  <si>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</si>
  <si>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</si>
  <si>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</si>
  <si>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</si>
  <si>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</si>
  <si>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</si>
  <si>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</si>
  <si>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</si>
  <si>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</si>
  <si>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</si>
  <si>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</si>
  <si>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</si>
  <si>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</si>
  <si>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</si>
  <si>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</si>
  <si>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</si>
  <si>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</si>
  <si>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</si>
  <si>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</si>
  <si>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</si>
  <si>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</si>
  <si>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</si>
  <si>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</si>
  <si>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</si>
  <si>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</si>
  <si>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</si>
  <si>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</si>
  <si>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</si>
  <si>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</si>
  <si>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</si>
  <si>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</si>
  <si>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</si>
  <si>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</si>
  <si>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</si>
  <si>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</si>
  <si>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</si>
  <si>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</si>
  <si>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</si>
  <si>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</si>
  <si>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</si>
  <si>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</si>
  <si>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</si>
  <si>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</si>
  <si>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</si>
  <si>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</si>
  <si>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</si>
  <si>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</si>
  <si>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</si>
  <si>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</si>
  <si>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</si>
  <si>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</si>
  <si>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</si>
  <si>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</si>
  <si>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</si>
  <si>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</si>
  <si>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</si>
  <si>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</si>
  <si>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</si>
  <si>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</si>
  <si>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</si>
  <si>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</si>
  <si>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</si>
  <si>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</si>
  <si>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</si>
  <si>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</si>
  <si>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</si>
  <si>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</si>
  <si>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</si>
  <si>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</si>
  <si>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</si>
  <si>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</si>
  <si>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</si>
  <si>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</si>
  <si>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</si>
  <si>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</si>
  <si>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</si>
  <si>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</si>
  <si>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</si>
  <si>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</si>
  <si>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</si>
  <si>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</si>
  <si>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</si>
  <si>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</si>
  <si>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</si>
  <si>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</si>
  <si>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</si>
  <si>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</si>
  <si>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</si>
  <si>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</si>
  <si>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</si>
  <si>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</si>
  <si>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</si>
  <si>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</si>
  <si>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</si>
  <si>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</si>
  <si>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</si>
  <si>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</si>
  <si>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</si>
  <si>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</si>
  <si>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</si>
  <si>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</si>
  <si>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</si>
  <si>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</si>
  <si>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</si>
  <si>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</si>
  <si>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</si>
  <si>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</si>
  <si>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</si>
  <si>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</si>
  <si>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</si>
  <si>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</si>
  <si>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</si>
  <si>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</si>
  <si>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</si>
  <si>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</si>
  <si>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</si>
  <si>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</si>
  <si>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</si>
  <si>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</si>
  <si>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</si>
  <si>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</si>
  <si>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</si>
  <si>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</si>
  <si>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</si>
  <si>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</si>
  <si>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</si>
  <si>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</si>
  <si>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</si>
  <si>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</si>
  <si>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</si>
  <si>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</si>
  <si>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</si>
  <si>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</si>
  <si>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</si>
  <si>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</si>
  <si>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</si>
  <si>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</si>
  <si>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</si>
  <si>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</si>
  <si>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</si>
  <si>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</si>
  <si>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</si>
  <si>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</si>
  <si>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</si>
  <si>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</si>
  <si>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</si>
  <si>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</si>
  <si>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</si>
  <si>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</si>
  <si>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</si>
  <si>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</si>
  <si>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</si>
  <si>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</si>
  <si>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</si>
  <si>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</si>
  <si>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</si>
  <si>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</si>
  <si>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</si>
  <si>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</si>
  <si>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</si>
  <si>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</si>
  <si>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</si>
  <si>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</si>
  <si>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</si>
  <si>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</si>
  <si>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</si>
  <si>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</si>
  <si>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</si>
  <si>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</si>
  <si>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</si>
  <si>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</si>
  <si>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</si>
  <si>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</si>
  <si>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</si>
  <si>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</si>
  <si>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</si>
  <si>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</si>
  <si>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</si>
  <si>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</si>
  <si>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</si>
  <si>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</si>
  <si>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</si>
  <si>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</si>
  <si>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</si>
  <si>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</si>
  <si>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</si>
  <si>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</si>
  <si>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</si>
  <si>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</si>
  <si>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</si>
  <si>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</si>
  <si>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</si>
  <si>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</si>
  <si>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</si>
  <si>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</si>
  <si>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</si>
  <si>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</si>
  <si>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</si>
  <si>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</si>
  <si>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</si>
  <si>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</si>
  <si>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</si>
  <si>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</si>
  <si>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</si>
  <si>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</si>
  <si>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</si>
  <si>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</si>
  <si>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</si>
  <si>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</si>
  <si>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</si>
  <si>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</si>
  <si>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</si>
  <si>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</si>
  <si>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</si>
  <si>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</si>
  <si>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</si>
  <si>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</si>
  <si>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</si>
  <si>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</si>
  <si>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</si>
  <si>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</si>
  <si>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</si>
  <si>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</si>
  <si>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</si>
  <si>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</si>
  <si>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</si>
  <si>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</si>
  <si>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</si>
  <si>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</si>
  <si>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</si>
  <si>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</si>
  <si>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</si>
  <si>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</si>
  <si>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</si>
  <si>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</si>
  <si>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</si>
  <si>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</si>
  <si>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</si>
  <si>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</si>
  <si>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</si>
  <si>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</si>
  <si>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</si>
  <si>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</si>
  <si>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</si>
  <si>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</si>
  <si>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</si>
  <si>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</si>
  <si>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</si>
  <si>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</si>
  <si>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</si>
  <si>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</si>
  <si>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</si>
  <si>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</si>
  <si>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</si>
  <si>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</si>
  <si>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</si>
  <si>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</si>
  <si>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</si>
  <si>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</si>
  <si>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</si>
  <si>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</si>
  <si>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</si>
  <si>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</si>
  <si>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</si>
  <si>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</si>
  <si>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</si>
  <si>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</si>
  <si>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</si>
  <si>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</si>
  <si>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</si>
  <si>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</si>
  <si>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</si>
  <si>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</si>
  <si>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</si>
  <si>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</si>
  <si>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</si>
  <si>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</si>
  <si>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</si>
  <si>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</si>
  <si>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</si>
  <si>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</si>
  <si>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</si>
  <si>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</si>
  <si>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</si>
  <si>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</si>
  <si>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</si>
  <si>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</si>
  <si>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</si>
  <si>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</si>
  <si>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</si>
  <si>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</si>
  <si>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</si>
  <si>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</si>
  <si>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</si>
  <si>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</si>
  <si>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</si>
  <si>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</si>
  <si>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</si>
  <si>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</si>
  <si>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</si>
  <si>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</si>
  <si>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</si>
  <si>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</si>
  <si>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</si>
  <si>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</si>
  <si>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</si>
  <si>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</si>
  <si>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</si>
  <si>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</si>
  <si>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</si>
  <si>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</si>
  <si>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</si>
  <si>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</si>
  <si>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</si>
  <si>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</si>
  <si>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</si>
  <si>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</si>
  <si>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</si>
  <si>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</si>
  <si>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</si>
  <si>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</si>
  <si>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</si>
  <si>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</si>
  <si>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</si>
  <si>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</si>
  <si>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</si>
  <si>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</si>
  <si>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</si>
  <si>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</si>
  <si>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</si>
  <si>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</si>
  <si>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</si>
  <si>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</si>
  <si>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</si>
  <si>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</si>
  <si>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</si>
  <si>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</si>
  <si>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</si>
  <si>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</si>
  <si>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</si>
  <si>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</si>
  <si>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</si>
  <si>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</si>
  <si>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</si>
  <si>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</si>
  <si>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</si>
  <si>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</si>
  <si>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</si>
  <si>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</si>
  <si>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</si>
  <si>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</si>
  <si>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</si>
  <si>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</si>
  <si>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</si>
  <si>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</si>
  <si>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</si>
  <si>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</si>
  <si>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</si>
  <si>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</si>
  <si>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</si>
  <si>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</si>
  <si>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</si>
  <si>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</si>
  <si>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</si>
  <si>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</si>
  <si>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</si>
  <si>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</si>
  <si>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</si>
  <si>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</si>
  <si>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</si>
  <si>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</si>
  <si>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</si>
  <si>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</si>
  <si>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</si>
  <si>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</si>
  <si>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</si>
  <si>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</si>
  <si>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</si>
  <si>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</si>
  <si>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</si>
  <si>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</si>
  <si>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</si>
  <si>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</si>
  <si>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</si>
  <si>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</si>
  <si>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</si>
  <si>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</si>
  <si>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</si>
  <si>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</si>
  <si>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</si>
  <si>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</si>
  <si>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</si>
  <si>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</si>
  <si>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</si>
  <si>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</si>
  <si>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</si>
  <si>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</si>
  <si>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</si>
  <si>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</si>
  <si>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</si>
  <si>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</si>
  <si>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</si>
  <si>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</si>
  <si>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</si>
  <si>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</si>
  <si>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</si>
  <si>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</si>
  <si>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</si>
  <si>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</si>
  <si>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</si>
  <si>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</si>
  <si>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</si>
  <si>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</si>
  <si>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</si>
  <si>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</si>
  <si>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</si>
  <si>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</si>
  <si>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</si>
  <si>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</si>
  <si>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</si>
  <si>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</si>
  <si>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</si>
  <si>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</si>
  <si>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</si>
  <si>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</si>
  <si>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</si>
  <si>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</si>
  <si>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</si>
  <si>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</si>
  <si>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</si>
  <si>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</si>
  <si>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</si>
  <si>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</si>
  <si>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</si>
  <si>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</si>
  <si>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</si>
  <si>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</si>
  <si>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</si>
  <si>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</si>
  <si>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</si>
  <si>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</si>
  <si>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</si>
  <si>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</si>
  <si>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</si>
  <si>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</si>
  <si>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</si>
  <si>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</si>
  <si>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</si>
  <si>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</si>
  <si>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</si>
  <si>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</si>
  <si>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</si>
  <si>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</si>
  <si>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</si>
  <si>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</si>
  <si>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</si>
  <si>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</si>
  <si>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</si>
  <si>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</si>
  <si>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</si>
  <si>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</si>
  <si>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</si>
  <si>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</si>
  <si>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</si>
  <si>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</si>
  <si>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</si>
  <si>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</si>
  <si>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</si>
  <si>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</si>
  <si>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</si>
  <si>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</si>
  <si>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</si>
  <si>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</si>
  <si>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</si>
  <si>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</si>
  <si>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</si>
  <si>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</si>
  <si>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</si>
  <si>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</si>
  <si>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</si>
  <si>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</si>
  <si>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</si>
  <si>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</si>
  <si>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</si>
  <si>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</si>
  <si>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</si>
  <si>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</si>
  <si>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</si>
  <si>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</si>
  <si>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</si>
  <si>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</si>
  <si>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</si>
  <si>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</si>
  <si>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</si>
  <si>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</si>
  <si>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</si>
  <si>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</si>
  <si>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</si>
  <si>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</si>
  <si>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</si>
  <si>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</si>
  <si>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</si>
  <si>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</si>
  <si>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</si>
  <si>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</si>
  <si>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</si>
  <si>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</si>
  <si>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</si>
  <si>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</si>
  <si>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</si>
  <si>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</si>
  <si>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</si>
  <si>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</si>
  <si>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</si>
  <si>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</si>
  <si>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</si>
  <si>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</si>
  <si>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</si>
  <si>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</si>
  <si>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</si>
  <si>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</si>
  <si>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</si>
  <si>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</si>
  <si>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</si>
  <si>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</si>
  <si>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</si>
  <si>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</si>
  <si>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</si>
  <si>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</si>
  <si>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</si>
  <si>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</si>
  <si>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</si>
  <si>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</si>
  <si>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</si>
  <si>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</si>
  <si>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</si>
  <si>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</si>
  <si>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</si>
  <si>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</si>
  <si>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</si>
  <si>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</si>
  <si>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</si>
  <si>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</si>
  <si>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</si>
  <si>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</si>
  <si>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</si>
  <si>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</si>
  <si>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</si>
  <si>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</si>
  <si>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</si>
  <si>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</si>
  <si>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</si>
  <si>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</si>
  <si>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</si>
  <si>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</si>
  <si>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</si>
  <si>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</si>
  <si>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</si>
  <si>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</si>
  <si>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</si>
  <si>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</si>
  <si>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</si>
  <si>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</si>
  <si>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</si>
  <si>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</si>
  <si>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</si>
  <si>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</si>
  <si>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</si>
  <si>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</si>
  <si>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</si>
  <si>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</si>
  <si>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</si>
  <si>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</si>
  <si>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</si>
  <si>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</si>
  <si>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</si>
  <si>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</si>
  <si>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</si>
  <si>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</si>
  <si>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</si>
  <si>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</si>
  <si>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</si>
  <si>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</si>
  <si>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</si>
  <si>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</si>
  <si>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</si>
  <si>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</si>
  <si>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</si>
  <si>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</si>
  <si>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</si>
  <si>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</si>
  <si>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</si>
  <si>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</si>
  <si>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</si>
  <si>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</si>
  <si>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</si>
  <si>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</si>
  <si>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</si>
  <si>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</si>
  <si>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</si>
  <si>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</si>
  <si>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</si>
  <si>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</si>
  <si>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</si>
  <si>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</si>
  <si>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</si>
  <si>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</si>
  <si>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</si>
  <si>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</si>
  <si>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</si>
  <si>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</si>
  <si>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</si>
  <si>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</si>
  <si>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</si>
  <si>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</si>
  <si>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</si>
  <si>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</si>
  <si>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</si>
  <si>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</si>
  <si>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</si>
  <si>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</si>
  <si>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</si>
  <si>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</si>
  <si>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</si>
  <si>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</si>
  <si>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</si>
  <si>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</si>
  <si>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</si>
  <si>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</si>
  <si>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</si>
  <si>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</si>
  <si>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</si>
  <si>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</si>
  <si>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</si>
  <si>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</si>
  <si>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</si>
  <si>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</si>
  <si>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</si>
  <si>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</si>
  <si>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</si>
  <si>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</si>
  <si>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</si>
  <si>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</si>
  <si>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</si>
  <si>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</si>
  <si>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</si>
  <si>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</si>
  <si>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</si>
  <si>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</si>
  <si>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</si>
  <si>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</si>
  <si>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</si>
  <si>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</si>
  <si>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</si>
  <si>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</si>
  <si>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</si>
  <si>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</si>
  <si>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</si>
  <si>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</si>
  <si>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</si>
  <si>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</si>
  <si>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</si>
  <si>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</si>
  <si>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</si>
  <si>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</si>
  <si>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</si>
  <si>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</si>
  <si>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</si>
  <si>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</si>
  <si>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</si>
  <si>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</si>
  <si>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</si>
  <si>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</si>
  <si>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</si>
  <si>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</si>
  <si>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</si>
  <si>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</si>
  <si>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</si>
  <si>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</si>
  <si>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</si>
  <si>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</si>
  <si>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</si>
  <si>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</si>
  <si>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</si>
  <si>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</si>
  <si>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</si>
  <si>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</si>
  <si>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</si>
  <si>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</si>
  <si>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</si>
  <si>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</si>
  <si>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</si>
  <si>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</si>
  <si>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</si>
  <si>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</si>
  <si>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</si>
  <si>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</si>
  <si>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</si>
  <si>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</si>
  <si>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</si>
  <si>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</si>
  <si>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</si>
  <si>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</si>
  <si>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</si>
  <si>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</si>
  <si>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</si>
  <si>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</si>
  <si>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</si>
  <si>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</si>
  <si>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</si>
  <si>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</si>
  <si>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</si>
  <si>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</si>
  <si>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</si>
  <si>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</si>
  <si>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</si>
  <si>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</si>
  <si>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</si>
  <si>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</si>
  <si>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</si>
  <si>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</si>
  <si>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</si>
  <si>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</si>
  <si>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</si>
  <si>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</si>
  <si>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</si>
  <si>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</si>
  <si>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</si>
  <si>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</si>
  <si>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</si>
  <si>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</si>
  <si>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</si>
  <si>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</si>
  <si>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</si>
  <si>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</si>
  <si>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</si>
  <si>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</si>
  <si>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</si>
  <si>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</si>
  <si>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</si>
  <si>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</si>
  <si>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</si>
  <si>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</si>
  <si>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</si>
  <si>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</si>
  <si>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</si>
  <si>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</si>
  <si>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</si>
  <si>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</si>
  <si>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</si>
  <si>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</si>
  <si>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</si>
  <si>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</si>
  <si>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</si>
  <si>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</si>
  <si>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</si>
  <si>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</si>
  <si>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</si>
  <si>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</si>
  <si>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</si>
  <si>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</si>
  <si>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</si>
  <si>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</si>
  <si>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</si>
  <si>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</si>
  <si>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</si>
  <si>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</si>
  <si>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</si>
  <si>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</si>
  <si>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</si>
  <si>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</si>
  <si>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</si>
  <si>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</si>
  <si>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</si>
  <si>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</si>
  <si>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</si>
  <si>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</si>
  <si>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</si>
  <si>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</si>
  <si>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</si>
  <si>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</si>
  <si>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</si>
  <si>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</si>
  <si>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</si>
  <si>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</si>
  <si>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</si>
  <si>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</si>
  <si>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</si>
  <si>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</si>
  <si>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</si>
  <si>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</si>
  <si>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</si>
  <si>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</si>
  <si>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</si>
  <si>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</si>
  <si>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</si>
  <si>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</si>
  <si>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</si>
  <si>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</si>
  <si>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</si>
  <si>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</si>
  <si>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</si>
  <si>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</si>
  <si>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</si>
  <si>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</si>
  <si>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</si>
  <si>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</si>
  <si>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</si>
  <si>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</si>
  <si>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</si>
  <si>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</si>
  <si>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</si>
  <si>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</si>
  <si>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</si>
  <si>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</si>
  <si>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</si>
  <si>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</si>
  <si>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</si>
  <si>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</si>
  <si>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</si>
  <si>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</si>
  <si>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</si>
  <si>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</si>
  <si>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</si>
  <si>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</si>
  <si>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</si>
  <si>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</si>
  <si>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</si>
  <si>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</si>
  <si>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</si>
  <si>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</si>
  <si>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</si>
  <si>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</si>
  <si>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</si>
  <si>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</si>
  <si>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</si>
  <si>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</si>
  <si>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</si>
  <si>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</si>
  <si>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</si>
  <si>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</si>
  <si>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</si>
  <si>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</si>
  <si>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</si>
  <si>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</si>
  <si>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</si>
  <si>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</si>
  <si>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</si>
  <si>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</si>
  <si>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</si>
  <si>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</si>
  <si>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</si>
  <si>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</si>
  <si>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</si>
  <si>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</si>
  <si>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</si>
  <si>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</si>
  <si>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</si>
  <si>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</si>
  <si>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</si>
  <si>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</si>
  <si>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</si>
  <si>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</si>
  <si>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</si>
  <si>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</si>
  <si>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</si>
  <si>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</si>
  <si>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</si>
  <si>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</si>
  <si>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</si>
  <si>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</si>
  <si>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</si>
  <si>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</si>
  <si>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</si>
  <si>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</si>
  <si>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</si>
  <si>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</si>
  <si>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</si>
  <si>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</si>
  <si>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</si>
  <si>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</si>
  <si>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</si>
  <si>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</si>
  <si>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</si>
  <si>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</si>
  <si>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</si>
  <si>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</si>
  <si>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</si>
  <si>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</si>
  <si>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</si>
  <si>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</si>
  <si>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</si>
  <si>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</si>
  <si>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</si>
  <si>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</si>
  <si>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</si>
  <si>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</si>
  <si>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</si>
  <si>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</si>
  <si>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</si>
  <si>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</si>
  <si>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</si>
  <si>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</si>
  <si>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</si>
  <si>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</si>
  <si>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</si>
  <si>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</si>
  <si>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</si>
  <si>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</si>
  <si>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</si>
  <si>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</si>
  <si>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</si>
  <si>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</si>
  <si>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</si>
  <si>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</si>
  <si>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</si>
  <si>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</si>
  <si>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</si>
  <si>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</si>
  <si>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</si>
  <si>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</si>
  <si>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</si>
  <si>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</si>
  <si>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</si>
  <si>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</si>
  <si>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</si>
  <si>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</si>
  <si>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</si>
  <si>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</si>
  <si>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</si>
  <si>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</si>
  <si>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</si>
  <si>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</si>
  <si>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</si>
  <si>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</si>
  <si>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</si>
  <si>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</si>
  <si>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</si>
  <si>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</si>
  <si>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</si>
  <si>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</si>
  <si>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</si>
  <si>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</si>
  <si>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</si>
  <si>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</si>
  <si>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</si>
  <si>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</si>
  <si>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</si>
  <si>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</si>
  <si>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</si>
  <si>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</si>
  <si>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</si>
  <si>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</si>
  <si>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</si>
  <si>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</si>
  <si>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</si>
  <si>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</si>
  <si>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</si>
  <si>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</si>
  <si>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</si>
  <si>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</si>
  <si>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</si>
  <si>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</si>
  <si>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</si>
  <si>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</si>
  <si>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</si>
  <si>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</si>
  <si>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</si>
  <si>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</si>
  <si>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</si>
  <si>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</si>
  <si>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</si>
  <si>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</si>
  <si>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</si>
  <si>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</si>
  <si>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</si>
  <si>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</si>
  <si>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</si>
  <si>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</si>
  <si>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</si>
  <si>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</si>
  <si>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</si>
  <si>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</si>
  <si>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</si>
  <si>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</si>
  <si>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</si>
  <si>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</si>
  <si>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</si>
  <si>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</si>
  <si>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</si>
  <si>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</si>
  <si>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</si>
  <si>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</si>
  <si>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</si>
  <si>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</si>
  <si>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</si>
  <si>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</si>
  <si>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</si>
  <si>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</si>
  <si>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</si>
  <si>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</si>
  <si>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</si>
  <si>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</si>
  <si>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</si>
  <si>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</si>
  <si>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</si>
  <si>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</si>
  <si>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</si>
  <si>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</si>
  <si>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</si>
  <si>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</si>
  <si>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</si>
  <si>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</si>
  <si>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</si>
  <si>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</si>
  <si>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</si>
  <si>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</si>
  <si>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</si>
  <si>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</si>
  <si>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</si>
  <si>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</si>
  <si>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</si>
  <si>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</si>
  <si>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</si>
  <si>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</si>
  <si>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</si>
  <si>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</si>
  <si>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</si>
  <si>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</si>
  <si>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</si>
  <si>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</si>
  <si>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</si>
  <si>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</si>
  <si>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</si>
  <si>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</si>
  <si>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</si>
  <si>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</si>
  <si>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</si>
  <si>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</si>
  <si>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</si>
  <si>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</si>
  <si>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</si>
  <si>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</si>
  <si>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</si>
  <si>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</si>
  <si>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</si>
  <si>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2300台幣禮包</t>
  </si>
  <si>
    <t>1100台幣禮包</t>
  </si>
  <si>
    <t>650台幣禮包</t>
  </si>
  <si>
    <t>360台幣禮包</t>
  </si>
  <si>
    <t>WITHU2ND</t>
    <phoneticPr fontId="2" type="noConversion"/>
  </si>
  <si>
    <t>JJAZAN</t>
    <phoneticPr fontId="2" type="noConversion"/>
  </si>
  <si>
    <t>HAPPY2GETHER</t>
    <phoneticPr fontId="2" type="noConversion"/>
  </si>
  <si>
    <t>2YEARGIFT</t>
    <phoneticPr fontId="2" type="noConversion"/>
  </si>
  <si>
    <t>韓服</t>
    <phoneticPr fontId="2" type="noConversion"/>
  </si>
  <si>
    <t>5MANCAFE</t>
    <phoneticPr fontId="2" type="noConversion"/>
  </si>
  <si>
    <t>OPENTHEBAK</t>
    <phoneticPr fontId="2" type="noConversion"/>
  </si>
  <si>
    <t>HANGAWIGIFT</t>
    <phoneticPr fontId="2" type="noConversion"/>
  </si>
  <si>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</si>
  <si>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</si>
  <si>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</si>
  <si>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</si>
  <si>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</si>
  <si>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</si>
  <si>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</si>
  <si>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</si>
  <si>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</si>
  <si>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</si>
  <si>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</si>
  <si>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</si>
  <si>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</si>
  <si>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</si>
  <si>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</si>
  <si>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</si>
  <si>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</si>
  <si>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</si>
  <si>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</si>
  <si>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</si>
  <si>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</si>
  <si>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</si>
  <si>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</si>
  <si>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</si>
  <si>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</si>
  <si>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</si>
  <si>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</si>
  <si>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我的花園世界</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</si>
  <si>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</si>
  <si>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</si>
  <si>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</si>
  <si>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</si>
  <si>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</si>
  <si>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</si>
  <si>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</si>
  <si>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</si>
  <si>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</si>
  <si>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</si>
  <si>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https://www.facebook.com/mygardenworld.ofcl</t>
    <phoneticPr fontId="2" type="noConversion"/>
  </si>
  <si>
    <t>https://hjxp.floralgames.net/reserve/index.html#s1</t>
    <phoneticPr fontId="2" type="noConversion"/>
  </si>
  <si>
    <t>https://play.google.com/store/apps/details?id=com.floralgames.hjxp&amp;referrer=utm_source%3Dgamer.com.tw%26utm_campaign%3Dgnn</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</si>
  <si>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</si>
  <si>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</si>
  <si>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</si>
  <si>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</si>
  <si>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</si>
  <si>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</si>
  <si>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</si>
  <si>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</si>
  <si>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</si>
  <si>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進到遊戲內按右上角「設定」</t>
    <phoneticPr fontId="2" type="noConversion"/>
  </si>
  <si>
    <t>點最底下的「兌換碼」選項</t>
    <phoneticPr fontId="2" type="noConversion"/>
  </si>
  <si>
    <t>《我的花園世界》是一款主打療癒種植與溫馨養成的沉浸式花園手遊，帶領玩家進入一個充滿花香的夢幻國度。你將化身為專業花藝師，親手培育超過三百種四季花卉，從播種、澆水到採摘，每一步都充滿了治癒感。遊戲玩法自由，不僅能隨心所欲地佈置你的花園，設計出獨一無二的花藝作品，還能與好友交流互動，增添許多樂趣。
為了讓玩家快速體驗遊戲魅力，官方準備了豐富的兌換碼和禮包碼，只要輕鬆輸入序號，就能獲得稀有種子與實用道具，讓你的花園事業快速發展。遊戲也提供快速安全的代儲值服務，確保每一筆交易都安全無虞，讓你能夠無後顧之憂地沉浸在美麗的花花世界裡。現在就加入《我的花園世界》，打造屬於你的芬芳國度，開啟一段充滿愛與夢想的花藝人生！</t>
    <phoneticPr fontId="2" type="noConversion"/>
  </si>
  <si>
    <t>6000元寶</t>
  </si>
  <si>
    <t>1800元寶</t>
  </si>
  <si>
    <t>900元寶</t>
  </si>
  <si>
    <t>免廣告</t>
  </si>
  <si>
    <t>VIP特權</t>
  </si>
</sst>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printerSettings" Target="../printerSettings/printerSettings1.bin"/><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8"/>
  <sheetViews>
    <sheetView tabSelected="1" zoomScaleNormal="100" workbookViewId="0">
      <pane xSplit="1" ySplit="1" topLeftCell="H262" activePane="bottomRight" state="frozen"/>
      <selection pane="topRight" activeCell="B1" sqref="B1"/>
      <selection pane="bottomLeft" activeCell="A2" sqref="A2"/>
      <selection pane="bottomRight" activeCell="AB268" sqref="AB268:AC268"/>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3"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3"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3"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4"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3"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3"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3"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3" ht="22.5" customHeight="1" thickBot="1">
      <c r="A263" s="69" t="s">
        <v>4802</v>
      </c>
      <c r="C263" s="5" t="s">
        <v>4801</v>
      </c>
      <c r="D263" s="4" t="s">
        <v>4801</v>
      </c>
      <c r="E263" s="4" t="s">
        <v>4803</v>
      </c>
      <c r="F263" s="41" t="str">
        <f t="shared" si="10"/>
        <v>https://www.ssbuy.tw/detail_giftcode/dist/giftcodes/Elysia：星空墜落.html</v>
      </c>
      <c r="G263" s="4" t="s">
        <v>4804</v>
      </c>
      <c r="H263" s="41" t="str">
        <f t="shared" si="11"/>
        <v>https://www.ssbuy.tw/detail_giftcode/dist/gamedetail/Elysia：星空墜落.html</v>
      </c>
      <c r="I263" s="42" t="s">
        <v>4805</v>
      </c>
      <c r="J263" s="1" t="s">
        <v>4894</v>
      </c>
      <c r="K263" s="72">
        <v>2371</v>
      </c>
      <c r="L263" s="1" t="s">
        <v>4895</v>
      </c>
      <c r="M263" s="72">
        <v>1204</v>
      </c>
      <c r="N263" s="1" t="s">
        <v>4896</v>
      </c>
      <c r="O263" s="72">
        <v>563</v>
      </c>
      <c r="P263" s="1" t="s">
        <v>4897</v>
      </c>
      <c r="Q263" s="72">
        <v>261</v>
      </c>
      <c r="R263" s="1" t="s">
        <v>4898</v>
      </c>
      <c r="S263" s="72">
        <v>128</v>
      </c>
      <c r="T263" s="1" t="s">
        <v>4899</v>
      </c>
      <c r="U263" s="72">
        <v>26</v>
      </c>
      <c r="V263" s="1" t="s">
        <v>4900</v>
      </c>
      <c r="W263" s="72">
        <v>400</v>
      </c>
      <c r="X263" s="1" t="s">
        <v>4901</v>
      </c>
      <c r="Y263" s="72">
        <v>128</v>
      </c>
      <c r="Z263" s="1" t="s">
        <v>4902</v>
      </c>
      <c r="AA263" s="72">
        <v>2371</v>
      </c>
      <c r="AB263" s="99" t="s">
        <v>4903</v>
      </c>
      <c r="AC263" s="72">
        <v>1204</v>
      </c>
      <c r="AD263" s="1" t="s">
        <v>4904</v>
      </c>
      <c r="AE263" s="72">
        <v>400</v>
      </c>
      <c r="AF263" s="1" t="s">
        <v>4905</v>
      </c>
      <c r="AG263" s="72">
        <v>26</v>
      </c>
    </row>
    <row r="264" spans="1:33" ht="22.5" customHeight="1" thickBot="1">
      <c r="A264" s="72" t="s">
        <v>4831</v>
      </c>
      <c r="E264" s="4" t="s">
        <v>4838</v>
      </c>
      <c r="F264" s="41" t="str">
        <f t="shared" si="10"/>
        <v>https://www.ssbuy.tw/detail_giftcode/dist/giftcodes/合併貓鎮.html</v>
      </c>
      <c r="G264" s="4" t="s">
        <v>4837</v>
      </c>
      <c r="H264" s="41" t="str">
        <f t="shared" si="11"/>
        <v>https://www.ssbuy.tw/detail_giftcode/dist/gamedetail/合併貓鎮.html</v>
      </c>
      <c r="I264" s="42" t="s">
        <v>4852</v>
      </c>
      <c r="J264" s="47" t="s">
        <v>4834</v>
      </c>
      <c r="K264" s="41" t="s">
        <v>4835</v>
      </c>
    </row>
    <row r="265" spans="1:33" ht="22.5" customHeight="1" thickBot="1">
      <c r="A265" s="72" t="s">
        <v>4832</v>
      </c>
      <c r="C265" s="5" t="s">
        <v>4839</v>
      </c>
      <c r="D265" s="4" t="s">
        <v>4841</v>
      </c>
      <c r="E265" s="4" t="s">
        <v>4842</v>
      </c>
      <c r="F265" s="41" t="str">
        <f t="shared" si="10"/>
        <v>https://www.ssbuy.tw/detail_giftcode/dist/giftcodes/幻牌交鋒.html</v>
      </c>
      <c r="G265" s="4" t="s">
        <v>4843</v>
      </c>
      <c r="H265" s="41" t="str">
        <f t="shared" si="11"/>
        <v>https://www.ssbuy.tw/detail_giftcode/dist/gamedetail/幻牌交鋒.html</v>
      </c>
      <c r="I265" t="s">
        <v>4853</v>
      </c>
      <c r="J265" s="1" t="s">
        <v>4856</v>
      </c>
      <c r="K265" s="72">
        <v>2371</v>
      </c>
      <c r="L265" s="1" t="s">
        <v>4857</v>
      </c>
      <c r="M265" s="72">
        <v>1204</v>
      </c>
      <c r="N265" s="1" t="s">
        <v>1432</v>
      </c>
      <c r="O265" s="72">
        <v>563</v>
      </c>
      <c r="P265" s="1" t="s">
        <v>1433</v>
      </c>
      <c r="Q265" s="72">
        <v>261</v>
      </c>
      <c r="R265" s="1" t="s">
        <v>1434</v>
      </c>
      <c r="S265" s="72">
        <v>128</v>
      </c>
      <c r="T265" s="1" t="s">
        <v>1435</v>
      </c>
      <c r="U265" s="72">
        <v>26</v>
      </c>
      <c r="V265" s="1" t="s">
        <v>4906</v>
      </c>
      <c r="W265" s="72">
        <v>247</v>
      </c>
      <c r="X265" s="1" t="s">
        <v>196</v>
      </c>
      <c r="Y265" s="72">
        <v>261</v>
      </c>
      <c r="Z265" s="1" t="s">
        <v>4859</v>
      </c>
      <c r="AA265" s="72">
        <v>162</v>
      </c>
      <c r="AB265" s="1" t="s">
        <v>4858</v>
      </c>
      <c r="AC265" s="72">
        <v>162</v>
      </c>
    </row>
    <row r="266" spans="1:33" ht="22.5" customHeight="1" thickBot="1">
      <c r="A266" s="3" t="s">
        <v>4844</v>
      </c>
      <c r="C266" s="5" t="s">
        <v>4845</v>
      </c>
      <c r="D266" s="4" t="s">
        <v>4848</v>
      </c>
      <c r="E266" s="4" t="s">
        <v>4847</v>
      </c>
      <c r="F266" s="41" t="str">
        <f t="shared" si="10"/>
        <v>https://www.ssbuy.tw/detail_giftcode/dist/giftcodes/激鬥！王國保衛戰.html</v>
      </c>
      <c r="G266" s="4" t="s">
        <v>4846</v>
      </c>
      <c r="H266" s="41" t="str">
        <f t="shared" si="11"/>
        <v>https://www.ssbuy.tw/detail_giftcode/dist/gamedetail/激鬥！王國保衛戰.html</v>
      </c>
      <c r="I266" s="42" t="s">
        <v>4854</v>
      </c>
      <c r="J266" s="1" t="s">
        <v>4860</v>
      </c>
      <c r="K266" s="72">
        <v>2609</v>
      </c>
      <c r="L266" s="1" t="s">
        <v>4861</v>
      </c>
      <c r="M266" s="72">
        <v>1365</v>
      </c>
      <c r="N266" s="1" t="s">
        <v>4862</v>
      </c>
      <c r="O266" s="72">
        <v>807</v>
      </c>
      <c r="P266" s="1" t="s">
        <v>4863</v>
      </c>
      <c r="Q266" s="72">
        <v>546</v>
      </c>
      <c r="R266" s="1" t="s">
        <v>4864</v>
      </c>
      <c r="S266" s="72">
        <v>400</v>
      </c>
      <c r="T266" s="1" t="s">
        <v>4865</v>
      </c>
      <c r="U266" s="72">
        <v>269</v>
      </c>
      <c r="V266" s="1" t="s">
        <v>4866</v>
      </c>
      <c r="W266" s="72">
        <v>145</v>
      </c>
      <c r="X266" s="1" t="s">
        <v>4867</v>
      </c>
      <c r="Y266" s="72">
        <v>29</v>
      </c>
    </row>
    <row r="267" spans="1:33" ht="22.5" customHeight="1" thickBot="1">
      <c r="A267" s="72" t="s">
        <v>4833</v>
      </c>
      <c r="C267" s="5" t="s">
        <v>4840</v>
      </c>
      <c r="D267" s="41" t="s">
        <v>4851</v>
      </c>
      <c r="E267" s="4" t="s">
        <v>4849</v>
      </c>
      <c r="F267" s="41" t="str">
        <f t="shared" si="10"/>
        <v>https://www.ssbuy.tw/detail_giftcode/dist/giftcodes/嘟嘟臉惡作劇.html</v>
      </c>
      <c r="G267" s="41" t="s">
        <v>4850</v>
      </c>
      <c r="H267" s="41" t="str">
        <f t="shared" si="11"/>
        <v>https://www.ssbuy.tw/detail_giftcode/dist/gamedetail/嘟嘟臉惡作劇.html</v>
      </c>
      <c r="I267" s="42" t="s">
        <v>4855</v>
      </c>
      <c r="J267" s="1" t="s">
        <v>301</v>
      </c>
      <c r="K267" s="72">
        <v>2371</v>
      </c>
      <c r="L267" s="1" t="s">
        <v>4868</v>
      </c>
      <c r="M267" s="72">
        <v>1858</v>
      </c>
      <c r="N267" s="1" t="s">
        <v>302</v>
      </c>
      <c r="O267" s="72">
        <v>1204</v>
      </c>
      <c r="P267" s="1" t="s">
        <v>4869</v>
      </c>
      <c r="Q267" s="72">
        <v>889</v>
      </c>
      <c r="R267" s="1" t="s">
        <v>262</v>
      </c>
      <c r="S267" s="72">
        <v>807</v>
      </c>
      <c r="T267" s="1" t="s">
        <v>4870</v>
      </c>
      <c r="U267" s="72">
        <v>530</v>
      </c>
      <c r="V267" s="1" t="s">
        <v>1493</v>
      </c>
      <c r="W267" s="72">
        <v>400</v>
      </c>
      <c r="X267" s="1" t="s">
        <v>4871</v>
      </c>
      <c r="Y267" s="72">
        <v>294</v>
      </c>
      <c r="Z267" s="1" t="s">
        <v>4338</v>
      </c>
      <c r="AA267" s="72">
        <v>196</v>
      </c>
      <c r="AB267" s="1" t="s">
        <v>3955</v>
      </c>
      <c r="AC267" s="72">
        <v>162</v>
      </c>
    </row>
    <row r="268" spans="1:33" ht="22.5" customHeight="1" thickBot="1">
      <c r="A268" s="72" t="s">
        <v>4907</v>
      </c>
      <c r="C268" s="5" t="s">
        <v>4918</v>
      </c>
      <c r="D268" s="4" t="s">
        <v>4919</v>
      </c>
      <c r="E268" s="4" t="s">
        <v>4921</v>
      </c>
      <c r="F268" s="40" t="str">
        <f t="shared" ref="F268:F313" si="12">IF(A268="", "", "gift-codes.html?game=" &amp; A268)</f>
        <v>gift-codes.html?game=我的花園世界</v>
      </c>
      <c r="G268" s="4" t="s">
        <v>4920</v>
      </c>
      <c r="H268" s="41" t="str">
        <f t="shared" si="11"/>
        <v>https://www.ssbuy.tw/detail_giftcode/dist/gamedetail/我的花園世界.html</v>
      </c>
      <c r="I268" s="42" t="s">
        <v>4932</v>
      </c>
      <c r="J268" s="1" t="s">
        <v>4933</v>
      </c>
      <c r="K268" s="72">
        <v>2609</v>
      </c>
      <c r="L268" s="1" t="s">
        <v>204</v>
      </c>
      <c r="M268" s="72">
        <v>1365</v>
      </c>
      <c r="N268" s="1" t="s">
        <v>4934</v>
      </c>
      <c r="O268" s="72">
        <v>807</v>
      </c>
      <c r="P268" s="1" t="s">
        <v>4460</v>
      </c>
      <c r="Q268" s="72">
        <v>546</v>
      </c>
      <c r="R268" s="1" t="s">
        <v>4935</v>
      </c>
      <c r="S268" s="72">
        <v>400</v>
      </c>
      <c r="T268" s="1" t="s">
        <v>205</v>
      </c>
      <c r="U268" s="72">
        <v>269</v>
      </c>
      <c r="V268" s="1" t="s">
        <v>239</v>
      </c>
      <c r="W268" s="72">
        <v>145</v>
      </c>
      <c r="X268" s="1" t="s">
        <v>240</v>
      </c>
      <c r="Y268" s="72">
        <v>29</v>
      </c>
      <c r="Z268" s="1" t="s">
        <v>4936</v>
      </c>
      <c r="AA268" s="72">
        <v>29</v>
      </c>
      <c r="AB268" s="1" t="s">
        <v>4937</v>
      </c>
      <c r="AC268" s="72">
        <v>145</v>
      </c>
    </row>
    <row r="269" spans="1:33" ht="22.5" customHeight="1">
      <c r="F269" s="40" t="str">
        <f t="shared" si="12"/>
        <v/>
      </c>
      <c r="H269" s="41" t="str">
        <f t="shared" si="11"/>
        <v/>
      </c>
    </row>
    <row r="270" spans="1:33" ht="22.5" customHeight="1">
      <c r="F270" s="40" t="str">
        <f t="shared" si="12"/>
        <v/>
      </c>
      <c r="H270" s="41" t="str">
        <f t="shared" si="11"/>
        <v/>
      </c>
    </row>
    <row r="271" spans="1:33" ht="22.5" customHeight="1">
      <c r="F271" s="40" t="str">
        <f t="shared" si="12"/>
        <v/>
      </c>
      <c r="H271" s="41" t="str">
        <f t="shared" si="11"/>
        <v/>
      </c>
    </row>
    <row r="272" spans="1:33"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ref="H285:H313" si="13">IF(A285="", "", "https://www.ssbuy.tw/game-detail.html?game="&amp;A285)</f>
        <v/>
      </c>
    </row>
    <row r="286" spans="6:8" ht="22.5" customHeight="1">
      <c r="F286" s="40" t="str">
        <f t="shared" si="12"/>
        <v/>
      </c>
      <c r="H286" s="41" t="str">
        <f t="shared" si="13"/>
        <v/>
      </c>
    </row>
    <row r="287" spans="6:8" ht="22.5" customHeight="1">
      <c r="F287" s="40" t="str">
        <f t="shared" si="12"/>
        <v/>
      </c>
      <c r="H287" s="41" t="str">
        <f t="shared" si="13"/>
        <v/>
      </c>
    </row>
    <row r="288" spans="6:8"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ref="F314:F377" si="14">IF(A314="", "", "gift-codes.html?game=" &amp; A314)</f>
        <v/>
      </c>
      <c r="H314" s="41" t="str">
        <f t="shared" ref="H314:H377" si="15">IF(A314="", "", "https://www.ssbuy.tw/game-detail.html?game="&amp;A314)</f>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ref="F378:F441" si="16">IF(A378="", "", "gift-codes.html?game=" &amp; A378)</f>
        <v/>
      </c>
      <c r="H378" s="41" t="str">
        <f t="shared" ref="H378:H441" si="17">IF(A378="", "", "https://www.ssbuy.tw/game-detail.html?game="&amp;A378)</f>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ref="F442:F505" si="18">IF(A442="", "", "gift-codes.html?game=" &amp; A442)</f>
        <v/>
      </c>
      <c r="H442" s="41" t="str">
        <f t="shared" ref="H442:H505" si="19">IF(A442="", "", "https://www.ssbuy.tw/game-detail.html?game="&amp;A442)</f>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ref="F506:F569" si="20">IF(A506="", "", "gift-codes.html?game=" &amp; A506)</f>
        <v/>
      </c>
      <c r="H506" s="41" t="str">
        <f t="shared" ref="H506:H569" si="21">IF(A506="", "", "https://www.ssbuy.tw/game-detail.html?game="&amp;A506)</f>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IF(A570="", "", "gift-codes.html?game=" &amp; A570)</f>
        <v/>
      </c>
      <c r="H570" s="41" t="str">
        <f t="shared" ref="H570:H628" si="22">IF(A570="", "", "https://www.ssbuy.tw/game-detail.html?game="&amp;A570)</f>
        <v/>
      </c>
    </row>
    <row r="571" spans="6:8">
      <c r="F571" s="40" t="str">
        <f>IF(A571="", "", "gift-codes.html?game=" &amp; A571)</f>
        <v/>
      </c>
      <c r="H571" s="41" t="str">
        <f t="shared" si="22"/>
        <v/>
      </c>
    </row>
    <row r="572" spans="6:8">
      <c r="F572" s="40" t="str">
        <f>IF(A572="", "", "gift-codes.html?game=" &amp; A572)</f>
        <v/>
      </c>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s>
  <pageMargins left="0.7" right="0.7" top="0.75" bottom="0.75" header="0.3" footer="0.3"/>
  <pageSetup paperSize="9" orientation="portrait" r:id="rId20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6"/>
  <sheetViews>
    <sheetView workbookViewId="0">
      <pane xSplit="1" ySplit="1" topLeftCell="F253" activePane="bottomRight" state="frozen"/>
      <selection pane="topRight" activeCell="B1" sqref="B1"/>
      <selection pane="bottomLeft" activeCell="A2" sqref="A2"/>
      <selection pane="bottomRight" activeCell="H268" sqref="H268"/>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4880</v>
      </c>
      <c r="S185" s="18" t="s">
        <v>4881</v>
      </c>
      <c r="U185" s="18" t="s">
        <v>4882</v>
      </c>
      <c r="W185" s="18" t="s">
        <v>4883</v>
      </c>
      <c r="Y185" s="18" t="s">
        <v>4884</v>
      </c>
      <c r="AA185" s="18" t="s">
        <v>4885</v>
      </c>
      <c r="AC185" s="18" t="s">
        <v>4886</v>
      </c>
      <c r="AE185" s="18" t="s">
        <v>4887</v>
      </c>
      <c r="AG185" s="18" t="s">
        <v>4888</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c r="AG190" s="18" t="s">
        <v>4890</v>
      </c>
      <c r="AI190" s="18" t="s">
        <v>4891</v>
      </c>
      <c r="AK190" s="18" t="s">
        <v>4892</v>
      </c>
      <c r="AM190" s="18" t="s">
        <v>4893</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4808</v>
      </c>
      <c r="L206" s="13" t="s">
        <v>4809</v>
      </c>
      <c r="M206" s="18" t="s">
        <v>4810</v>
      </c>
      <c r="N206" s="13" t="s">
        <v>4811</v>
      </c>
      <c r="O206" s="18" t="s">
        <v>4812</v>
      </c>
      <c r="P206" s="13" t="s">
        <v>4813</v>
      </c>
      <c r="Q206" s="18" t="s">
        <v>4814</v>
      </c>
      <c r="R206" s="25" t="s">
        <v>4815</v>
      </c>
      <c r="S206" s="18" t="s">
        <v>4816</v>
      </c>
      <c r="T206" s="13" t="s">
        <v>4817</v>
      </c>
      <c r="U206" s="18" t="s">
        <v>4818</v>
      </c>
      <c r="V206" s="13" t="s">
        <v>4819</v>
      </c>
      <c r="W206" s="18" t="s">
        <v>4820</v>
      </c>
      <c r="X206" s="71" t="s">
        <v>4822</v>
      </c>
      <c r="Y206" s="18" t="s">
        <v>4823</v>
      </c>
      <c r="Z206" s="13" t="s">
        <v>4824</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4821</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4826</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4806</v>
      </c>
      <c r="Y227" s="18" t="s">
        <v>4807</v>
      </c>
      <c r="AA227" s="71" t="s">
        <v>4889</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4827</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4828</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4829</v>
      </c>
      <c r="R253" s="13" t="s">
        <v>4830</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24"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24"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24">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4720</v>
      </c>
      <c r="G259" s="13" t="s">
        <v>3641</v>
      </c>
      <c r="H259" s="13" t="s">
        <v>2625</v>
      </c>
      <c r="I259" s="13" t="s">
        <v>4368</v>
      </c>
      <c r="K259" s="101" t="s">
        <v>4916</v>
      </c>
      <c r="L259" s="13" t="s">
        <v>4917</v>
      </c>
    </row>
    <row r="260" spans="1:24">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24">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24">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24">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24">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4836</v>
      </c>
      <c r="G264" s="13" t="s">
        <v>4835</v>
      </c>
      <c r="K264" s="17" t="s">
        <v>4836</v>
      </c>
      <c r="L264" s="13" t="s">
        <v>4835</v>
      </c>
    </row>
    <row r="265" spans="1:24">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4912</v>
      </c>
      <c r="G265" s="13" t="s">
        <v>4913</v>
      </c>
      <c r="H265" s="13" t="s">
        <v>4914</v>
      </c>
      <c r="I265" s="13" t="s">
        <v>4915</v>
      </c>
      <c r="K265" s="17" t="s">
        <v>4910</v>
      </c>
      <c r="L265" s="13" t="s">
        <v>4911</v>
      </c>
    </row>
    <row r="266" spans="1:24">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4836</v>
      </c>
      <c r="G266" s="13" t="s">
        <v>4835</v>
      </c>
      <c r="K266" s="17" t="s">
        <v>4836</v>
      </c>
      <c r="L266" s="13" t="s">
        <v>4835</v>
      </c>
    </row>
    <row r="267" spans="1:24">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4836</v>
      </c>
      <c r="G267" s="13" t="s">
        <v>4835</v>
      </c>
      <c r="K267" s="17" t="s">
        <v>4872</v>
      </c>
      <c r="L267" s="13" t="s">
        <v>4876</v>
      </c>
      <c r="M267" s="18" t="s">
        <v>4873</v>
      </c>
      <c r="N267" s="13" t="s">
        <v>4876</v>
      </c>
      <c r="O267" s="18" t="s">
        <v>4874</v>
      </c>
      <c r="P267" s="13" t="s">
        <v>4876</v>
      </c>
      <c r="Q267" s="18" t="s">
        <v>4875</v>
      </c>
      <c r="R267" s="13" t="s">
        <v>4876</v>
      </c>
      <c r="S267" s="18" t="s">
        <v>4877</v>
      </c>
      <c r="T267" s="13" t="s">
        <v>4876</v>
      </c>
      <c r="U267" s="18" t="s">
        <v>4878</v>
      </c>
      <c r="V267" s="13" t="s">
        <v>4876</v>
      </c>
      <c r="W267" s="18" t="s">
        <v>4879</v>
      </c>
      <c r="X267" s="13" t="s">
        <v>4876</v>
      </c>
    </row>
    <row r="268" spans="1:24">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我的花園世界》是一款主打療癒種植與溫馨養成的沉浸式花園手遊，帶領玩家進入一個充滿花香的夢幻國度。你將化身為專業花藝師，親手培育超過三百種四季花卉，從播種、澆水到採摘，每一步都充滿了治癒感。遊戲玩法自由，不僅能隨心所欲地佈置你的花園，設計出獨一無二的花藝作品，還能與好友交流互動，增添許多樂趣。
為了讓玩家快速體驗遊戲魅力，官方準備了豐富的兌換碼和禮包碼，只要輕鬆輸入序號，就能獲得稀有種子與實用道具，讓你的花園事業快速發展。遊戲也提供快速安全的代儲值服務，確保每一筆交易都安全無虞，讓你能夠無後顧之憂地沉浸在美麗的花花世界裡。現在就加入《我的花園世界》，打造屬於你的芬芳國度，開啟一段充滿愛與夢想的花藝人生！</v>
      </c>
      <c r="F268" s="34" t="s">
        <v>4930</v>
      </c>
      <c r="G268" s="13" t="s">
        <v>4931</v>
      </c>
      <c r="H268" s="13" t="s">
        <v>2625</v>
      </c>
      <c r="I268" s="13" t="s">
        <v>4368</v>
      </c>
      <c r="K268" s="17" t="s">
        <v>4908</v>
      </c>
      <c r="L268" s="13" t="s">
        <v>4909</v>
      </c>
      <c r="M268" s="18" t="s">
        <v>4922</v>
      </c>
      <c r="N268" s="13" t="s">
        <v>4926</v>
      </c>
      <c r="O268" s="18" t="s">
        <v>4923</v>
      </c>
      <c r="P268" s="13" t="s">
        <v>4927</v>
      </c>
      <c r="Q268" s="18" t="s">
        <v>4924</v>
      </c>
      <c r="R268" s="13" t="s">
        <v>4928</v>
      </c>
      <c r="S268" s="18" t="s">
        <v>4925</v>
      </c>
      <c r="T268" s="13" t="s">
        <v>4929</v>
      </c>
    </row>
    <row r="269" spans="1:24">
      <c r="A269" s="13" t="str">
        <f>IF(games!A269="", "", games!A269)</f>
        <v/>
      </c>
      <c r="C269" s="13" t="str">
        <f>IF(A269="","", "giftcodesbanner/" &amp; A269 &amp; "-禮包碼.jpg")</f>
        <v/>
      </c>
      <c r="D269" s="13" t="str">
        <f>IF(A269="","", "https://www.ssbuy.tw/gift-codes.html?game="&amp;A269)</f>
        <v/>
      </c>
      <c r="E269" s="14" t="str">
        <f>IF(games!I269&lt;&gt;"", games!I269, "")</f>
        <v/>
      </c>
    </row>
    <row r="270" spans="1:24">
      <c r="A270" s="13" t="str">
        <f>IF(games!A270="", "", games!A270)</f>
        <v/>
      </c>
      <c r="C270" s="13" t="str">
        <f>IF(A270="","", "giftcodesbanner/" &amp; A270 &amp; "-禮包碼.jpg")</f>
        <v/>
      </c>
      <c r="D270" s="13" t="str">
        <f>IF(A270="","", "https://www.ssbuy.tw/gift-codes.html?game="&amp;A270)</f>
        <v/>
      </c>
      <c r="E270" s="14" t="str">
        <f>IF(games!I270&lt;&gt;"", games!I270, "")</f>
        <v/>
      </c>
    </row>
    <row r="271" spans="1:24">
      <c r="A271" s="13" t="str">
        <f>IF(games!A271="", "", games!A271)</f>
        <v/>
      </c>
      <c r="C271" s="13" t="str">
        <f>IF(A271="","", "giftcodesbanner/" &amp; A271 &amp; "-禮包碼.jpg")</f>
        <v/>
      </c>
      <c r="D271" s="13" t="str">
        <f>IF(A271="","", "https://www.ssbuy.tw/gift-codes.html?game="&amp;A271)</f>
        <v/>
      </c>
      <c r="E271" s="14" t="str">
        <f>IF(games!I271&lt;&gt;"", games!I271, "")</f>
        <v/>
      </c>
    </row>
    <row r="272" spans="1:24">
      <c r="A272" s="13" t="str">
        <f>IF(games!A272="", "", games!A272)</f>
        <v/>
      </c>
      <c r="C272" s="13" t="str">
        <f>IF(A272="","", "giftcodesbanner/" &amp; A272 &amp; "-禮包碼.jpg")</f>
        <v/>
      </c>
      <c r="D272" s="13" t="str">
        <f>IF(A272="","", "https://www.ssbuy.tw/gift-codes.html?game="&amp;A272)</f>
        <v/>
      </c>
      <c r="E272" s="14" t="str">
        <f>IF(games!I272&lt;&gt;"", games!I272, "")</f>
        <v/>
      </c>
    </row>
    <row r="273" spans="1:4">
      <c r="A273" s="13" t="str">
        <f>IF(games!A273="", "", games!A273)</f>
        <v/>
      </c>
      <c r="C273" s="13" t="str">
        <f>IF(A273="","", "giftcodesbanner/" &amp; A273 &amp; "-禮包碼.jpg")</f>
        <v/>
      </c>
      <c r="D273" s="13" t="str">
        <f>IF(A273="","", "https://www.ssbuy.tw/gift-codes.html?game="&amp;A273)</f>
        <v/>
      </c>
    </row>
    <row r="274" spans="1:4">
      <c r="A274" s="13" t="str">
        <f>IF(games!A274="", "", games!A274)</f>
        <v/>
      </c>
      <c r="C274" s="13" t="str">
        <f>IF(A274="","", "giftcodesbanner/" &amp; A274 &amp; "-禮包碼.jpg")</f>
        <v/>
      </c>
      <c r="D274" s="13" t="str">
        <f>IF(A274="","", "https://www.ssbuy.tw/gift-codes.html?game="&amp;A274)</f>
        <v/>
      </c>
    </row>
    <row r="275" spans="1:4">
      <c r="A275" s="13" t="str">
        <f>IF(games!A275="", "", games!A275)</f>
        <v/>
      </c>
      <c r="C275" s="13" t="str">
        <f>IF(A275="","", "giftcodesbanner/" &amp; A275 &amp; "-禮包碼.jpg")</f>
        <v/>
      </c>
      <c r="D275" s="13" t="str">
        <f>IF(A275="","", "https://www.ssbuy.tw/gift-codes.html?game="&amp;A275)</f>
        <v/>
      </c>
    </row>
    <row r="276" spans="1:4">
      <c r="A276" s="13" t="str">
        <f>IF(games!A276="", "", games!A276)</f>
        <v/>
      </c>
      <c r="C276" s="13" t="str">
        <f>IF(A276="","", "giftcodesbanner/" &amp; A276 &amp; "-禮包碼.jpg")</f>
        <v/>
      </c>
      <c r="D276" s="13" t="str">
        <f>IF(A276="","", "https://www.ssbuy.tw/gift-codes.html?game="&amp;A276)</f>
        <v/>
      </c>
    </row>
    <row r="277" spans="1:4">
      <c r="A277" s="13" t="str">
        <f>IF(games!A277="", "", games!A277)</f>
        <v/>
      </c>
      <c r="C277" s="13" t="str">
        <f>IF(A277="","", "giftcodesbanner/" &amp; A277 &amp; "-禮包碼.jpg")</f>
        <v/>
      </c>
      <c r="D277" s="13" t="str">
        <f>IF(A277="","", "https://www.ssbuy.tw/gift-codes.html?game="&amp;A277)</f>
        <v/>
      </c>
    </row>
    <row r="278" spans="1:4">
      <c r="A278" s="13" t="str">
        <f>IF(games!A278="", "", games!A278)</f>
        <v/>
      </c>
      <c r="C278" s="13" t="str">
        <f>IF(A278="","", "giftcodesbanner/" &amp; A278 &amp; "-禮包碼.jpg")</f>
        <v/>
      </c>
      <c r="D278" s="13" t="str">
        <f>IF(A278="","", "https://www.ssbuy.tw/gift-codes.html?game="&amp;A278)</f>
        <v/>
      </c>
    </row>
    <row r="279" spans="1:4">
      <c r="A279" s="13" t="str">
        <f>IF(games!A279="", "", games!A279)</f>
        <v/>
      </c>
      <c r="C279" s="13" t="str">
        <f>IF(A279="","", "giftcodesbanner/" &amp; A279 &amp; "-禮包碼.jpg")</f>
        <v/>
      </c>
      <c r="D279" s="13" t="str">
        <f>IF(A279="","", "https://www.ssbuy.tw/gift-codes.html?game="&amp;A279)</f>
        <v/>
      </c>
    </row>
    <row r="280" spans="1:4">
      <c r="A280" s="13" t="str">
        <f>IF(games!A280="", "", games!A280)</f>
        <v/>
      </c>
      <c r="C280" s="13" t="str">
        <f>IF(A280="","", "giftcodesbanner/" &amp; A280 &amp; "-禮包碼.jpg")</f>
        <v/>
      </c>
      <c r="D280" s="13" t="str">
        <f>IF(A280="","", "https://www.ssbuy.tw/gift-codes.html?game="&amp;A280)</f>
        <v/>
      </c>
    </row>
    <row r="281" spans="1:4">
      <c r="A281" s="13" t="str">
        <f>IF(games!A281="", "", games!A281)</f>
        <v/>
      </c>
      <c r="C281" s="13" t="str">
        <f>IF(A281="","", "giftcodesbanner/" &amp; A281 &amp; "-禮包碼.jpg")</f>
        <v/>
      </c>
      <c r="D281" s="13" t="str">
        <f>IF(A281="","", "https://www.ssbuy.tw/gift-codes.html?game="&amp;A281)</f>
        <v/>
      </c>
    </row>
    <row r="282" spans="1:4">
      <c r="A282" s="13" t="str">
        <f>IF(games!A282="", "", games!A282)</f>
        <v/>
      </c>
      <c r="C282" s="13" t="str">
        <f>IF(A282="","", "giftcodesbanner/" &amp; A282 &amp; "-禮包碼.jpg")</f>
        <v/>
      </c>
      <c r="D282" s="13" t="str">
        <f>IF(A282="","", "https://www.ssbuy.tw/gift-codes.html?game="&amp;A282)</f>
        <v/>
      </c>
    </row>
    <row r="283" spans="1:4">
      <c r="A283" s="13" t="str">
        <f>IF(games!A283="", "", games!A283)</f>
        <v/>
      </c>
      <c r="C283" s="13" t="str">
        <f>IF(A283="","", "giftcodesbanner/" &amp; A283 &amp; "-禮包碼.jpg")</f>
        <v/>
      </c>
      <c r="D283" s="13" t="str">
        <f>IF(A283="","", "https://www.ssbuy.tw/gift-codes.html?game="&amp;A283)</f>
        <v/>
      </c>
    </row>
    <row r="284" spans="1:4">
      <c r="A284" s="13" t="str">
        <f>IF(games!A284="", "", games!A284)</f>
        <v/>
      </c>
      <c r="C284" s="13" t="str">
        <f>IF(A284="","", "giftcodesbanner/" &amp; A284 &amp; "-禮包碼.jpg")</f>
        <v/>
      </c>
      <c r="D284" s="13" t="str">
        <f>IF(A284="","", "https://www.ssbuy.tw/gift-codes.html?game="&amp;A284)</f>
        <v/>
      </c>
    </row>
    <row r="285" spans="1:4">
      <c r="A285" s="13" t="str">
        <f>IF(games!A285="", "", games!A285)</f>
        <v/>
      </c>
      <c r="C285" s="13" t="str">
        <f>IF(A285="","", "giftcodesbanner/" &amp; A285 &amp; "-禮包碼.jpg")</f>
        <v/>
      </c>
      <c r="D285" s="13" t="str">
        <f>IF(A285="","", "https://www.ssbuy.tw/gift-codes.html?game="&amp;A285)</f>
        <v/>
      </c>
    </row>
    <row r="286" spans="1:4">
      <c r="A286" s="13" t="str">
        <f>IF(games!A286="", "", games!A286)</f>
        <v/>
      </c>
      <c r="C286" s="13" t="str">
        <f>IF(A286="","", "giftcodesbanner/" &amp; A286 &amp; "-禮包碼.jpg")</f>
        <v/>
      </c>
      <c r="D286" s="13" t="str">
        <f>IF(A286="","", "https://www.ssbuy.tw/gift-codes.html?game="&amp;A286)</f>
        <v/>
      </c>
    </row>
    <row r="287" spans="1:4">
      <c r="A287" s="13" t="str">
        <f>IF(games!A287="", "", games!A287)</f>
        <v/>
      </c>
      <c r="C287" s="13" t="str">
        <f>IF(A287="","", "giftcodesbanner/" &amp; A287 &amp; "-禮包碼.jpg")</f>
        <v/>
      </c>
      <c r="D287" s="13" t="str">
        <f>IF(A287="","", "https://www.ssbuy.tw/gift-codes.html?game="&amp;A287)</f>
        <v/>
      </c>
    </row>
    <row r="288" spans="1:4">
      <c r="A288" s="13" t="str">
        <f>IF(games!A288="", "", games!A288)</f>
        <v/>
      </c>
      <c r="C288" s="13" t="str">
        <f>IF(A288="","", "giftcodesbanner/" &amp; A288 &amp; "-禮包碼.jpg")</f>
        <v/>
      </c>
      <c r="D288" s="13" t="str">
        <f>IF(A288="","", "https://www.ssbuy.tw/gift-codes.html?game="&amp;A288)</f>
        <v/>
      </c>
    </row>
    <row r="289" spans="1:4">
      <c r="A289" s="13" t="str">
        <f>IF(games!A289="", "", games!A289)</f>
        <v/>
      </c>
      <c r="C289" s="13" t="str">
        <f>IF(A289="","", "giftcodesbanner/" &amp; A289 &amp; "-禮包碼.jpg")</f>
        <v/>
      </c>
      <c r="D289" s="13" t="str">
        <f>IF(A289="","", "https://www.ssbuy.tw/gift-codes.html?game="&amp;A289)</f>
        <v/>
      </c>
    </row>
    <row r="290" spans="1:4">
      <c r="A290" s="13" t="str">
        <f>IF(games!A290="", "", games!A290)</f>
        <v/>
      </c>
      <c r="C290" s="13" t="str">
        <f>IF(A290="","", "giftcodesbanner/" &amp; A290 &amp; "-禮包碼.jpg")</f>
        <v/>
      </c>
      <c r="D290" s="13" t="str">
        <f>IF(A290="","", "https://www.ssbuy.tw/gift-codes.html?game="&amp;A290)</f>
        <v/>
      </c>
    </row>
    <row r="291" spans="1:4">
      <c r="A291" s="13" t="str">
        <f>IF(games!A291="", "", games!A291)</f>
        <v/>
      </c>
      <c r="C291" s="13" t="str">
        <f>IF(A291="","", "giftcodesbanner/" &amp; A291 &amp; "-禮包碼.jpg")</f>
        <v/>
      </c>
      <c r="D291" s="13" t="str">
        <f>IF(A291="","", "https://www.ssbuy.tw/gift-codes.html?game="&amp;A291)</f>
        <v/>
      </c>
    </row>
    <row r="292" spans="1:4">
      <c r="A292" s="13" t="str">
        <f>IF(games!A292="", "", games!A292)</f>
        <v/>
      </c>
      <c r="C292" s="13" t="str">
        <f>IF(A292="","", "giftcodesbanner/" &amp; A292 &amp; "-禮包碼.jpg")</f>
        <v/>
      </c>
      <c r="D292" s="13" t="str">
        <f>IF(A292="","", "https://www.ssbuy.tw/gift-codes.html?game="&amp;A292)</f>
        <v/>
      </c>
    </row>
    <row r="293" spans="1:4">
      <c r="A293" s="13" t="str">
        <f>IF(games!A293="", "", games!A293)</f>
        <v/>
      </c>
      <c r="C293" s="13" t="str">
        <f>IF(A293="","", "giftcodesbanner/" &amp; A293 &amp; "-禮包碼.jpg")</f>
        <v/>
      </c>
      <c r="D293" s="13" t="str">
        <f>IF(A293="","", "https://www.ssbuy.tw/gift-codes.html?game="&amp;A293)</f>
        <v/>
      </c>
    </row>
    <row r="294" spans="1:4">
      <c r="A294" s="13" t="str">
        <f>IF(games!A294="", "", games!A294)</f>
        <v/>
      </c>
      <c r="C294" s="13" t="str">
        <f>IF(A294="","", "giftcodesbanner/" &amp; A294 &amp; "-禮包碼.jpg")</f>
        <v/>
      </c>
      <c r="D294" s="13" t="str">
        <f>IF(A294="","", "https://www.ssbuy.tw/gift-codes.html?game="&amp;A294)</f>
        <v/>
      </c>
    </row>
    <row r="295" spans="1:4">
      <c r="A295" s="13" t="str">
        <f>IF(games!A295="", "", games!A295)</f>
        <v/>
      </c>
      <c r="C295" s="13" t="str">
        <f>IF(A295="","", "giftcodesbanner/" &amp; A295 &amp; "-禮包碼.jpg")</f>
        <v/>
      </c>
      <c r="D295" s="13" t="str">
        <f>IF(A295="","", "https://www.ssbuy.tw/gift-codes.html?game="&amp;A295)</f>
        <v/>
      </c>
    </row>
    <row r="296" spans="1:4">
      <c r="A296" s="13" t="str">
        <f>IF(games!A296="", "", games!A296)</f>
        <v/>
      </c>
      <c r="C296" s="13" t="str">
        <f>IF(A296="","", "giftcodesbanner/" &amp; A296 &amp; "-禮包碼.jpg")</f>
        <v/>
      </c>
      <c r="D296" s="13" t="str">
        <f>IF(A296="","", "https://www.ssbuy.tw/gift-codes.html?game="&amp;A296)</f>
        <v/>
      </c>
    </row>
    <row r="297" spans="1:4">
      <c r="A297" s="13" t="str">
        <f>IF(games!A297="", "", games!A297)</f>
        <v/>
      </c>
      <c r="C297" s="13" t="str">
        <f>IF(A297="","", "giftcodesbanner/" &amp; A297 &amp; "-禮包碼.jpg")</f>
        <v/>
      </c>
      <c r="D297" s="13" t="str">
        <f>IF(A297="","", "https://www.ssbuy.tw/gift-codes.html?game="&amp;A297)</f>
        <v/>
      </c>
    </row>
    <row r="298" spans="1:4">
      <c r="A298" s="13" t="str">
        <f>IF(games!A298="", "", games!A298)</f>
        <v/>
      </c>
      <c r="C298" s="13" t="str">
        <f>IF(A298="","", "giftcodesbanner/" &amp; A298 &amp; "-禮包碼.jpg")</f>
        <v/>
      </c>
      <c r="D298" s="13" t="str">
        <f>IF(A298="","", "https://www.ssbuy.tw/gift-codes.html?game="&amp;A298)</f>
        <v/>
      </c>
    </row>
    <row r="299" spans="1:4">
      <c r="A299" s="13" t="str">
        <f>IF(games!A299="", "", games!A299)</f>
        <v/>
      </c>
      <c r="C299" s="13" t="str">
        <f>IF(A299="","", "giftcodesbanner/" &amp; A299 &amp; "-禮包碼.jpg")</f>
        <v/>
      </c>
      <c r="D299" s="13" t="str">
        <f>IF(A299="","", "https://www.ssbuy.tw/gift-codes.html?game="&amp;A299)</f>
        <v/>
      </c>
    </row>
    <row r="300" spans="1:4">
      <c r="A300" s="13" t="str">
        <f>IF(games!A300="", "", games!A300)</f>
        <v/>
      </c>
      <c r="C300" s="13" t="str">
        <f>IF(A300="","", "giftcodesbanner/" &amp; A300 &amp; "-禮包碼.jpg")</f>
        <v/>
      </c>
      <c r="D300" s="13" t="str">
        <f>IF(A300="","", "https://www.ssbuy.tw/gift-codes.html?game="&amp;A300)</f>
        <v/>
      </c>
    </row>
    <row r="301" spans="1:4">
      <c r="A301" s="13" t="str">
        <f>IF(games!A301="", "", games!A301)</f>
        <v/>
      </c>
      <c r="C301" s="13" t="str">
        <f>IF(A301="","", "giftcodesbanner/" &amp; A301 &amp; "-禮包碼.jpg")</f>
        <v/>
      </c>
      <c r="D301" s="13" t="str">
        <f>IF(A301="","", "https://www.ssbuy.tw/gift-codes.html?game="&amp;A301)</f>
        <v/>
      </c>
    </row>
    <row r="302" spans="1:4">
      <c r="A302" s="13" t="str">
        <f>IF(games!A302="", "", games!A302)</f>
        <v/>
      </c>
      <c r="C302" s="13" t="str">
        <f>IF(A302="","", "giftcodesbanner/" &amp; A302 &amp; "-禮包碼.jpg")</f>
        <v/>
      </c>
      <c r="D302" s="13" t="str">
        <f>IF(A302="","", "https://www.ssbuy.tw/gift-codes.html?game="&amp;A302)</f>
        <v/>
      </c>
    </row>
    <row r="303" spans="1:4">
      <c r="A303" s="13" t="str">
        <f>IF(games!A303="", "", games!A303)</f>
        <v/>
      </c>
      <c r="C303" s="13" t="str">
        <f>IF(A303="","", "giftcodesbanner/" &amp; A303 &amp; "-禮包碼.jpg")</f>
        <v/>
      </c>
      <c r="D303" s="13" t="str">
        <f>IF(A303="","", "https://www.ssbuy.tw/gift-codes.html?game="&amp;A303)</f>
        <v/>
      </c>
    </row>
    <row r="304" spans="1:4">
      <c r="A304" s="13" t="str">
        <f>IF(games!A304="", "", games!A304)</f>
        <v/>
      </c>
      <c r="C304" s="13" t="str">
        <f>IF(A304="","", "giftcodesbanner/" &amp; A304 &amp; "-禮包碼.jpg")</f>
        <v/>
      </c>
      <c r="D304" s="13" t="str">
        <f>IF(A304="","", "https://www.ssbuy.tw/gift-codes.html?game="&amp;A304)</f>
        <v/>
      </c>
    </row>
    <row r="305" spans="3:4">
      <c r="C305" s="13" t="str">
        <f>IF(A305="","", "giftcodesbanner/" &amp; A305 &amp; "-禮包碼.jpg")</f>
        <v/>
      </c>
      <c r="D305" s="13" t="str">
        <f>IF(A305="","", "https://www.ssbuy.tw/gift-codes.html?game="&amp;A305)</f>
        <v/>
      </c>
    </row>
    <row r="306" spans="3:4">
      <c r="C306" s="13" t="str">
        <f>IF(A306="","", "giftcodesbanner/" &amp; A306 &amp; "-禮包碼.jpg")</f>
        <v/>
      </c>
      <c r="D306" s="13" t="str">
        <f>IF(A306="","", "https://www.ssbuy.tw/gift-codes.html?game="&amp;A306)</f>
        <v/>
      </c>
    </row>
    <row r="307" spans="3:4">
      <c r="C307" s="13" t="str">
        <f>IF(A307="","", "giftcodesbanner/" &amp; A307 &amp; "-禮包碼.jpg")</f>
        <v/>
      </c>
      <c r="D307" s="13" t="str">
        <f>IF(A307="","", "https://www.ssbuy.tw/gift-codes.html?game="&amp;A307)</f>
        <v/>
      </c>
    </row>
    <row r="308" spans="3:4">
      <c r="C308" s="13" t="str">
        <f>IF(A308="","", "giftcodesbanner/" &amp; A308 &amp; "-禮包碼.jpg")</f>
        <v/>
      </c>
      <c r="D308" s="13" t="str">
        <f>IF(A308="","", "https://www.ssbuy.tw/gift-codes.html?game="&amp;A308)</f>
        <v/>
      </c>
    </row>
    <row r="309" spans="3:4">
      <c r="C309" s="13" t="str">
        <f>IF(A309="","", "giftcodesbanner/" &amp; A309 &amp; "-禮包碼.jpg")</f>
        <v/>
      </c>
      <c r="D309" s="13" t="str">
        <f>IF(A309="","", "https://www.ssbuy.tw/gift-codes.html?game="&amp;A309)</f>
        <v/>
      </c>
    </row>
    <row r="310" spans="3:4">
      <c r="C310" s="13" t="str">
        <f>IF(A310="","", "giftcodesbanner/" &amp; A310 &amp; "-禮包碼.jpg")</f>
        <v/>
      </c>
      <c r="D310" s="13" t="str">
        <f>IF(A310="","", "https://www.ssbuy.tw/gift-codes.html?game="&amp;A310)</f>
        <v/>
      </c>
    </row>
    <row r="311" spans="3:4">
      <c r="C311" s="13" t="str">
        <f>IF(A311="","", "giftcodesbanner/" &amp; A311 &amp; "-禮包碼.jpg")</f>
        <v/>
      </c>
      <c r="D311" s="13" t="str">
        <f>IF(A311="","", "https://www.ssbuy.tw/gift-codes.html?game="&amp;A311)</f>
        <v/>
      </c>
    </row>
    <row r="312" spans="3:4">
      <c r="C312" s="13" t="str">
        <f>IF(A312="","", "giftcodesbanner/" &amp; A312 &amp; "-禮包碼.jpg")</f>
        <v/>
      </c>
      <c r="D312" s="13" t="str">
        <f>IF(A312="","", "https://www.ssbuy.tw/gift-codes.html?game="&amp;A312)</f>
        <v/>
      </c>
    </row>
    <row r="313" spans="3:4">
      <c r="C313" s="13" t="str">
        <f>IF(A313="","", "giftcodesbanner/" &amp; A313 &amp; "-禮包碼.jpg")</f>
        <v/>
      </c>
      <c r="D313" s="13" t="str">
        <f>IF(A313="","", "https://www.ssbuy.tw/gift-codes.html?game="&amp;A313)</f>
        <v/>
      </c>
    </row>
    <row r="314" spans="3:4">
      <c r="C314" s="13" t="str">
        <f t="shared" ref="C314:C377" si="12">IF(A314="","", "giftcodesbanner/" &amp; A314 &amp; "-禮包碼.jpg")</f>
        <v/>
      </c>
      <c r="D314" s="13" t="str">
        <f t="shared" ref="D314:D377" si="13">IF(A314="","", "https://www.ssbuy.tw/gift-codes.html?game="&amp;A314)</f>
        <v/>
      </c>
    </row>
    <row r="315" spans="3:4">
      <c r="C315" s="13" t="str">
        <f t="shared" si="12"/>
        <v/>
      </c>
      <c r="D315" s="13" t="str">
        <f t="shared" si="13"/>
        <v/>
      </c>
    </row>
    <row r="316" spans="3:4">
      <c r="C316" s="13" t="str">
        <f t="shared" si="12"/>
        <v/>
      </c>
      <c r="D316" s="13" t="str">
        <f t="shared" si="13"/>
        <v/>
      </c>
    </row>
    <row r="317" spans="3:4">
      <c r="C317" s="13" t="str">
        <f t="shared" si="12"/>
        <v/>
      </c>
      <c r="D317" s="13" t="str">
        <f t="shared" si="13"/>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ref="C378:C436" si="14">IF(A378="","", "giftcodesbanner/" &amp; A378 &amp; "-禮包碼.jpg")</f>
        <v/>
      </c>
      <c r="D378" s="13" t="str">
        <f t="shared" ref="D378:D436" si="15">IF(A378="","", "https://www.ssbuy.tw/gift-codes.html?game="&amp;A378)</f>
        <v/>
      </c>
    </row>
    <row r="379" spans="3:4">
      <c r="C379" s="13" t="str">
        <f t="shared" si="14"/>
        <v/>
      </c>
      <c r="D379" s="13" t="str">
        <f t="shared" si="15"/>
        <v/>
      </c>
    </row>
    <row r="380" spans="3:4">
      <c r="C380" s="13" t="str">
        <f t="shared" si="14"/>
        <v/>
      </c>
      <c r="D380" s="13" t="str">
        <f t="shared" si="15"/>
        <v/>
      </c>
    </row>
    <row r="381" spans="3:4">
      <c r="C381" s="13" t="str">
        <f t="shared" si="14"/>
        <v/>
      </c>
      <c r="D381" s="13" t="str">
        <f t="shared" si="15"/>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2025-10-08T10:30:39Z</dcterms:modified>
</cp:coreProperties>
</file>