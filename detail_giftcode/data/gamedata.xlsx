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03" i="3" l="1"/>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<sst xmlns="http://schemas.openxmlformats.org/spreadsheetml/2006/main" count="8410" uniqueCount="5716">
  <si>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</si>
  <si>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</si>
  <si>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</si>
  <si>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</si>
  <si>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</si>
  <si>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</si>
  <si>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</si>
  <si>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</si>
  <si>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</si>
  <si>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</si>
  <si>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</si>
  <si>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</si>
  <si>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</si>
  <si>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</si>
  <si>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</si>
  <si>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</si>
  <si>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</si>
  <si>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</si>
  <si>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</si>
  <si>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</si>
  <si>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</si>
  <si>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</si>
  <si>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</si>
  <si>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</si>
  <si>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</si>
  <si>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</si>
  <si>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</si>
  <si>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</si>
  <si>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</si>
  <si>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</si>
  <si>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</si>
  <si>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</si>
  <si>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</si>
  <si>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</si>
  <si>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</si>
  <si>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</si>
  <si>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</si>
  <si>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</si>
  <si>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</si>
  <si>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</si>
  <si>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</si>
  <si>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</si>
  <si>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</si>
  <si>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</si>
  <si>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</si>
  <si>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</si>
  <si>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</si>
  <si>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</si>
  <si>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</si>
  <si>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</si>
  <si>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</si>
  <si>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</si>
  <si>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</si>
  <si>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</si>
  <si>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</si>
  <si>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</si>
  <si>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</si>
  <si>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</si>
  <si>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</si>
  <si>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</si>
  <si>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</si>
  <si>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</si>
  <si>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</si>
  <si>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</si>
  <si>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</si>
  <si>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</si>
  <si>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</si>
  <si>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</si>
  <si>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</si>
  <si>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</si>
  <si>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</si>
  <si>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</si>
  <si>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</si>
  <si>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</si>
  <si>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</si>
  <si>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</si>
  <si>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</si>
  <si>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</si>
  <si>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</si>
  <si>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</si>
  <si>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</si>
  <si>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</si>
  <si>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</si>
  <si>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</si>
  <si>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</si>
  <si>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</si>
  <si>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</si>
  <si>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</si>
  <si>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</si>
  <si>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</si>
  <si>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</si>
  <si>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</si>
  <si>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</si>
  <si>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</si>
  <si>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</si>
  <si>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</si>
  <si>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</si>
  <si>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</si>
  <si>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</si>
  <si>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</si>
  <si>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</si>
  <si>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</si>
  <si>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</si>
  <si>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</si>
  <si>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</si>
  <si>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</si>
  <si>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</si>
  <si>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</si>
  <si>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</si>
  <si>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</si>
  <si>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</si>
  <si>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</si>
  <si>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</si>
  <si>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</si>
  <si>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</si>
  <si>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</si>
  <si>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</si>
  <si>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</si>
  <si>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</si>
  <si>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</si>
  <si>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</si>
  <si>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</si>
  <si>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</si>
  <si>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</si>
  <si>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</si>
  <si>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</si>
  <si>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</si>
  <si>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</si>
  <si>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</si>
  <si>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</si>
  <si>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</si>
  <si>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</si>
  <si>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</si>
  <si>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</si>
  <si>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</si>
  <si>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</si>
  <si>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</si>
  <si>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</si>
  <si>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</si>
  <si>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</si>
  <si>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</si>
  <si>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</si>
  <si>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</si>
  <si>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</si>
  <si>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</si>
  <si>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</si>
  <si>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</si>
  <si>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</si>
  <si>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</si>
  <si>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</si>
  <si>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</si>
  <si>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</si>
  <si>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</si>
  <si>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</si>
  <si>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</si>
  <si>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</si>
  <si>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</si>
  <si>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</si>
  <si>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</si>
  <si>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</si>
  <si>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</si>
  <si>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</si>
  <si>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</si>
  <si>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</si>
  <si>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</si>
  <si>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</si>
  <si>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</si>
  <si>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</si>
  <si>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</si>
  <si>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</si>
  <si>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</si>
  <si>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</si>
  <si>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</si>
  <si>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</si>
  <si>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</si>
  <si>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</si>
  <si>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</si>
  <si>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</si>
  <si>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</si>
  <si>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</si>
  <si>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</si>
  <si>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</si>
  <si>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</si>
  <si>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</si>
  <si>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</si>
  <si>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</si>
  <si>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</si>
  <si>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</si>
  <si>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</si>
  <si>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</si>
  <si>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</si>
  <si>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</si>
  <si>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</si>
  <si>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</si>
  <si>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</si>
  <si>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</si>
  <si>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</si>
  <si>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</si>
  <si>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</si>
  <si>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</si>
  <si>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</si>
  <si>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</si>
  <si>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</si>
  <si>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</si>
  <si>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</si>
  <si>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</si>
  <si>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</si>
  <si>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</si>
  <si>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</si>
  <si>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</si>
  <si>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</si>
  <si>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</si>
  <si>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</si>
  <si>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</si>
  <si>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</si>
  <si>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</si>
  <si>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</si>
  <si>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</si>
  <si>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</si>
  <si>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</si>
  <si>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</si>
  <si>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</si>
  <si>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</si>
  <si>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</si>
  <si>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</si>
  <si>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</si>
  <si>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</si>
  <si>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</si>
  <si>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</si>
  <si>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</si>
  <si>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</si>
  <si>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</si>
  <si>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</si>
  <si>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</si>
  <si>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</si>
  <si>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</si>
  <si>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</si>
  <si>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</si>
  <si>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</si>
  <si>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</si>
  <si>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</si>
  <si>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</si>
  <si>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</si>
  <si>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</si>
  <si>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</si>
  <si>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</si>
  <si>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</si>
  <si>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</si>
  <si>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</si>
  <si>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</si>
  <si>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</si>
  <si>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</si>
  <si>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</si>
  <si>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</si>
  <si>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</si>
  <si>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</si>
  <si>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</si>
  <si>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</si>
  <si>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</si>
  <si>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</si>
  <si>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</si>
  <si>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</si>
  <si>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</si>
  <si>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</si>
  <si>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</si>
  <si>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</si>
  <si>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</si>
  <si>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</si>
  <si>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</si>
  <si>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</si>
  <si>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</si>
  <si>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</si>
  <si>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</si>
  <si>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</si>
  <si>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</si>
  <si>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</si>
  <si>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</si>
  <si>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</si>
  <si>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</si>
  <si>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</si>
  <si>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</si>
  <si>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</si>
  <si>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</si>
  <si>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</si>
  <si>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</si>
  <si>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</si>
  <si>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</si>
  <si>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</si>
  <si>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</si>
  <si>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</si>
  <si>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</si>
  <si>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</si>
  <si>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</si>
  <si>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</si>
  <si>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</si>
  <si>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</si>
  <si>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</si>
  <si>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</si>
  <si>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</si>
  <si>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</si>
  <si>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</si>
  <si>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</si>
  <si>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</si>
  <si>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</si>
  <si>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</si>
  <si>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</si>
  <si>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</si>
  <si>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</si>
  <si>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</si>
  <si>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</si>
  <si>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</si>
  <si>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</si>
  <si>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</si>
  <si>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</si>
  <si>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</si>
  <si>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</si>
  <si>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</si>
  <si>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</si>
  <si>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</si>
  <si>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</si>
  <si>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</si>
  <si>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</si>
  <si>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</si>
  <si>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</si>
  <si>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</si>
  <si>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</si>
  <si>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</si>
  <si>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</si>
  <si>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</si>
  <si>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</si>
  <si>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</si>
  <si>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</si>
  <si>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</si>
  <si>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</si>
  <si>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</si>
  <si>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</si>
  <si>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</si>
  <si>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</si>
  <si>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</si>
  <si>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</si>
  <si>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</si>
  <si>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</si>
  <si>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</si>
  <si>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</si>
  <si>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</si>
  <si>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</si>
  <si>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</si>
  <si>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</si>
  <si>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</si>
  <si>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</si>
  <si>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</si>
  <si>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</si>
  <si>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</si>
  <si>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</si>
  <si>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</si>
  <si>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</si>
  <si>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</si>
  <si>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</si>
  <si>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</si>
  <si>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</si>
  <si>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</si>
  <si>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</si>
  <si>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</si>
  <si>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</si>
  <si>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</si>
  <si>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</si>
  <si>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</si>
  <si>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</si>
  <si>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</si>
  <si>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</si>
  <si>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</si>
  <si>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</si>
  <si>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</si>
  <si>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</si>
  <si>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</si>
  <si>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</si>
  <si>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</si>
  <si>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</si>
  <si>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</si>
  <si>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</si>
  <si>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</si>
  <si>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</si>
  <si>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</si>
  <si>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</si>
  <si>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</si>
  <si>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</si>
  <si>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</si>
  <si>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</si>
  <si>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</si>
  <si>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</si>
  <si>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</si>
  <si>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</si>
  <si>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</si>
  <si>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</si>
  <si>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</si>
  <si>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</si>
  <si>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</si>
  <si>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</si>
  <si>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</si>
  <si>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</si>
  <si>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</si>
  <si>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</si>
  <si>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</si>
  <si>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</si>
  <si>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</si>
  <si>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</si>
  <si>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</si>
  <si>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</si>
  <si>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</si>
  <si>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</si>
  <si>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</si>
  <si>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</si>
  <si>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</si>
  <si>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</si>
  <si>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</si>
  <si>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</si>
  <si>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</si>
  <si>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</si>
  <si>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</si>
  <si>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</si>
  <si>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</si>
  <si>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</si>
  <si>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</si>
  <si>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</si>
  <si>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</si>
  <si>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</si>
  <si>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</si>
  <si>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</si>
  <si>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</si>
  <si>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</si>
  <si>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</si>
  <si>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</si>
  <si>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</si>
  <si>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</si>
  <si>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</si>
  <si>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</si>
  <si>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</si>
  <si>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</si>
  <si>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</si>
  <si>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</si>
  <si>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</si>
  <si>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</si>
  <si>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</si>
  <si>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</si>
  <si>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</si>
  <si>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</si>
  <si>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</si>
  <si>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</si>
  <si>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</si>
  <si>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</si>
  <si>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</si>
  <si>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</si>
  <si>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</si>
  <si>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</si>
  <si>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</si>
  <si>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</si>
  <si>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</si>
  <si>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</si>
  <si>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</si>
  <si>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</si>
  <si>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</si>
  <si>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</si>
  <si>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</si>
  <si>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</si>
  <si>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</si>
  <si>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</si>
  <si>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</si>
  <si>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</si>
  <si>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</si>
  <si>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</si>
  <si>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</si>
  <si>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</si>
  <si>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</si>
  <si>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</si>
  <si>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</si>
  <si>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</si>
  <si>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</si>
  <si>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</si>
  <si>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</si>
  <si>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</si>
  <si>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</si>
  <si>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</si>
  <si>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</si>
  <si>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</si>
  <si>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</si>
  <si>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</si>
  <si>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</si>
  <si>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</si>
  <si>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</si>
  <si>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</si>
  <si>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</si>
  <si>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</si>
  <si>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</si>
  <si>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</si>
  <si>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</si>
  <si>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</si>
  <si>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</si>
  <si>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</si>
  <si>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</si>
  <si>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</si>
  <si>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</si>
  <si>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</si>
  <si>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</si>
  <si>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</si>
  <si>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</si>
  <si>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</si>
  <si>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</si>
  <si>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</si>
  <si>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</si>
  <si>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</si>
  <si>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</si>
  <si>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</si>
  <si>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</si>
  <si>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</si>
  <si>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</si>
  <si>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</si>
  <si>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</si>
  <si>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</si>
  <si>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</si>
  <si>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</si>
  <si>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</si>
  <si>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</si>
  <si>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</si>
  <si>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</si>
  <si>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</si>
  <si>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</si>
  <si>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</si>
  <si>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</si>
  <si>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</si>
  <si>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</si>
  <si>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</si>
  <si>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</si>
  <si>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</si>
  <si>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</si>
  <si>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</si>
  <si>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</si>
  <si>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</si>
  <si>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</si>
  <si>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</si>
  <si>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</si>
  <si>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</si>
  <si>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</si>
  <si>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</si>
  <si>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</si>
  <si>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</si>
  <si>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</si>
  <si>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</si>
  <si>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</si>
  <si>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</si>
  <si>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</si>
  <si>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</si>
  <si>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</si>
  <si>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</si>
  <si>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</si>
  <si>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</si>
  <si>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</si>
  <si>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</si>
  <si>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</si>
  <si>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</si>
  <si>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</si>
  <si>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</si>
  <si>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</si>
  <si>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</si>
  <si>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</si>
  <si>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</si>
  <si>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</si>
  <si>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</si>
  <si>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</si>
  <si>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</si>
  <si>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</si>
  <si>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</si>
  <si>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</si>
  <si>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</si>
  <si>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</si>
  <si>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</si>
  <si>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</si>
  <si>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</si>
  <si>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</si>
  <si>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</si>
  <si>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</si>
  <si>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</si>
  <si>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</si>
  <si>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</si>
  <si>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</si>
  <si>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</si>
  <si>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</si>
  <si>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</si>
  <si>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</si>
  <si>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</si>
  <si>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</si>
  <si>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</si>
  <si>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</si>
  <si>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</si>
  <si>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</si>
  <si>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</si>
  <si>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</si>
  <si>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</si>
  <si>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</si>
  <si>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</si>
  <si>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</si>
  <si>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</si>
  <si>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</si>
  <si>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</si>
  <si>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</si>
  <si>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</si>
  <si>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</si>
  <si>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</si>
  <si>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</si>
  <si>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</si>
  <si>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</si>
  <si>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</si>
  <si>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</si>
  <si>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</si>
  <si>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</si>
  <si>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</si>
  <si>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</si>
  <si>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</si>
  <si>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</si>
  <si>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</si>
  <si>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</si>
  <si>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</si>
  <si>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</si>
  <si>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</si>
  <si>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</si>
  <si>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</si>
  <si>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</si>
  <si>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</si>
  <si>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</si>
  <si>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</si>
  <si>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</si>
  <si>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</si>
  <si>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</si>
  <si>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</si>
  <si>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</si>
  <si>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</si>
  <si>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</si>
  <si>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</si>
  <si>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</si>
  <si>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</si>
  <si>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</si>
  <si>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</si>
  <si>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</si>
  <si>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</si>
  <si>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</si>
  <si>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</si>
  <si>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</si>
  <si>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</si>
  <si>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</si>
  <si>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</si>
  <si>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</si>
  <si>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</si>
  <si>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</si>
  <si>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</si>
  <si>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</si>
  <si>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</si>
  <si>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</si>
  <si>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</si>
  <si>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</si>
  <si>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</si>
  <si>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</si>
  <si>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</si>
  <si>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</si>
  <si>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</si>
  <si>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</si>
  <si>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</si>
  <si>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</si>
  <si>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</si>
  <si>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</si>
  <si>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</si>
  <si>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</si>
  <si>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</si>
  <si>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</si>
  <si>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</si>
  <si>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</si>
  <si>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</si>
  <si>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</si>
  <si>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</si>
  <si>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</si>
  <si>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</si>
  <si>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</si>
  <si>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</si>
  <si>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</si>
  <si>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</si>
  <si>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</si>
  <si>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</si>
  <si>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</si>
  <si>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</si>
  <si>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</si>
  <si>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</si>
  <si>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</si>
  <si>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</si>
  <si>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</si>
  <si>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</si>
  <si>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</si>
  <si>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</si>
  <si>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</si>
  <si>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</si>
  <si>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</si>
  <si>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</si>
  <si>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</si>
  <si>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</si>
  <si>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</si>
  <si>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</si>
  <si>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</si>
  <si>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</si>
  <si>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</si>
  <si>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</si>
  <si>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</si>
  <si>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</si>
  <si>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</si>
  <si>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</si>
  <si>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</si>
  <si>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</si>
  <si>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</si>
  <si>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</si>
  <si>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</si>
  <si>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</si>
  <si>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</si>
  <si>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</si>
  <si>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</si>
  <si>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</si>
  <si>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</si>
  <si>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</si>
  <si>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</si>
  <si>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</si>
  <si>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</si>
  <si>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</si>
  <si>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</si>
  <si>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</si>
  <si>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</si>
  <si>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</si>
  <si>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</si>
  <si>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</si>
  <si>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</si>
  <si>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</si>
  <si>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</si>
  <si>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</si>
  <si>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</si>
  <si>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</si>
  <si>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</si>
  <si>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</si>
  <si>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</si>
  <si>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</si>
  <si>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</si>
  <si>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</si>
  <si>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</si>
  <si>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</si>
  <si>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</si>
  <si>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</si>
  <si>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</si>
  <si>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</si>
  <si>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</si>
  <si>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</si>
  <si>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</si>
  <si>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</si>
  <si>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</si>
  <si>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</si>
  <si>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</si>
  <si>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</si>
  <si>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</si>
  <si>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</si>
  <si>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</si>
  <si>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</si>
  <si>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</si>
  <si>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</si>
  <si>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</si>
  <si>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</si>
  <si>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</si>
  <si>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</si>
  <si>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</si>
  <si>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</si>
  <si>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</si>
  <si>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</si>
  <si>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</si>
  <si>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</si>
  <si>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</si>
  <si>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</si>
  <si>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</si>
  <si>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</si>
  <si>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</si>
  <si>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</si>
  <si>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</si>
  <si>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</si>
  <si>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</si>
  <si>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</si>
  <si>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</si>
  <si>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</si>
  <si>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</si>
  <si>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</si>
  <si>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</si>
  <si>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</si>
  <si>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</si>
  <si>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</si>
  <si>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</si>
  <si>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</si>
  <si>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</si>
  <si>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</si>
  <si>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</si>
  <si>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</si>
  <si>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</si>
  <si>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</si>
  <si>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</si>
  <si>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</si>
  <si>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</si>
  <si>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</si>
  <si>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</si>
  <si>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</si>
  <si>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</si>
  <si>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</si>
  <si>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</si>
  <si>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</si>
  <si>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</si>
  <si>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</si>
  <si>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</si>
  <si>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</si>
  <si>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</si>
  <si>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</si>
  <si>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</si>
  <si>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</si>
  <si>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</si>
  <si>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</si>
  <si>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</si>
  <si>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</si>
  <si>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</si>
  <si>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</si>
  <si>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</si>
  <si>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</si>
  <si>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</si>
  <si>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</si>
  <si>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</si>
  <si>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</si>
  <si>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</si>
  <si>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</si>
  <si>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</si>
  <si>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</si>
  <si>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</si>
  <si>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</si>
  <si>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</si>
  <si>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</si>
  <si>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</si>
  <si>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</si>
  <si>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</si>
  <si>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</si>
  <si>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</si>
  <si>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</si>
  <si>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</si>
  <si>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</si>
  <si>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</si>
  <si>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</si>
  <si>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</si>
  <si>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</si>
  <si>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</si>
  <si>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</si>
  <si>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</si>
  <si>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</si>
  <si>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</si>
  <si>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</si>
  <si>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</si>
  <si>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</si>
  <si>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</si>
  <si>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</si>
  <si>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</si>
  <si>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</si>
  <si>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</si>
  <si>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</si>
  <si>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</si>
  <si>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</si>
  <si>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</si>
  <si>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</si>
  <si>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</si>
  <si>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</si>
  <si>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</si>
  <si>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</si>
  <si>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</si>
  <si>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</si>
  <si>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</si>
  <si>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</si>
  <si>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</si>
  <si>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</si>
  <si>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</si>
  <si>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</si>
  <si>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</si>
  <si>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</si>
  <si>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</si>
  <si>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</si>
  <si>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</si>
  <si>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</si>
  <si>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</si>
  <si>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</si>
  <si>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</si>
  <si>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</si>
  <si>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</si>
  <si>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</si>
  <si>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</si>
  <si>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</si>
  <si>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</si>
  <si>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</si>
  <si>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</si>
  <si>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</si>
  <si>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</si>
  <si>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</si>
  <si>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</si>
  <si>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</si>
  <si>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</si>
  <si>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</si>
  <si>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</si>
  <si>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</si>
  <si>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</si>
  <si>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</si>
  <si>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</si>
  <si>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</si>
  <si>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</si>
  <si>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</si>
  <si>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</si>
  <si>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</si>
  <si>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</si>
  <si>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</si>
  <si>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</si>
  <si>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</si>
  <si>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</si>
  <si>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</si>
  <si>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</si>
  <si>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</si>
  <si>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</si>
  <si>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</si>
  <si>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</si>
  <si>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</si>
  <si>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</si>
  <si>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</si>
  <si>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</si>
  <si>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</si>
  <si>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</si>
  <si>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</si>
  <si>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</si>
  <si>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</si>
  <si>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</si>
  <si>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</si>
  <si>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</si>
  <si>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</si>
  <si>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</si>
  <si>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</si>
  <si>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</si>
  <si>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</si>
  <si>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</si>
  <si>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</si>
  <si>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</si>
  <si>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</si>
  <si>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</si>
  <si>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</si>
  <si>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</si>
  <si>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</si>
  <si>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</si>
  <si>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</si>
  <si>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</si>
  <si>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</si>
  <si>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</si>
  <si>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</si>
  <si>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</si>
  <si>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</si>
  <si>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</si>
  <si>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</si>
  <si>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</si>
  <si>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</si>
  <si>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</si>
  <si>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</si>
  <si>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</si>
  <si>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</si>
  <si>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</si>
  <si>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</si>
  <si>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</si>
  <si>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</si>
  <si>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</si>
  <si>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</si>
  <si>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</si>
  <si>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</si>
  <si>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</si>
  <si>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</si>
  <si>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</si>
  <si>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</si>
  <si>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</si>
  <si>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</si>
  <si>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</si>
  <si>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</si>
  <si>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</si>
  <si>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</si>
  <si>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</si>
  <si>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</si>
  <si>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</si>
  <si>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</si>
  <si>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</si>
  <si>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</si>
  <si>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</si>
  <si>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</si>
  <si>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</si>
  <si>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</si>
  <si>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</si>
  <si>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</si>
  <si>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</si>
  <si>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</si>
  <si>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</si>
  <si>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</si>
  <si>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</si>
  <si>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</si>
  <si>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</si>
  <si>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</si>
  <si>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</si>
  <si>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</si>
  <si>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</si>
  <si>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</si>
  <si>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</si>
  <si>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</si>
  <si>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</si>
  <si>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</si>
  <si>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</si>
  <si>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</si>
  <si>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</si>
  <si>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</si>
  <si>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</si>
  <si>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</si>
  <si>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</si>
  <si>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</si>
  <si>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</si>
  <si>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</si>
  <si>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</si>
  <si>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</si>
  <si>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</si>
  <si>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</si>
  <si>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</si>
  <si>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</si>
  <si>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</si>
  <si>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</si>
  <si>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</si>
  <si>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</si>
  <si>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</si>
  <si>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</si>
  <si>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</si>
  <si>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</si>
  <si>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</si>
  <si>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</si>
  <si>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</si>
  <si>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</si>
  <si>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</si>
  <si>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</si>
  <si>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</si>
  <si>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</si>
  <si>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</si>
  <si>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</si>
  <si>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</si>
  <si>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</si>
  <si>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</si>
  <si>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</si>
  <si>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</si>
  <si>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</si>
  <si>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</si>
  <si>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</si>
  <si>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</si>
  <si>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</si>
  <si>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</si>
  <si>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</si>
  <si>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</si>
  <si>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</si>
  <si>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</si>
  <si>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</si>
  <si>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</si>
  <si>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</si>
  <si>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</si>
  <si>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</si>
  <si>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</si>
  <si>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</si>
  <si>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</si>
  <si>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</si>
  <si>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</si>
  <si>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</si>
  <si>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</si>
  <si>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</si>
  <si>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</si>
  <si>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</si>
  <si>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</si>
  <si>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</si>
  <si>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</si>
  <si>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</si>
  <si>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</si>
  <si>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</si>
  <si>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</si>
  <si>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</si>
  <si>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</si>
  <si>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</si>
  <si>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</si>
  <si>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</si>
  <si>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</si>
  <si>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</si>
  <si>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</si>
  <si>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</si>
  <si>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</si>
  <si>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</si>
  <si>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</si>
  <si>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</si>
  <si>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</si>
  <si>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</si>
  <si>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</si>
  <si>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</si>
  <si>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</si>
  <si>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</si>
  <si>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</si>
  <si>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</si>
  <si>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</si>
  <si>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</si>
  <si>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</si>
  <si>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</si>
  <si>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</si>
  <si>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</si>
  <si>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</si>
  <si>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</si>
  <si>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</si>
  <si>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</si>
  <si>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</si>
  <si>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</si>
  <si>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</si>
  <si>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</si>
  <si>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</si>
  <si>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</si>
  <si>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</si>
  <si>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</si>
  <si>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</si>
  <si>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</si>
  <si>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</si>
  <si>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</si>
  <si>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</si>
  <si>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</si>
  <si>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</si>
  <si>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</si>
  <si>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</si>
  <si>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</si>
  <si>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</si>
  <si>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</si>
  <si>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</si>
  <si>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</si>
  <si>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</si>
  <si>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</si>
  <si>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</si>
  <si>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</si>
  <si>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</si>
  <si>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</si>
  <si>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</si>
  <si>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</si>
  <si>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</si>
  <si>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</si>
  <si>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</si>
  <si>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</si>
  <si>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</si>
  <si>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</si>
  <si>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</si>
  <si>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</si>
  <si>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</si>
  <si>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</si>
  <si>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</si>
  <si>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</si>
  <si>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</si>
  <si>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</si>
  <si>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</si>
  <si>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</si>
  <si>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</si>
  <si>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</si>
  <si>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</si>
  <si>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</si>
  <si>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</si>
  <si>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</si>
  <si>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</si>
  <si>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</si>
  <si>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</si>
  <si>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</si>
  <si>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</si>
  <si>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</si>
  <si>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</si>
  <si>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</si>
  <si>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</si>
  <si>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</si>
  <si>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</si>
  <si>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</si>
  <si>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</si>
  <si>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</si>
  <si>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</si>
  <si>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</si>
  <si>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</si>
  <si>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</si>
  <si>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</si>
  <si>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</si>
  <si>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</si>
  <si>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</si>
  <si>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</si>
  <si>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</si>
  <si>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</si>
  <si>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</si>
  <si>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</si>
  <si>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</si>
  <si>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</si>
  <si>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</si>
  <si>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</si>
  <si>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</si>
  <si>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</si>
  <si>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</si>
  <si>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</si>
  <si>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</si>
  <si>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</si>
  <si>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</si>
  <si>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</si>
  <si>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</si>
  <si>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</si>
  <si>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</si>
  <si>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</si>
  <si>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</si>
  <si>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</si>
  <si>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</si>
  <si>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</si>
  <si>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</si>
  <si>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</si>
  <si>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</si>
  <si>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</si>
  <si>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</si>
  <si>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</si>
  <si>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</si>
  <si>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</si>
  <si>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</si>
  <si>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</si>
  <si>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</si>
  <si>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</si>
  <si>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</si>
  <si>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</si>
  <si>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</si>
  <si>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</si>
  <si>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</si>
  <si>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</si>
  <si>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</si>
  <si>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</si>
  <si>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</si>
  <si>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</si>
  <si>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</si>
  <si>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</si>
  <si>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</si>
  <si>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</si>
  <si>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</si>
  <si>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</si>
  <si>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</si>
  <si>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</si>
  <si>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</si>
  <si>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</si>
  <si>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</si>
  <si>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</si>
  <si>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</si>
  <si>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</si>
  <si>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</si>
  <si>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</si>
  <si>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</si>
  <si>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</si>
  <si>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</si>
  <si>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</si>
  <si>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</si>
  <si>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</si>
  <si>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</si>
  <si>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</si>
  <si>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</si>
  <si>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</si>
  <si>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</si>
  <si>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</si>
  <si>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</si>
  <si>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</si>
  <si>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</si>
  <si>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</si>
  <si>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</si>
  <si>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</si>
  <si>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</si>
  <si>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</si>
  <si>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</si>
  <si>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</si>
  <si>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</si>
  <si>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</si>
  <si>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</si>
  <si>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</si>
  <si>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</si>
  <si>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</si>
  <si>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</si>
  <si>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</si>
  <si>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</si>
  <si>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</si>
  <si>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</si>
  <si>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</si>
  <si>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</si>
  <si>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</si>
  <si>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</si>
  <si>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</si>
  <si>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</si>
  <si>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</si>
  <si>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</si>
  <si>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</si>
  <si>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</si>
  <si>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</si>
  <si>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</si>
  <si>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</si>
  <si>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</si>
  <si>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</si>
  <si>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</si>
  <si>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</si>
  <si>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</si>
  <si>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</si>
  <si>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</si>
  <si>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</si>
  <si>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</si>
  <si>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</si>
  <si>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</si>
  <si>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</si>
  <si>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</si>
  <si>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</si>
  <si>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</si>
  <si>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</si>
  <si>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</si>
  <si>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</si>
  <si>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</si>
  <si>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</si>
  <si>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</si>
  <si>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</si>
  <si>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</si>
  <si>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</si>
  <si>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</si>
  <si>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</si>
  <si>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</si>
  <si>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</si>
  <si>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</si>
  <si>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</si>
  <si>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</si>
  <si>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</si>
  <si>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</si>
  <si>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</si>
  <si>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</si>
  <si>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</si>
  <si>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</si>
  <si>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</si>
  <si>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</si>
  <si>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</si>
  <si>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</si>
  <si>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</si>
  <si>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</si>
  <si>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</si>
  <si>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</si>
  <si>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</si>
  <si>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</si>
  <si>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</si>
  <si>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</si>
  <si>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</si>
  <si>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</si>
  <si>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</si>
  <si>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</si>
  <si>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</si>
  <si>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</si>
  <si>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</si>
  <si>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</si>
  <si>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</si>
  <si>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</si>
  <si>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</si>
  <si>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</si>
  <si>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</si>
  <si>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</si>
  <si>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</si>
  <si>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</si>
  <si>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</si>
  <si>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</si>
  <si>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</si>
  <si>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</si>
  <si>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</si>
  <si>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</si>
  <si>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</si>
  <si>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</si>
  <si>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</si>
  <si>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</si>
  <si>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</si>
  <si>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</si>
  <si>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</si>
  <si>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</si>
  <si>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</si>
  <si>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</si>
  <si>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</si>
  <si>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</si>
  <si>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</si>
  <si>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</si>
  <si>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</si>
  <si>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</si>
  <si>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</si>
  <si>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</si>
  <si>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</si>
  <si>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</si>
  <si>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</si>
  <si>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</si>
  <si>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</si>
  <si>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</si>
  <si>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</si>
  <si>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</si>
  <si>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</si>
  <si>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</si>
  <si>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</si>
  <si>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</si>
  <si>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</si>
  <si>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</si>
  <si>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</si>
  <si>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</si>
  <si>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</si>
  <si>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</si>
  <si>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</si>
  <si>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</si>
  <si>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</si>
  <si>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</si>
  <si>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</si>
  <si>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</si>
  <si>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</si>
  <si>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</si>
  <si>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</si>
  <si>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</si>
  <si>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</si>
  <si>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</si>
  <si>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</si>
  <si>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</si>
  <si>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</si>
  <si>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</si>
  <si>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</si>
  <si>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</si>
  <si>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</si>
  <si>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</si>
  <si>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</si>
  <si>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</si>
  <si>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</si>
  <si>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</si>
  <si>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</si>
  <si>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</si>
  <si>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</si>
  <si>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</si>
  <si>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</si>
  <si>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</si>
  <si>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</si>
  <si>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</si>
  <si>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</si>
  <si>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</si>
  <si>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</si>
  <si>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</si>
  <si>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</si>
  <si>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</si>
  <si>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</si>
  <si>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</si>
  <si>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</si>
  <si>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</si>
  <si>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</si>
  <si>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</si>
  <si>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</si>
  <si>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</si>
  <si>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</si>
  <si>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</si>
  <si>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</si>
  <si>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</si>
  <si>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</si>
  <si>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</si>
  <si>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</si>
  <si>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</si>
  <si>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</si>
  <si>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</si>
  <si>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</si>
  <si>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</si>
  <si>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</si>
  <si>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</si>
  <si>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</si>
  <si>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</si>
  <si>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</si>
  <si>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</si>
  <si>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</si>
  <si>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</si>
  <si>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</si>
  <si>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</si>
  <si>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</si>
  <si>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</si>
  <si>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</si>
  <si>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</si>
  <si>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</si>
  <si>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</si>
  <si>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</si>
  <si>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</si>
  <si>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</si>
  <si>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</si>
  <si>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</si>
  <si>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</si>
  <si>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</si>
  <si>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</si>
  <si>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</si>
  <si>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</si>
  <si>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</si>
  <si>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</si>
  <si>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</si>
  <si>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</si>
  <si>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</si>
  <si>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</si>
  <si>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</si>
  <si>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</si>
  <si>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</si>
  <si>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</si>
  <si>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</si>
  <si>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</si>
  <si>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</si>
  <si>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</si>
  <si>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</si>
  <si>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</si>
  <si>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</si>
  <si>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</si>
  <si>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</si>
  <si>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</si>
  <si>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</si>
  <si>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</si>
  <si>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</si>
  <si>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</si>
  <si>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</si>
  <si>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</si>
  <si>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</si>
  <si>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</si>
  <si>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</si>
  <si>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</si>
  <si>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</si>
  <si>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</si>
  <si>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</si>
  <si>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</si>
  <si>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</si>
  <si>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</si>
  <si>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</si>
  <si>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</si>
  <si>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</si>
  <si>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</si>
  <si>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</si>
  <si>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</si>
  <si>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</si>
  <si>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</si>
  <si>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</si>
  <si>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</si>
  <si>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</si>
  <si>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</si>
  <si>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</si>
  <si>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</si>
  <si>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</si>
  <si>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</si>
  <si>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</si>
  <si>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</si>
  <si>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</si>
  <si>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</si>
  <si>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</si>
  <si>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</si>
  <si>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</si>
  <si>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</si>
  <si>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</si>
  <si>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</si>
  <si>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</si>
  <si>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</si>
  <si>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</si>
  <si>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</si>
  <si>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</si>
  <si>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</si>
  <si>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</si>
  <si>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</si>
  <si>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</si>
  <si>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</si>
  <si>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</si>
  <si>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</si>
  <si>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</si>
  <si>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</si>
  <si>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</si>
  <si>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</si>
  <si>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</si>
  <si>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</si>
  <si>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</si>
  <si>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</si>
  <si>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</si>
  <si>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</si>
  <si>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</si>
  <si>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</si>
  <si>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</si>
  <si>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</si>
  <si>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</si>
  <si>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</si>
  <si>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</si>
  <si>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</si>
  <si>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</si>
  <si>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</si>
  <si>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</si>
  <si>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</si>
  <si>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</si>
  <si>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</si>
  <si>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</si>
  <si>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</si>
  <si>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</si>
  <si>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</si>
  <si>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</si>
  <si>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</si>
  <si>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</si>
  <si>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</si>
  <si>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</si>
  <si>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</si>
  <si>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</si>
  <si>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</si>
  <si>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</si>
  <si>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</si>
  <si>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</si>
  <si>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</si>
  <si>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</si>
  <si>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</si>
  <si>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</si>
  <si>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</si>
  <si>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</si>
  <si>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</si>
  <si>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</si>
  <si>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</si>
  <si>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</si>
  <si>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</si>
  <si>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</si>
  <si>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</si>
  <si>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</si>
  <si>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</si>
  <si>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</si>
  <si>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</si>
  <si>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</si>
  <si>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</si>
  <si>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</si>
  <si>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</si>
  <si>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</si>
  <si>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</si>
  <si>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</si>
  <si>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</si>
  <si>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</si>
  <si>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</si>
  <si>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</si>
  <si>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</si>
  <si>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</si>
  <si>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</si>
  <si>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</si>
  <si>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</si>
  <si>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</si>
  <si>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</si>
  <si>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</si>
  <si>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</si>
  <si>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</si>
  <si>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</si>
  <si>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</si>
  <si>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</si>
  <si>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</si>
  <si>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</si>
  <si>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</si>
  <si>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</si>
  <si>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</si>
  <si>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</si>
  <si>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</si>
  <si>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</si>
  <si>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</si>
  <si>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</si>
  <si>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</si>
  <si>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</si>
  <si>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</si>
  <si>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</si>
  <si>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</si>
  <si>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</si>
  <si>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</si>
  <si>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</si>
  <si>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</si>
  <si>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</si>
  <si>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</si>
  <si>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</si>
  <si>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</si>
  <si>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</si>
  <si>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</si>
  <si>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</si>
  <si>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</si>
  <si>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</si>
  <si>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</si>
  <si>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</si>
  <si>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</si>
  <si>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</si>
  <si>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</si>
  <si>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</si>
  <si>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</si>
  <si>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</si>
  <si>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</si>
  <si>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</si>
  <si>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</si>
  <si>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</si>
  <si>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</si>
  <si>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</si>
  <si>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</si>
  <si>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</si>
  <si>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</si>
  <si>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</si>
  <si>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</si>
  <si>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</si>
  <si>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</si>
  <si>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</si>
  <si>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</si>
  <si>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</si>
  <si>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</si>
  <si>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</si>
  <si>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</si>
  <si>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</si>
  <si>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</si>
  <si>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</si>
  <si>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</si>
  <si>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</si>
  <si>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</si>
  <si>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</si>
  <si>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</si>
  <si>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</si>
  <si>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</si>
  <si>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</si>
  <si>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</si>
  <si>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</si>
  <si>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</si>
  <si>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</si>
  <si>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</si>
  <si>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</si>
  <si>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</si>
  <si>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</si>
  <si>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</si>
  <si>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</si>
  <si>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</si>
  <si>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</si>
  <si>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</si>
  <si>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</si>
  <si>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</si>
  <si>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</si>
  <si>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</si>
  <si>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</si>
  <si>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</si>
  <si>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</si>
  <si>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</si>
  <si>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</si>
  <si>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</si>
  <si>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</si>
  <si>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</si>
  <si>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</si>
  <si>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</si>
  <si>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</si>
  <si>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</si>
  <si>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</si>
  <si>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</si>
  <si>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</si>
  <si>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</si>
  <si>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</si>
  <si>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</si>
  <si>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</si>
  <si>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</si>
  <si>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</si>
  <si>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</si>
  <si>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</si>
  <si>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</si>
  <si>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</si>
  <si>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</si>
  <si>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</si>
  <si>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</si>
  <si>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</si>
  <si>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</si>
  <si>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</si>
  <si>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</si>
  <si>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</si>
  <si>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</si>
  <si>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</si>
  <si>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</si>
  <si>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</si>
  <si>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</si>
  <si>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</si>
  <si>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</si>
  <si>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</si>
  <si>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</si>
  <si>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</si>
  <si>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</si>
  <si>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</si>
  <si>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</si>
  <si>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</si>
  <si>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</si>
  <si>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</si>
  <si>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</si>
  <si>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</si>
  <si>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</si>
  <si>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</si>
  <si>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</si>
  <si>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</si>
  <si>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</si>
  <si>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</si>
  <si>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</si>
  <si>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</si>
  <si>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</si>
  <si>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</si>
  <si>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</si>
  <si>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</si>
  <si>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</si>
  <si>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</si>
  <si>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</si>
  <si>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</si>
  <si>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</si>
  <si>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</si>
  <si>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</si>
  <si>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</si>
  <si>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</si>
  <si>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</si>
  <si>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</si>
  <si>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</si>
  <si>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</si>
  <si>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</si>
  <si>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</si>
  <si>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</si>
  <si>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</si>
  <si>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</si>
  <si>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</si>
  <si>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</si>
  <si>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</si>
  <si>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</si>
  <si>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</si>
  <si>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</si>
  <si>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</si>
  <si>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</si>
  <si>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</si>
  <si>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</si>
  <si>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</si>
  <si>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</si>
  <si>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</si>
  <si>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</si>
  <si>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</si>
  <si>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</si>
  <si>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</si>
  <si>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</si>
  <si>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</si>
  <si>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</si>
  <si>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</si>
  <si>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</si>
  <si>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</si>
  <si>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</si>
  <si>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</si>
  <si>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</si>
  <si>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</si>
  <si>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</si>
  <si>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</si>
  <si>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</si>
  <si>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</si>
  <si>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</si>
  <si>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</si>
  <si>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</si>
  <si>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</si>
  <si>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</si>
  <si>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</si>
  <si>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</si>
  <si>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</si>
  <si>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</si>
  <si>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</si>
  <si>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</si>
  <si>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</si>
  <si>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</si>
  <si>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</si>
  <si>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</si>
  <si>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</si>
  <si>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</si>
  <si>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</si>
  <si>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</si>
  <si>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</si>
  <si>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</si>
  <si>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</si>
  <si>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</si>
  <si>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</si>
  <si>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</si>
  <si>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</si>
  <si>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</si>
  <si>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</si>
  <si>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</si>
  <si>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</si>
  <si>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</si>
  <si>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</si>
  <si>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</si>
  <si>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</si>
  <si>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</si>
  <si>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</si>
  <si>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</si>
  <si>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</si>
  <si>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</si>
  <si>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</si>
  <si>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</si>
  <si>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</si>
  <si>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</si>
  <si>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</si>
  <si>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</si>
  <si>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</si>
  <si>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</si>
  <si>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</si>
  <si>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</si>
  <si>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</si>
  <si>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</si>
  <si>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</si>
  <si>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</si>
  <si>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</si>
  <si>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</si>
  <si>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</si>
  <si>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</si>
  <si>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</si>
  <si>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</si>
  <si>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</si>
  <si>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</si>
  <si>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</si>
  <si>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</si>
  <si>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</si>
  <si>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</si>
  <si>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</si>
  <si>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</si>
  <si>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</si>
  <si>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</si>
  <si>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</si>
  <si>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</si>
  <si>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</si>
  <si>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</si>
  <si>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</si>
  <si>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</si>
  <si>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</si>
  <si>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</si>
  <si>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</si>
  <si>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</si>
  <si>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</si>
  <si>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</si>
  <si>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</si>
  <si>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</si>
  <si>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</si>
  <si>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</si>
  <si>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</si>
  <si>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</si>
  <si>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</si>
  <si>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</si>
  <si>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</si>
  <si>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</si>
  <si>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</si>
  <si>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</si>
  <si>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</si>
  <si>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</si>
  <si>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</si>
  <si>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</si>
  <si>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</si>
  <si>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</si>
  <si>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</si>
  <si>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</si>
  <si>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</si>
  <si>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</si>
  <si>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</si>
  <si>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</si>
  <si>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</si>
  <si>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</si>
  <si>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</si>
  <si>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</si>
  <si>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</si>
  <si>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</si>
  <si>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</si>
  <si>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</si>
  <si>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</si>
  <si>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</si>
  <si>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</si>
  <si>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</si>
  <si>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</si>
  <si>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</si>
  <si>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</si>
  <si>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</si>
  <si>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</si>
  <si>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</si>
  <si>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</si>
  <si>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</si>
  <si>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</si>
  <si>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</si>
  <si>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</si>
  <si>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</si>
  <si>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</si>
  <si>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</si>
  <si>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</si>
  <si>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</si>
  <si>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</si>
  <si>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</si>
  <si>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</si>
  <si>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</si>
  <si>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</si>
  <si>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</si>
  <si>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</si>
  <si>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</si>
  <si>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</si>
  <si>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</si>
  <si>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</si>
  <si>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</si>
  <si>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</si>
  <si>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</si>
  <si>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</si>
  <si>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</si>
  <si>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</si>
  <si>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</si>
  <si>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</si>
  <si>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</si>
  <si>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</si>
  <si>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</si>
  <si>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</si>
  <si>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</si>
  <si>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</si>
  <si>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</si>
  <si>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</si>
  <si>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</si>
  <si>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</si>
  <si>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</si>
  <si>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</si>
  <si>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</si>
  <si>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</si>
  <si>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</si>
  <si>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</si>
  <si>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</si>
  <si>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</si>
  <si>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</si>
  <si>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</si>
  <si>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</si>
  <si>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</si>
  <si>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</si>
  <si>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</si>
  <si>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</si>
  <si>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</si>
  <si>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</si>
  <si>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</si>
  <si>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</si>
  <si>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</si>
  <si>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</si>
  <si>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</si>
  <si>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</si>
  <si>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</si>
  <si>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</si>
  <si>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</si>
  <si>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</si>
  <si>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</si>
  <si>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</si>
  <si>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</si>
  <si>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</si>
  <si>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</si>
  <si>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</si>
  <si>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</si>
  <si>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</si>
  <si>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</si>
  <si>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</si>
  <si>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</si>
  <si>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</si>
  <si>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</si>
  <si>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</si>
  <si>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</si>
  <si>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</si>
  <si>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</si>
  <si>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</si>
  <si>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</si>
  <si>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</si>
  <si>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</si>
  <si>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</si>
  <si>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</si>
  <si>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</si>
  <si>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</si>
  <si>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</si>
  <si>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</si>
  <si>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</si>
  <si>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</si>
  <si>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</si>
  <si>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</si>
  <si>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</si>
  <si>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</si>
  <si>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</si>
  <si>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</si>
  <si>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</si>
  <si>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</si>
  <si>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</si>
  <si>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</si>
  <si>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</si>
  <si>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</si>
  <si>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</si>
  <si>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</si>
  <si>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</si>
  <si>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</si>
  <si>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</si>
  <si>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</si>
  <si>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</si>
  <si>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</si>
  <si>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</si>
  <si>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</si>
  <si>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</si>
  <si>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</si>
  <si>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</si>
  <si>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</si>
  <si>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</si>
  <si>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</si>
  <si>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</si>
  <si>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</si>
  <si>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</si>
  <si>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</si>
  <si>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</si>
  <si>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</si>
  <si>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</si>
  <si>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</si>
  <si>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</si>
  <si>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</si>
  <si>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</si>
  <si>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</si>
  <si>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</si>
  <si>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</si>
  <si>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</si>
  <si>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</si>
  <si>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</si>
  <si>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</si>
  <si>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</si>
  <si>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</si>
  <si>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</si>
  <si>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</si>
  <si>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</si>
  <si>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</si>
  <si>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</si>
  <si>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</si>
  <si>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</si>
  <si>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</si>
  <si>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</si>
  <si>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</si>
  <si>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</si>
  <si>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</si>
  <si>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</si>
  <si>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</si>
  <si>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</si>
  <si>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</si>
  <si>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</si>
  <si>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</si>
  <si>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</si>
  <si>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</si>
  <si>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</si>
  <si>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</si>
  <si>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</si>
  <si>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</si>
  <si>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</si>
  <si>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</si>
  <si>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</si>
  <si>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</si>
  <si>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</si>
  <si>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</si>
  <si>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</si>
  <si>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</si>
  <si>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</si>
  <si>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</si>
  <si>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</si>
  <si>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</si>
  <si>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</si>
  <si>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</si>
  <si>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</si>
  <si>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</si>
  <si>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</si>
  <si>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</si>
  <si>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</si>
  <si>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</si>
  <si>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</si>
  <si>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</si>
  <si>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</si>
  <si>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</si>
  <si>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</si>
  <si>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</si>
  <si>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</si>
  <si>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</si>
  <si>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</si>
  <si>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</si>
  <si>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</si>
  <si>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</si>
  <si>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</si>
  <si>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</si>
  <si>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</si>
  <si>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</si>
  <si>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</si>
  <si>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</si>
  <si>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</si>
  <si>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</si>
  <si>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</si>
  <si>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</si>
  <si>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</si>
  <si>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</si>
  <si>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</si>
  <si>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</si>
  <si>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</si>
  <si>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</si>
  <si>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</si>
  <si>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</si>
  <si>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</si>
  <si>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</si>
  <si>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</si>
  <si>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</si>
  <si>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</si>
  <si>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</si>
  <si>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</si>
  <si>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</si>
  <si>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</si>
  <si>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</si>
  <si>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</si>
  <si>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</si>
  <si>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</si>
  <si>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</si>
  <si>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</si>
  <si>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</si>
  <si>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</si>
  <si>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</si>
  <si>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</si>
  <si>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</si>
  <si>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</si>
  <si>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</si>
  <si>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</si>
  <si>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</si>
  <si>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</si>
  <si>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</si>
  <si>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</si>
  <si>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</si>
  <si>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</si>
  <si>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</si>
  <si>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</si>
  <si>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</si>
  <si>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</si>
  <si>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</si>
  <si>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</si>
  <si>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</si>
  <si>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</si>
  <si>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</si>
  <si>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</si>
  <si>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</si>
  <si>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</si>
  <si>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</si>
  <si>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</si>
  <si>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</si>
  <si>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</si>
  <si>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</si>
  <si>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</si>
  <si>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</si>
  <si>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</si>
  <si>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</si>
  <si>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</si>
  <si>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</si>
  <si>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</si>
  <si>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</si>
  <si>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</si>
  <si>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</si>
  <si>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</si>
  <si>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</si>
  <si>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</si>
  <si>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</si>
  <si>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</si>
  <si>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</si>
  <si>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</si>
  <si>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</si>
  <si>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</si>
  <si>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</si>
  <si>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</si>
  <si>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</si>
  <si>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</si>
  <si>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</si>
  <si>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</si>
  <si>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</si>
  <si>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</si>
  <si>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</si>
  <si>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</si>
  <si>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</si>
  <si>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</si>
  <si>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</si>
  <si>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</si>
  <si>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</si>
  <si>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</si>
  <si>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</si>
  <si>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</si>
  <si>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</si>
  <si>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</si>
  <si>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</si>
  <si>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</si>
  <si>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</si>
  <si>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</si>
  <si>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</si>
  <si>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</si>
  <si>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</si>
  <si>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</si>
  <si>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</si>
  <si>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</si>
  <si>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</si>
  <si>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</si>
  <si>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</si>
  <si>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</si>
  <si>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</si>
  <si>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</si>
  <si>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</si>
  <si>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</si>
  <si>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</si>
  <si>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</si>
  <si>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</si>
  <si>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</si>
  <si>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</si>
  <si>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</si>
  <si>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</si>
  <si>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</si>
  <si>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</si>
  <si>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</si>
  <si>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</si>
  <si>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</si>
  <si>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</si>
  <si>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</si>
  <si>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</si>
  <si>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</si>
  <si>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</si>
  <si>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</si>
  <si>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</si>
  <si>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</si>
  <si>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</si>
  <si>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</si>
  <si>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</si>
  <si>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</si>
  <si>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</si>
  <si>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</si>
  <si>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</si>
  <si>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</si>
  <si>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</si>
  <si>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</si>
  <si>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</si>
  <si>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</si>
  <si>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</si>
  <si>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</si>
  <si>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</si>
  <si>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</si>
  <si>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</si>
  <si>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</si>
  <si>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</si>
  <si>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</si>
  <si>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</si>
  <si>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</si>
  <si>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</si>
  <si>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</si>
  <si>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</si>
  <si>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</si>
  <si>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</si>
  <si>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</si>
  <si>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</si>
  <si>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</si>
  <si>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</si>
  <si>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</si>
  <si>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</si>
  <si>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</si>
  <si>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</si>
  <si>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</si>
  <si>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</si>
  <si>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</si>
  <si>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</si>
  <si>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</si>
  <si>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</si>
  <si>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</si>
  <si>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</si>
  <si>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</si>
  <si>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</si>
  <si>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</si>
  <si>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</si>
  <si>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</si>
  <si>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</si>
  <si>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</si>
  <si>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</si>
  <si>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</si>
  <si>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</si>
  <si>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</si>
  <si>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</si>
  <si>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</si>
  <si>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</si>
  <si>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</si>
  <si>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</si>
  <si>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</si>
  <si>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</si>
  <si>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</si>
  <si>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</si>
  <si>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</si>
  <si>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</si>
  <si>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</si>
  <si>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</si>
  <si>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</si>
  <si>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</si>
  <si>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</si>
  <si>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</si>
  <si>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</si>
  <si>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</si>
  <si>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</si>
  <si>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</si>
  <si>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</si>
  <si>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</si>
  <si>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</si>
  <si>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</si>
  <si>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</si>
  <si>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</si>
  <si>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</si>
  <si>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</si>
  <si>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</si>
  <si>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</si>
  <si>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</si>
  <si>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</si>
  <si>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</si>
  <si>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</si>
  <si>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</si>
  <si>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</si>
  <si>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</si>
  <si>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</si>
  <si>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</si>
  <si>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</si>
  <si>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</si>
  <si>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</si>
  <si>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</si>
  <si>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</si>
  <si>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</si>
  <si>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</si>
  <si>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</si>
  <si>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</si>
  <si>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</si>
  <si>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</si>
  <si>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</si>
  <si>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</si>
  <si>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</si>
  <si>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</si>
  <si>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</si>
  <si>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</si>
  <si>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</si>
  <si>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</si>
  <si>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</si>
  <si>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</si>
  <si>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</si>
  <si>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</si>
  <si>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</si>
  <si>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</si>
  <si>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</si>
  <si>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</si>
  <si>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</si>
  <si>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</si>
  <si>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</si>
  <si>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</si>
  <si>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</si>
  <si>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</si>
  <si>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</si>
  <si>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</si>
  <si>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</si>
  <si>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</si>
  <si>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</si>
  <si>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</si>
  <si>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</si>
  <si>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</si>
  <si>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</si>
  <si>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</si>
  <si>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</si>
  <si>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</si>
  <si>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</si>
  <si>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</si>
  <si>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</si>
  <si>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</si>
  <si>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</si>
  <si>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</si>
  <si>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</si>
  <si>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</si>
  <si>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</si>
  <si>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</si>
  <si>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</si>
  <si>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</si>
  <si>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</si>
  <si>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</si>
  <si>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</si>
  <si>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</si>
  <si>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</si>
  <si>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</si>
  <si>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</si>
  <si>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</si>
  <si>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</si>
  <si>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</si>
  <si>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</si>
  <si>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</si>
  <si>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</si>
  <si>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</si>
  <si>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</si>
  <si>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</si>
  <si>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</si>
  <si>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</si>
  <si>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</si>
  <si>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</si>
  <si>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</si>
  <si>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</si>
  <si>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</si>
  <si>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</si>
  <si>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</si>
  <si>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</si>
  <si>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</si>
  <si>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</si>
  <si>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</si>
  <si>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</si>
  <si>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</si>
  <si>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</si>
  <si>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</si>
  <si>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</si>
  <si>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</si>
  <si>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</si>
  <si>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</si>
  <si>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</si>
  <si>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</si>
  <si>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</si>
  <si>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</si>
  <si>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</si>
  <si>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</si>
  <si>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</si>
  <si>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</si>
  <si>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</si>
  <si>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</si>
  <si>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</si>
  <si>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</si>
  <si>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</si>
  <si>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</si>
  <si>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</si>
  <si>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</si>
  <si>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</si>
  <si>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</si>
  <si>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</si>
  <si>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</si>
  <si>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</si>
  <si>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</si>
  <si>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</si>
  <si>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</si>
  <si>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</si>
  <si>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</si>
  <si>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</si>
  <si>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</si>
  <si>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</si>
  <si>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</si>
  <si>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</si>
  <si>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</si>
  <si>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</si>
  <si>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</si>
  <si>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</si>
  <si>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</si>
  <si>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</si>
  <si>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</si>
  <si>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</si>
  <si>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</si>
  <si>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</si>
  <si>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</si>
  <si>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</si>
  <si>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</si>
  <si>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</si>
  <si>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</si>
  <si>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</si>
  <si>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</si>
  <si>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</si>
  <si>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</si>
  <si>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</si>
  <si>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</si>
  <si>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</si>
  <si>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</si>
  <si>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</si>
  <si>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</si>
  <si>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</si>
  <si>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</si>
  <si>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</si>
  <si>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</si>
  <si>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</si>
  <si>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</si>
  <si>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</si>
  <si>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</si>
  <si>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</si>
  <si>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</si>
  <si>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</si>
  <si>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</si>
  <si>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</si>
  <si>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</si>
  <si>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</si>
  <si>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</si>
  <si>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</si>
  <si>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</si>
  <si>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</si>
  <si>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</si>
  <si>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</si>
  <si>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</si>
  <si>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</si>
  <si>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</si>
  <si>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</si>
  <si>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</si>
  <si>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</si>
  <si>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</si>
  <si>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</si>
  <si>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</si>
  <si>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</si>
  <si>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</si>
  <si>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</si>
  <si>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</si>
  <si>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</si>
  <si>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</si>
  <si>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</si>
  <si>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</si>
  <si>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</si>
  <si>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</si>
  <si>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</si>
  <si>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</si>
  <si>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</si>
  <si>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</si>
  <si>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</si>
  <si>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</si>
  <si>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</si>
  <si>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</si>
  <si>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</si>
  <si>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</si>
  <si>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</si>
  <si>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</si>
  <si>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</si>
  <si>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</si>
  <si>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</si>
  <si>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</si>
  <si>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</si>
  <si>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</si>
  <si>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</si>
  <si>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</si>
  <si>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</si>
  <si>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</si>
  <si>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</si>
  <si>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</si>
  <si>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</si>
  <si>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</si>
  <si>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</si>
  <si>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</si>
  <si>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</si>
  <si>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</si>
  <si>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</si>
  <si>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</si>
  <si>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</si>
  <si>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</si>
  <si>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</si>
  <si>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</si>
  <si>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</si>
  <si>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</si>
  <si>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</si>
  <si>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</si>
  <si>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</si>
  <si>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</si>
  <si>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</si>
  <si>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</si>
  <si>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</si>
  <si>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</si>
  <si>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</si>
  <si>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</si>
  <si>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</si>
  <si>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</si>
  <si>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</si>
  <si>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</si>
  <si>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</si>
  <si>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</si>
  <si>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</si>
  <si>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</si>
  <si>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</si>
  <si>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</si>
  <si>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</si>
  <si>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</si>
  <si>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</si>
  <si>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</si>
  <si>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</si>
  <si>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</si>
  <si>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</si>
  <si>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</si>
  <si>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</si>
  <si>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</si>
  <si>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</si>
  <si>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</si>
  <si>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</si>
  <si>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</si>
  <si>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</si>
  <si>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</si>
  <si>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</si>
  <si>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</si>
  <si>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</si>
  <si>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</si>
  <si>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</si>
  <si>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</si>
  <si>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</si>
  <si>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</si>
  <si>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</si>
  <si>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</si>
  <si>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</si>
  <si>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</si>
  <si>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</si>
  <si>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</si>
  <si>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</si>
  <si>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</si>
  <si>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</si>
  <si>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</si>
  <si>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</si>
  <si>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</si>
  <si>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</si>
  <si>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</si>
  <si>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</si>
  <si>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</si>
  <si>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</si>
  <si>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</si>
  <si>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</si>
  <si>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</si>
  <si>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</si>
  <si>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</si>
  <si>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</si>
  <si>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</si>
  <si>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</si>
  <si>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</si>
  <si>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</si>
  <si>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</si>
  <si>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</si>
  <si>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</si>
  <si>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</si>
  <si>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</si>
  <si>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</si>
  <si>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</si>
  <si>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</si>
  <si>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</si>
  <si>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</si>
  <si>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</si>
  <si>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</si>
  <si>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</si>
  <si>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</si>
  <si>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</si>
  <si>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</si>
  <si>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</si>
  <si>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</si>
  <si>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</si>
  <si>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</si>
  <si>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</si>
  <si>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</si>
  <si>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</si>
  <si>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</si>
  <si>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</si>
  <si>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</si>
  <si>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</si>
  <si>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</si>
  <si>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</si>
  <si>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</si>
  <si>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</si>
  <si>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</si>
  <si>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</si>
  <si>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</si>
  <si>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</si>
  <si>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</si>
  <si>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</si>
  <si>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</si>
  <si>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</si>
  <si>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</si>
  <si>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</si>
  <si>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</si>
  <si>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</si>
  <si>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</si>
  <si>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</si>
  <si>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</si>
  <si>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</si>
  <si>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</si>
  <si>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</si>
  <si>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</si>
  <si>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</si>
  <si>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</si>
  <si>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</si>
  <si>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</si>
  <si>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</si>
  <si>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</si>
  <si>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</si>
  <si>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</si>
  <si>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</si>
  <si>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</si>
  <si>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</si>
  <si>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</si>
  <si>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</si>
  <si>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</si>
  <si>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</si>
  <si>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</si>
  <si>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</si>
  <si>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</si>
  <si>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</si>
  <si>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</si>
  <si>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</si>
  <si>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</si>
  <si>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</si>
  <si>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</si>
  <si>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</si>
  <si>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</si>
  <si>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</si>
  <si>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</si>
  <si>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</si>
  <si>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</si>
  <si>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</si>
  <si>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</si>
  <si>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</si>
  <si>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</si>
  <si>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</si>
  <si>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</si>
  <si>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</si>
  <si>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</si>
  <si>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</si>
  <si>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</si>
  <si>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</si>
  <si>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</si>
  <si>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</si>
  <si>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</si>
  <si>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</si>
  <si>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</si>
  <si>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</si>
  <si>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</si>
  <si>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</si>
  <si>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</si>
  <si>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</si>
  <si>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</si>
  <si>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</si>
  <si>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</si>
  <si>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</si>
  <si>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</si>
  <si>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</si>
  <si>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</si>
  <si>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</si>
  <si>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</si>
  <si>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</si>
  <si>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</si>
  <si>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</si>
  <si>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</si>
  <si>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</si>
  <si>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</si>
  <si>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</si>
  <si>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</si>
  <si>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</si>
  <si>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</si>
  <si>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</si>
  <si>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</si>
  <si>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</si>
  <si>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</si>
  <si>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</si>
  <si>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</si>
  <si>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</si>
  <si>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</si>
  <si>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</si>
  <si>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</si>
  <si>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</si>
  <si>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</si>
  <si>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</si>
  <si>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</si>
  <si>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</si>
  <si>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</si>
  <si>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</si>
  <si>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</si>
  <si>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</si>
  <si>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</si>
  <si>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</si>
  <si>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</si>
  <si>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</si>
  <si>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</si>
  <si>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</si>
  <si>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</si>
  <si>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</si>
  <si>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</si>
  <si>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</si>
  <si>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</si>
  <si>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</si>
  <si>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</si>
  <si>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</si>
  <si>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</si>
  <si>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</si>
  <si>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</si>
  <si>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</si>
  <si>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</si>
  <si>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</si>
  <si>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</si>
  <si>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</si>
  <si>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</si>
  <si>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</si>
  <si>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</si>
  <si>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</si>
  <si>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</si>
  <si>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</si>
  <si>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</si>
  <si>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</si>
  <si>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</si>
  <si>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</si>
  <si>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</si>
  <si>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</si>
  <si>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</si>
  <si>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</si>
  <si>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</si>
  <si>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</si>
  <si>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</si>
  <si>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</si>
  <si>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</si>
  <si>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</si>
  <si>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</si>
  <si>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</si>
  <si>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</si>
  <si>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</si>
  <si>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</si>
  <si>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</si>
  <si>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</si>
  <si>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</si>
  <si>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</si>
  <si>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</si>
  <si>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</si>
  <si>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</si>
  <si>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</si>
  <si>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</si>
  <si>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</si>
  <si>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</si>
  <si>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</si>
  <si>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</si>
  <si>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</si>
  <si>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</si>
  <si>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</si>
  <si>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</si>
  <si>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</si>
  <si>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</si>
  <si>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</si>
  <si>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</si>
  <si>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</si>
  <si>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</si>
  <si>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</si>
  <si>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</si>
  <si>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</si>
  <si>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</si>
  <si>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</si>
  <si>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</si>
  <si>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</si>
  <si>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</si>
  <si>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</si>
  <si>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</si>
  <si>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</si>
  <si>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</si>
  <si>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</si>
  <si>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</si>
  <si>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</si>
  <si>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</si>
  <si>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</si>
  <si>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</si>
  <si>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</si>
  <si>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</si>
  <si>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</si>
  <si>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</si>
  <si>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</si>
  <si>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</si>
  <si>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</si>
  <si>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</si>
  <si>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</si>
  <si>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</si>
  <si>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</si>
  <si>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</si>
  <si>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</si>
  <si>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</si>
  <si>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</si>
  <si>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</si>
  <si>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</si>
  <si>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</si>
  <si>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</si>
  <si>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</si>
  <si>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</si>
  <si>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</si>
  <si>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</si>
  <si>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</si>
  <si>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</si>
  <si>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</si>
  <si>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</si>
  <si>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</si>
  <si>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</si>
  <si>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</si>
  <si>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</si>
  <si>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</si>
  <si>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</si>
  <si>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</si>
  <si>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</si>
  <si>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</si>
  <si>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</si>
  <si>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</si>
  <si>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</si>
  <si>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</si>
  <si>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</si>
  <si>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</si>
  <si>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</si>
  <si>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</si>
  <si>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</si>
  <si>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</si>
  <si>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</si>
  <si>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</si>
  <si>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</si>
  <si>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</si>
  <si>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</si>
  <si>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</si>
  <si>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</si>
  <si>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</si>
  <si>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</si>
  <si>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</si>
  <si>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</si>
  <si>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</si>
  <si>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</si>
  <si>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</si>
  <si>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</si>
  <si>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</si>
  <si>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</si>
  <si>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</si>
  <si>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</si>
  <si>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</si>
  <si>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</si>
  <si>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</si>
  <si>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</si>
  <si>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</si>
  <si>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</si>
  <si>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</si>
  <si>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</si>
  <si>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</si>
  <si>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</si>
  <si>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</si>
  <si>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</si>
  <si>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</si>
  <si>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</si>
  <si>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</si>
  <si>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</si>
  <si>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</si>
  <si>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</si>
  <si>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</si>
  <si>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</si>
  <si>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</si>
  <si>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</si>
  <si>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</si>
  <si>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</si>
  <si>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</si>
  <si>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</si>
  <si>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</si>
  <si>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</si>
  <si>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</si>
  <si>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</si>
  <si>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</si>
  <si>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</si>
  <si>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</si>
  <si>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</si>
  <si>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</si>
  <si>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</si>
  <si>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</si>
  <si>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</si>
  <si>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</si>
  <si>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</si>
  <si>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</si>
  <si>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</si>
  <si>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</si>
  <si>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</si>
  <si>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</si>
  <si>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</si>
  <si>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</si>
  <si>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</si>
  <si>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</si>
  <si>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</si>
  <si>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</si>
  <si>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</si>
  <si>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</si>
  <si>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</si>
  <si>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</si>
  <si>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</si>
  <si>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</si>
  <si>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</si>
  <si>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</si>
  <si>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</si>
  <si>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</si>
  <si>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</si>
  <si>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</si>
  <si>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</si>
  <si>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</si>
  <si>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</si>
  <si>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</si>
  <si>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</si>
  <si>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</si>
  <si>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</si>
  <si>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</si>
  <si>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</si>
  <si>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</si>
  <si>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</si>
  <si>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</si>
  <si>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</si>
  <si>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</si>
  <si>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</si>
  <si>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</si>
  <si>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</si>
  <si>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</si>
  <si>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</si>
  <si>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</si>
  <si>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</si>
  <si>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</si>
  <si>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</si>
  <si>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</si>
  <si>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</si>
  <si>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</si>
  <si>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</si>
  <si>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</si>
  <si>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</si>
  <si>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</si>
  <si>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</si>
  <si>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</si>
  <si>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</si>
  <si>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</si>
  <si>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</si>
  <si>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</si>
  <si>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</si>
  <si>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</si>
  <si>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</si>
  <si>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</si>
  <si>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</si>
  <si>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</si>
  <si>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</si>
  <si>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</si>
  <si>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</si>
  <si>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</si>
  <si>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</si>
  <si>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</si>
  <si>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</si>
  <si>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</si>
  <si>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</si>
  <si>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</si>
  <si>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</si>
  <si>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</si>
  <si>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</si>
  <si>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</si>
  <si>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</si>
  <si>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</si>
  <si>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</si>
  <si>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</si>
  <si>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</si>
  <si>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</si>
  <si>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</si>
  <si>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</si>
  <si>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</si>
  <si>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</si>
  <si>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</si>
  <si>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</si>
  <si>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</si>
  <si>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</si>
  <si>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</si>
  <si>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</si>
  <si>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</si>
  <si>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</si>
  <si>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</si>
  <si>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</si>
  <si>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</si>
  <si>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</si>
  <si>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</si>
  <si>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</si>
  <si>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</si>
  <si>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</si>
  <si>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</si>
  <si>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</si>
  <si>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</si>
  <si>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</si>
  <si>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</si>
  <si>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</si>
  <si>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</si>
  <si>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</si>
  <si>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</si>
  <si>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</si>
  <si>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</si>
  <si>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</si>
  <si>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</si>
  <si>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</si>
  <si>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</si>
  <si>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</si>
  <si>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</si>
  <si>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</si>
  <si>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</si>
  <si>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</si>
  <si>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</si>
  <si>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</si>
  <si>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</si>
  <si>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</si>
  <si>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</si>
  <si>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</si>
  <si>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</si>
  <si>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</si>
  <si>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</si>
  <si>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</si>
  <si>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</si>
  <si>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</si>
  <si>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</si>
  <si>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</si>
  <si>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</si>
  <si>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</si>
  <si>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</si>
  <si>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</si>
  <si>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</si>
  <si>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</si>
  <si>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</si>
  <si>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</si>
  <si>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</si>
  <si>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</si>
  <si>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</si>
  <si>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</si>
  <si>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</si>
  <si>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</si>
  <si>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</si>
  <si>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</si>
  <si>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</si>
  <si>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</si>
  <si>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</si>
  <si>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</si>
  <si>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</si>
  <si>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</si>
  <si>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</si>
  <si>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</si>
  <si>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</si>
  <si>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</si>
  <si>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</si>
  <si>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</si>
  <si>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</si>
  <si>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</si>
  <si>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</si>
  <si>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</si>
  <si>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</si>
  <si>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</si>
  <si>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</si>
  <si>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</si>
  <si>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</si>
  <si>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</si>
  <si>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</si>
  <si>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</si>
  <si>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</si>
  <si>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</si>
  <si>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</si>
  <si>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</si>
  <si>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</si>
  <si>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</si>
  <si>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</si>
  <si>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</si>
  <si>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</si>
  <si>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</si>
  <si>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</si>
  <si>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</si>
  <si>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</si>
  <si>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</si>
  <si>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</si>
  <si>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</si>
  <si>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</si>
  <si>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</si>
  <si>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</si>
  <si>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</si>
  <si>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</si>
  <si>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</si>
  <si>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</si>
  <si>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</si>
  <si>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</si>
  <si>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</si>
  <si>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</si>
  <si>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</si>
  <si>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</si>
  <si>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</si>
  <si>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</si>
  <si>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</si>
  <si>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</si>
  <si>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</si>
  <si>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</si>
  <si>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</si>
  <si>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</si>
  <si>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</si>
  <si>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</si>
  <si>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</si>
  <si>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</si>
  <si>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</si>
  <si>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</si>
  <si>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</si>
  <si>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</si>
  <si>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</si>
  <si>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</si>
  <si>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</si>
  <si>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</si>
  <si>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</si>
  <si>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</si>
  <si>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</si>
  <si>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</si>
  <si>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</si>
  <si>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</si>
  <si>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</si>
  <si>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</si>
  <si>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</si>
  <si>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</si>
  <si>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</si>
  <si>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</si>
  <si>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</si>
  <si>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</si>
  <si>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</si>
  <si>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</si>
  <si>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</si>
  <si>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</si>
  <si>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</si>
  <si>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</si>
  <si>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</si>
  <si>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</si>
  <si>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</si>
  <si>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</si>
  <si>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</si>
  <si>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</si>
  <si>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</si>
  <si>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</si>
  <si>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</si>
  <si>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</si>
  <si>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</si>
  <si>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</si>
  <si>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</si>
  <si>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</si>
  <si>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</si>
  <si>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</si>
  <si>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</si>
  <si>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</si>
  <si>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</si>
  <si>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</si>
  <si>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</si>
  <si>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</si>
  <si>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</si>
  <si>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</si>
  <si>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</si>
  <si>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</si>
  <si>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</si>
  <si>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</si>
  <si>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</si>
  <si>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</si>
  <si>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</si>
  <si>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</si>
  <si>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</si>
  <si>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</si>
  <si>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</si>
  <si>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</si>
  <si>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</si>
  <si>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</si>
  <si>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</si>
  <si>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</si>
  <si>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</si>
  <si>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</si>
  <si>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</si>
  <si>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</si>
  <si>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</si>
  <si>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</si>
  <si>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</si>
  <si>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</si>
  <si>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</si>
  <si>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</si>
  <si>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</si>
  <si>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</si>
  <si>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</si>
  <si>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</si>
  <si>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</si>
  <si>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</si>
  <si>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</si>
  <si>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</si>
  <si>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</si>
  <si>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</si>
  <si>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</si>
  <si>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</si>
  <si>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</si>
  <si>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</si>
  <si>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</si>
  <si>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</si>
  <si>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</si>
  <si>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</si>
  <si>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</si>
  <si>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</si>
  <si>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</si>
  <si>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</si>
  <si>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</si>
  <si>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</si>
  <si>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</si>
  <si>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</si>
  <si>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</si>
  <si>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</si>
  <si>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</si>
  <si>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</si>
  <si>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</si>
  <si>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</si>
  <si>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</si>
  <si>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</si>
  <si>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</si>
  <si>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</si>
  <si>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</si>
  <si>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</si>
  <si>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</si>
  <si>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</si>
  <si>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</si>
  <si>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</si>
  <si>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</si>
  <si>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</si>
  <si>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</si>
  <si>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</si>
  <si>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</si>
  <si>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</si>
  <si>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</si>
  <si>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</si>
  <si>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</si>
  <si>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</si>
  <si>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</si>
  <si>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</si>
  <si>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</si>
  <si>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</si>
  <si>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</si>
  <si>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</si>
  <si>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</si>
  <si>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</si>
  <si>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</si>
  <si>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</si>
  <si>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</si>
  <si>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</si>
  <si>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</si>
  <si>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</si>
  <si>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</si>
  <si>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</si>
  <si>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</si>
  <si>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</si>
  <si>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</si>
  <si>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</si>
  <si>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</si>
  <si>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</si>
  <si>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</si>
  <si>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</si>
  <si>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</si>
  <si>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</si>
  <si>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</si>
  <si>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</si>
  <si>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</si>
  <si>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</si>
  <si>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</si>
  <si>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</si>
  <si>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</si>
  <si>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</si>
  <si>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</si>
  <si>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</si>
  <si>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</si>
  <si>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</si>
  <si>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</si>
  <si>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</si>
  <si>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</si>
  <si>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</si>
  <si>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</si>
  <si>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</si>
  <si>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</si>
  <si>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</si>
  <si>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</si>
  <si>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</si>
  <si>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</si>
  <si>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</si>
  <si>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</si>
  <si>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</si>
  <si>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</si>
  <si>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</si>
  <si>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</si>
  <si>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</si>
  <si>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</si>
  <si>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</si>
  <si>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</si>
  <si>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</si>
  <si>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</si>
  <si>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</si>
  <si>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</si>
  <si>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</si>
  <si>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</si>
  <si>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</si>
  <si>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</si>
  <si>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</si>
  <si>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</si>
  <si>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</si>
  <si>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</si>
  <si>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</si>
  <si>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</si>
  <si>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</si>
  <si>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</si>
  <si>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</si>
  <si>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</si>
  <si>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</si>
  <si>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</si>
  <si>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</si>
  <si>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</si>
  <si>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</si>
  <si>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</si>
  <si>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</si>
  <si>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</si>
  <si>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</si>
  <si>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</si>
  <si>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</si>
  <si>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</si>
  <si>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</si>
  <si>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</si>
  <si>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</si>
  <si>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</si>
  <si>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</si>
  <si>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</si>
  <si>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</si>
  <si>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</si>
  <si>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</si>
  <si>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</si>
  <si>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</si>
  <si>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</si>
  <si>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</si>
  <si>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</si>
  <si>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</si>
  <si>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</si>
  <si>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</si>
  <si>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</si>
  <si>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</si>
  <si>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</si>
  <si>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</si>
  <si>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</si>
  <si>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</si>
  <si>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</si>
  <si>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</si>
  <si>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</si>
  <si>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</si>
  <si>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</si>
  <si>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</si>
  <si>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</si>
  <si>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</si>
  <si>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</si>
  <si>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</si>
  <si>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</si>
  <si>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</si>
  <si>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</si>
  <si>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</si>
  <si>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</si>
  <si>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</si>
  <si>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</si>
  <si>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</si>
  <si>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</si>
  <si>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</si>
  <si>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</si>
  <si>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</si>
  <si>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</si>
  <si>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</si>
  <si>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</si>
  <si>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</si>
  <si>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</si>
  <si>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</si>
  <si>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</si>
  <si>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</si>
  <si>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</si>
  <si>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</si>
  <si>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</si>
  <si>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</si>
  <si>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</si>
  <si>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</si>
  <si>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</si>
  <si>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</si>
  <si>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</si>
  <si>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</si>
  <si>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</si>
  <si>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</si>
  <si>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</si>
  <si>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</si>
  <si>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</si>
  <si>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</si>
  <si>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</si>
  <si>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</si>
  <si>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</si>
  <si>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</si>
  <si>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</si>
  <si>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</si>
  <si>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</si>
  <si>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</si>
  <si>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</si>
  <si>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</si>
  <si>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</si>
  <si>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</si>
  <si>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</si>
  <si>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</si>
  <si>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</si>
  <si>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</si>
  <si>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</si>
  <si>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</si>
  <si>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</si>
  <si>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</si>
  <si>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</si>
  <si>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</si>
  <si>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</si>
  <si>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</si>
  <si>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</si>
  <si>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</si>
  <si>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</si>
  <si>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</si>
  <si>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</si>
  <si>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</si>
  <si>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</si>
  <si>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</si>
  <si>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</si>
  <si>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</si>
  <si>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</si>
  <si>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</si>
  <si>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</si>
  <si>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</si>
  <si>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</si>
  <si>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</si>
  <si>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</si>
  <si>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</si>
  <si>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</si>
  <si>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</si>
  <si>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</si>
  <si>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</si>
  <si>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</si>
  <si>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</si>
  <si>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</si>
  <si>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</si>
  <si>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</si>
  <si>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</si>
  <si>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</si>
  <si>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</si>
  <si>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</si>
  <si>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</si>
  <si>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</si>
  <si>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</si>
  <si>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</si>
  <si>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</si>
  <si>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</si>
  <si>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</si>
  <si>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</si>
  <si>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</si>
  <si>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</si>
  <si>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</si>
  <si>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</si>
  <si>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</si>
  <si>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</si>
  <si>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</si>
  <si>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</si>
  <si>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</si>
  <si>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</si>
  <si>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</si>
  <si>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</si>
  <si>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</si>
  <si>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</si>
  <si>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</si>
  <si>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</si>
  <si>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</si>
  <si>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</si>
  <si>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</si>
  <si>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</si>
  <si>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</si>
  <si>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</si>
  <si>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</si>
  <si>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</si>
  <si>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</si>
  <si>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</si>
  <si>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</si>
  <si>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</si>
  <si>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</si>
  <si>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</si>
  <si>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</si>
  <si>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</si>
  <si>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</si>
  <si>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</si>
  <si>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</si>
  <si>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</si>
  <si>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</si>
  <si>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</si>
  <si>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</si>
  <si>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</si>
  <si>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</si>
  <si>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</si>
  <si>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</si>
  <si>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</si>
  <si>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</si>
  <si>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</si>
  <si>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</si>
  <si>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</si>
  <si>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</si>
  <si>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</si>
  <si>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</si>
  <si>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</si>
  <si>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</si>
  <si>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</si>
  <si>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</si>
  <si>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</si>
  <si>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</si>
  <si>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</si>
  <si>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</si>
  <si>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</si>
  <si>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</si>
  <si>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</si>
  <si>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</si>
  <si>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</si>
  <si>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</si>
  <si>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</si>
  <si>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</si>
  <si>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</si>
  <si>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</si>
  <si>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</si>
  <si>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</si>
  <si>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</si>
  <si>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</si>
  <si>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</si>
  <si>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</si>
  <si>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</si>
  <si>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</si>
  <si>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</si>
  <si>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</si>
  <si>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</si>
  <si>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</si>
  <si>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</si>
  <si>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</si>
  <si>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</si>
  <si>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</si>
  <si>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</si>
  <si>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</si>
  <si>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</si>
  <si>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</si>
  <si>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</si>
  <si>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</si>
  <si>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</si>
  <si>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</si>
  <si>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</si>
  <si>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</si>
  <si>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</si>
  <si>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</si>
  <si>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</si>
  <si>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</si>
  <si>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</si>
  <si>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</si>
  <si>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</si>
  <si>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</si>
  <si>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</si>
  <si>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</si>
  <si>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</si>
  <si>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</si>
  <si>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</si>
  <si>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</si>
  <si>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</si>
  <si>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</si>
  <si>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</si>
  <si>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</si>
  <si>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</si>
  <si>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</si>
  <si>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</si>
  <si>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</si>
  <si>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</si>
  <si>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</si>
  <si>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</si>
  <si>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</si>
  <si>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</si>
  <si>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</si>
  <si>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</si>
  <si>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</si>
  <si>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</si>
  <si>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</si>
  <si>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</si>
  <si>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</si>
  <si>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</si>
  <si>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</si>
  <si>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</si>
  <si>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</si>
  <si>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</si>
  <si>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</si>
  <si>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</si>
  <si>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</si>
  <si>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</si>
  <si>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</si>
  <si>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</si>
  <si>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</si>
  <si>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</si>
  <si>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</si>
  <si>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</si>
  <si>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</si>
  <si>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</si>
  <si>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</si>
  <si>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</si>
  <si>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</si>
  <si>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</si>
  <si>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</si>
  <si>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</si>
  <si>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</si>
  <si>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</si>
  <si>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</si>
  <si>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</si>
  <si>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</si>
  <si>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</si>
  <si>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</si>
  <si>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</si>
  <si>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</si>
  <si>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</si>
  <si>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</si>
  <si>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</si>
  <si>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</si>
  <si>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</si>
  <si>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</si>
  <si>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</si>
  <si>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</si>
  <si>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</si>
  <si>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</si>
  <si>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</si>
  <si>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</si>
  <si>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</si>
  <si>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</si>
  <si>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</si>
  <si>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</si>
  <si>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</si>
  <si>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</si>
  <si>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</si>
  <si>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</si>
  <si>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</si>
  <si>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</si>
  <si>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</si>
  <si>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</si>
  <si>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</si>
  <si>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</si>
  <si>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</si>
  <si>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</si>
  <si>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</si>
  <si>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</si>
  <si>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</si>
  <si>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</si>
  <si>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</si>
  <si>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</si>
  <si>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</si>
  <si>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</si>
  <si>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</si>
  <si>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</si>
  <si>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</si>
  <si>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</si>
  <si>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</si>
  <si>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</si>
  <si>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</si>
  <si>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</si>
  <si>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</si>
  <si>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</si>
  <si>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</si>
  <si>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</si>
  <si>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</si>
  <si>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</si>
  <si>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</si>
  <si>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</si>
  <si>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</si>
  <si>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</si>
  <si>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</si>
  <si>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</si>
  <si>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</si>
  <si>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</si>
  <si>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</si>
  <si>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</si>
  <si>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</si>
  <si>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</si>
  <si>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</si>
  <si>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</si>
  <si>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</si>
  <si>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</si>
  <si>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</si>
  <si>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</si>
  <si>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</si>
  <si>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</si>
  <si>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</si>
  <si>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</si>
  <si>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</si>
  <si>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</si>
  <si>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</si>
  <si>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</si>
  <si>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</si>
  <si>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</si>
  <si>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</si>
  <si>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</si>
  <si>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</si>
  <si>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</si>
  <si>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</si>
  <si>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</si>
  <si>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</si>
  <si>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</si>
  <si>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</si>
  <si>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</si>
  <si>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</si>
  <si>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</si>
  <si>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</si>
  <si>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</si>
  <si>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</si>
  <si>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</si>
  <si>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</si>
  <si>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</si>
  <si>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</si>
  <si>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</si>
  <si>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</si>
  <si>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</si>
  <si>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</si>
  <si>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</si>
  <si>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</si>
  <si>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</si>
  <si>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</si>
  <si>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</si>
  <si>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</si>
  <si>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</si>
  <si>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</si>
  <si>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</si>
  <si>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</si>
  <si>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</si>
  <si>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</si>
  <si>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</si>
  <si>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</si>
  <si>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</si>
  <si>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</si>
  <si>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</si>
  <si>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</si>
  <si>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</si>
  <si>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</si>
  <si>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</si>
  <si>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</si>
  <si>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</si>
  <si>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</si>
  <si>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</si>
  <si>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</si>
  <si>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</si>
  <si>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</si>
  <si>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</si>
  <si>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</si>
  <si>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</si>
  <si>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</si>
  <si>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</si>
  <si>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</si>
  <si>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</si>
  <si>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</si>
  <si>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</si>
  <si>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</si>
  <si>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</si>
  <si>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</si>
  <si>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</si>
  <si>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</si>
  <si>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</si>
  <si>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</si>
  <si>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</si>
  <si>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</si>
  <si>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</si>
  <si>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</si>
  <si>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</si>
  <si>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</si>
  <si>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</si>
  <si>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</si>
  <si>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</si>
  <si>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</si>
  <si>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</si>
  <si>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</si>
  <si>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</si>
  <si>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</si>
  <si>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</si>
  <si>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</si>
  <si>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</si>
  <si>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</si>
  <si>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</si>
  <si>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</si>
  <si>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</si>
  <si>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</si>
  <si>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</si>
  <si>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</si>
  <si>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</si>
  <si>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</si>
  <si>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</si>
  <si>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</si>
  <si>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</si>
  <si>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</si>
  <si>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</si>
  <si>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</si>
  <si>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</si>
  <si>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</si>
  <si>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</si>
  <si>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</si>
  <si>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</si>
  <si>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</si>
  <si>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</si>
  <si>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</si>
  <si>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</si>
  <si>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</si>
  <si>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</si>
  <si>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</si>
  <si>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</si>
  <si>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</si>
  <si>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</si>
  <si>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</si>
  <si>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</si>
  <si>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</si>
  <si>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</si>
  <si>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</si>
  <si>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</si>
  <si>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</si>
  <si>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</si>
  <si>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</si>
  <si>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</si>
  <si>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</si>
  <si>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</si>
  <si>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</si>
  <si>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</si>
  <si>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</si>
  <si>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</si>
  <si>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</si>
  <si>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</si>
  <si>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</si>
  <si>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</si>
  <si>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</si>
  <si>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</si>
  <si>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</si>
  <si>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</si>
  <si>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</si>
  <si>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</si>
  <si>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</si>
  <si>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</si>
  <si>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</si>
  <si>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</si>
  <si>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</si>
  <si>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</si>
  <si>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</si>
  <si>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</si>
  <si>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</si>
  <si>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</si>
  <si>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</si>
  <si>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</si>
  <si>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</si>
  <si>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</si>
  <si>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</si>
  <si>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</si>
  <si>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</si>
  <si>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</si>
  <si>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</si>
  <si>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</si>
  <si>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</si>
  <si>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</si>
  <si>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</si>
  <si>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</si>
  <si>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</si>
  <si>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</si>
  <si>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</si>
  <si>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</si>
  <si>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</si>
  <si>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</si>
  <si>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</si>
  <si>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</si>
  <si>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</si>
  <si>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</si>
  <si>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</si>
  <si>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</si>
  <si>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</si>
  <si>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</si>
  <si>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</si>
  <si>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</si>
  <si>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</si>
  <si>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</si>
  <si>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</si>
  <si>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</si>
  <si>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</si>
  <si>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</si>
  <si>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</si>
  <si>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</si>
  <si>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</si>
  <si>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</si>
  <si>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</si>
  <si>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</si>
  <si>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</si>
  <si>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</si>
  <si>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</si>
  <si>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</si>
  <si>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</si>
  <si>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</si>
  <si>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</si>
  <si>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</si>
  <si>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</si>
  <si>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</si>
  <si>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</si>
  <si>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</si>
  <si>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</si>
  <si>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</si>
  <si>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</si>
  <si>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</si>
  <si>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</si>
  <si>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</si>
  <si>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</si>
  <si>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</si>
  <si>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</si>
  <si>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</si>
  <si>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</si>
  <si>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</si>
  <si>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</si>
  <si>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</si>
  <si>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</si>
  <si>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</si>
  <si>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</si>
  <si>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</si>
  <si>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</si>
  <si>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</si>
  <si>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</si>
  <si>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</si>
  <si>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</si>
  <si>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</si>
  <si>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</si>
  <si>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</si>
  <si>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</si>
  <si>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</si>
  <si>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</si>
  <si>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</si>
  <si>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</si>
  <si>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</si>
  <si>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</si>
  <si>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</si>
  <si>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</si>
  <si>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</si>
  <si>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</si>
  <si>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</si>
  <si>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</si>
  <si>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</si>
  <si>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</si>
  <si>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</si>
  <si>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</si>
  <si>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</si>
  <si>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</si>
  <si>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</si>
  <si>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</si>
  <si>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</si>
  <si>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</si>
  <si>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</si>
  <si>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</si>
  <si>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</si>
  <si>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</si>
  <si>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</si>
  <si>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</si>
  <si>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</si>
  <si>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</si>
  <si>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</si>
  <si>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</si>
  <si>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</si>
  <si>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</si>
  <si>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</si>
  <si>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</si>
  <si>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</si>
  <si>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</si>
  <si>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</si>
  <si>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</si>
  <si>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</si>
  <si>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</si>
  <si>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</si>
  <si>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</si>
  <si>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</si>
  <si>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</si>
  <si>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</si>
  <si>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</si>
  <si>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</si>
  <si>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</si>
  <si>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</si>
  <si>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</si>
  <si>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</si>
  <si>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</si>
  <si>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</si>
  <si>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</si>
  <si>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</si>
  <si>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</si>
  <si>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</si>
  <si>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</si>
  <si>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</si>
  <si>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</si>
  <si>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</si>
  <si>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</si>
  <si>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</si>
  <si>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</si>
  <si>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</si>
  <si>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</si>
  <si>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</si>
  <si>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</si>
  <si>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</si>
  <si>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</si>
  <si>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</si>
  <si>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</si>
  <si>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</si>
  <si>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</si>
  <si>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</si>
  <si>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</si>
  <si>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</si>
  <si>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</si>
  <si>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</si>
  <si>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</si>
  <si>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</si>
  <si>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</si>
  <si>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</si>
  <si>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</si>
  <si>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</si>
  <si>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</si>
  <si>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</si>
  <si>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</si>
  <si>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</si>
  <si>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</si>
  <si>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</si>
  <si>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</si>
  <si>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</si>
  <si>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</si>
  <si>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</si>
  <si>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</si>
  <si>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</si>
  <si>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</si>
  <si>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</si>
  <si>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</si>
  <si>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</si>
  <si>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</si>
  <si>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</si>
  <si>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</si>
  <si>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</si>
  <si>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</si>
  <si>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</si>
  <si>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</si>
  <si>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</si>
  <si>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</si>
  <si>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</si>
  <si>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</si>
  <si>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</si>
  <si>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</si>
  <si>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</si>
  <si>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</si>
  <si>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</si>
  <si>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</si>
  <si>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</si>
  <si>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</si>
  <si>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</si>
  <si>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</si>
  <si>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</si>
  <si>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</si>
  <si>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</si>
  <si>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</si>
  <si>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</si>
  <si>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</si>
  <si>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</si>
  <si>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</si>
  <si>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</si>
  <si>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</si>
  <si>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</si>
  <si>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</si>
  <si>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</si>
  <si>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</si>
  <si>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</si>
  <si>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</si>
  <si>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</si>
  <si>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</si>
  <si>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</si>
  <si>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</si>
  <si>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</si>
  <si>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</si>
  <si>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</si>
  <si>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</si>
  <si>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</si>
  <si>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</si>
  <si>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</si>
  <si>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</si>
  <si>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</si>
  <si>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</si>
  <si>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</si>
  <si>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</si>
  <si>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</si>
  <si>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</si>
  <si>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</si>
  <si>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</si>
  <si>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</si>
  <si>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</si>
  <si>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</si>
  <si>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</si>
  <si>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</si>
  <si>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</si>
  <si>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</si>
  <si>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</si>
  <si>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</si>
  <si>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</si>
  <si>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</si>
  <si>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</si>
  <si>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</si>
  <si>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</si>
  <si>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</si>
  <si>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</si>
  <si>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</si>
  <si>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</si>
  <si>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</si>
  <si>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</si>
  <si>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</si>
  <si>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</si>
  <si>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</si>
  <si>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</si>
  <si>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</si>
  <si>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</si>
  <si>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</si>
  <si>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</si>
  <si>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</si>
  <si>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</si>
  <si>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</si>
  <si>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</si>
  <si>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</si>
  <si>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</si>
  <si>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</si>
  <si>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</si>
  <si>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</si>
  <si>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</si>
  <si>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</si>
  <si>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</si>
  <si>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</si>
  <si>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</si>
  <si>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</si>
  <si>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</si>
  <si>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</si>
  <si>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</si>
  <si>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</si>
  <si>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</si>
  <si>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</si>
  <si>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</si>
  <si>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</si>
  <si>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</si>
  <si>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</si>
  <si>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</si>
  <si>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</si>
  <si>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</si>
  <si>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</si>
  <si>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</si>
  <si>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</si>
  <si>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</si>
  <si>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</si>
  <si>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</si>
  <si>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</si>
  <si>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</si>
  <si>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</si>
  <si>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</si>
  <si>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</si>
  <si>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</si>
  <si>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</si>
  <si>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</si>
  <si>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</si>
  <si>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</si>
  <si>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</si>
  <si>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</si>
  <si>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</si>
  <si>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</si>
  <si>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</si>
  <si>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</si>
  <si>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</si>
  <si>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</si>
  <si>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</si>
  <si>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</si>
  <si>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</si>
  <si>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</si>
  <si>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</si>
  <si>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</si>
  <si>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</si>
  <si>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</si>
  <si>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</si>
  <si>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</si>
  <si>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</si>
  <si>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</si>
  <si>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</si>
  <si>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</si>
  <si>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</si>
  <si>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</si>
  <si>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</si>
  <si>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</si>
  <si>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</si>
  <si>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</si>
  <si>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</si>
  <si>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</si>
  <si>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</si>
  <si>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</si>
  <si>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</si>
  <si>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</si>
  <si>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</si>
  <si>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</si>
  <si>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</si>
  <si>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</si>
  <si>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</si>
  <si>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</si>
  <si>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</si>
  <si>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</si>
  <si>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</si>
  <si>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</si>
  <si>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</si>
  <si>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</si>
  <si>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</si>
  <si>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</si>
  <si>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</si>
  <si>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</si>
  <si>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</si>
  <si>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</si>
  <si>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</si>
  <si>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</si>
  <si>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</si>
  <si>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</si>
  <si>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</si>
  <si>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</si>
  <si>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</si>
  <si>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</si>
  <si>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</si>
  <si>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</si>
  <si>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</si>
  <si>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</si>
  <si>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</si>
  <si>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</si>
  <si>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</si>
  <si>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</si>
  <si>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</si>
  <si>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</si>
  <si>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</si>
  <si>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</si>
  <si>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</si>
  <si>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</si>
  <si>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</si>
  <si>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</si>
  <si>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</si>
  <si>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</si>
  <si>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</si>
  <si>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</si>
  <si>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</si>
  <si>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</si>
  <si>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</si>
  <si>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</si>
  <si>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</si>
  <si>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</si>
  <si>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</si>
  <si>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</si>
  <si>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</si>
  <si>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</si>
  <si>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</si>
  <si>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</si>
  <si>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</si>
  <si>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</si>
  <si>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</si>
  <si>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</si>
  <si>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</si>
  <si>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</si>
  <si>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</si>
  <si>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</si>
  <si>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</si>
  <si>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</si>
  <si>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</si>
  <si>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</si>
  <si>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</si>
  <si>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</si>
  <si>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</si>
  <si>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</si>
  <si>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</si>
  <si>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</si>
  <si>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</si>
  <si>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</si>
  <si>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</si>
  <si>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</si>
  <si>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</si>
  <si>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</si>
  <si>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</si>
  <si>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</si>
  <si>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</si>
  <si>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</si>
  <si>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</si>
  <si>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</si>
  <si>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</si>
  <si>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</si>
  <si>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</si>
  <si>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</si>
  <si>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</si>
  <si>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</si>
  <si>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</si>
  <si>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</si>
  <si>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</si>
  <si>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</si>
  <si>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</si>
  <si>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</si>
  <si>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</si>
  <si>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</si>
  <si>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</si>
  <si>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</si>
  <si>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</si>
  <si>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</si>
  <si>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</si>
  <si>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</si>
  <si>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</si>
  <si>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</si>
  <si>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</si>
  <si>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</si>
  <si>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</si>
  <si>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</si>
  <si>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</si>
  <si>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</si>
  <si>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</si>
  <si>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</si>
  <si>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</si>
  <si>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</si>
  <si>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</si>
  <si>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</si>
  <si>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</si>
  <si>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</si>
  <si>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</si>
  <si>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</si>
  <si>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</si>
  <si>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</si>
  <si>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</si>
  <si>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</si>
  <si>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</si>
  <si>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</si>
  <si>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</si>
  <si>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</si>
  <si>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</si>
  <si>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</si>
  <si>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</si>
  <si>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</si>
  <si>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</si>
  <si>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</si>
  <si>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</si>
  <si>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</si>
  <si>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</si>
  <si>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</si>
  <si>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</si>
  <si>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</si>
  <si>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</si>
  <si>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</si>
  <si>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</si>
  <si>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</si>
  <si>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</si>
  <si>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</si>
  <si>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</si>
  <si>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</si>
  <si>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</si>
  <si>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</si>
  <si>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</si>
  <si>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</si>
  <si>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</si>
  <si>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</si>
  <si>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</si>
  <si>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</si>
  <si>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</si>
  <si>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</si>
  <si>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</si>
  <si>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</si>
  <si>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</si>
  <si>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</si>
  <si>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</si>
  <si>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</si>
  <si>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</si>
  <si>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</si>
  <si>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</si>
  <si>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</si>
  <si>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</si>
  <si>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</si>
  <si>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</si>
  <si>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</si>
  <si>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</si>
  <si>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</si>
  <si>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</si>
  <si>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</si>
  <si>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</si>
  <si>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</si>
  <si>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</si>
  <si>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</si>
  <si>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</si>
  <si>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</si>
  <si>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</si>
  <si>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</si>
  <si>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</si>
  <si>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</si>
  <si>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</si>
  <si>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</si>
  <si>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</si>
  <si>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</si>
  <si>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</si>
  <si>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</si>
  <si>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</si>
  <si>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</si>
  <si>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</si>
  <si>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</si>
  <si>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</si>
  <si>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</si>
  <si>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</si>
  <si>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</si>
  <si>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</si>
  <si>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</si>
  <si>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</si>
  <si>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</si>
  <si>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</si>
  <si>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</si>
  <si>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</si>
  <si>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</si>
  <si>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</si>
  <si>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</si>
  <si>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</si>
  <si>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</si>
  <si>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</si>
  <si>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</si>
  <si>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</si>
  <si>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</si>
  <si>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</si>
  <si>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</si>
  <si>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</si>
  <si>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</si>
  <si>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</si>
  <si>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</si>
  <si>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</si>
  <si>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</si>
  <si>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</si>
  <si>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</si>
  <si>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</si>
  <si>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</si>
  <si>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</si>
  <si>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</si>
  <si>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</si>
  <si>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</si>
  <si>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</si>
  <si>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</si>
  <si>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</si>
  <si>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</si>
  <si>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</si>
  <si>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</si>
  <si>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</si>
  <si>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</si>
  <si>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</si>
  <si>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</si>
  <si>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</si>
  <si>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</si>
  <si>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</si>
  <si>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</si>
  <si>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</si>
  <si>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</si>
  <si>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</si>
  <si>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</si>
  <si>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</si>
  <si>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</si>
  <si>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</si>
  <si>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</si>
  <si>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</si>
  <si>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</si>
  <si>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</si>
  <si>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</si>
  <si>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</si>
  <si>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</si>
  <si>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</si>
  <si>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</si>
  <si>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</si>
  <si>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</si>
  <si>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</si>
  <si>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</si>
  <si>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</si>
  <si>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</si>
  <si>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</si>
  <si>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</si>
  <si>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</si>
  <si>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</si>
  <si>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</si>
  <si>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</si>
  <si>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</si>
  <si>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</si>
  <si>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</si>
  <si>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</si>
  <si>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</si>
  <si>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</si>
  <si>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</si>
  <si>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</si>
  <si>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</si>
  <si>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</si>
  <si>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</si>
  <si>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</si>
  <si>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</si>
  <si>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</si>
  <si>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</si>
  <si>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</si>
  <si>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</si>
  <si>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</si>
  <si>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</si>
  <si>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</si>
  <si>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</si>
  <si>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</si>
  <si>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</si>
  <si>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</si>
  <si>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</si>
  <si>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</si>
  <si>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</si>
  <si>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</si>
  <si>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</si>
  <si>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</si>
  <si>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</si>
  <si>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</si>
  <si>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</si>
  <si>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</si>
  <si>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</si>
  <si>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</si>
  <si>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</si>
  <si>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</si>
  <si>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</si>
  <si>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</si>
  <si>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</si>
  <si>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</si>
  <si>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</si>
  <si>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</si>
  <si>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</si>
  <si>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</si>
  <si>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</si>
  <si>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</si>
  <si>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</si>
  <si>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</si>
  <si>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</si>
  <si>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</si>
  <si>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</si>
  <si>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</si>
  <si>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</si>
  <si>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</si>
  <si>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</si>
  <si>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</si>
  <si>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</si>
  <si>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</si>
  <si>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</si>
  <si>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</si>
  <si>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</si>
  <si>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</si>
  <si>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</si>
  <si>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</si>
  <si>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</si>
  <si>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</si>
  <si>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</si>
  <si>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</si>
  <si>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</si>
  <si>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</si>
  <si>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</si>
  <si>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</si>
  <si>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</si>
  <si>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</si>
  <si>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</si>
  <si>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</si>
  <si>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</si>
  <si>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</si>
  <si>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</si>
  <si>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</si>
  <si>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</si>
  <si>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</si>
  <si>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</si>
  <si>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</si>
  <si>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</si>
  <si>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</si>
  <si>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</si>
  <si>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</si>
  <si>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</si>
  <si>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</si>
  <si>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</si>
  <si>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</si>
  <si>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</si>
  <si>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</si>
  <si>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</si>
  <si>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</si>
  <si>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</si>
  <si>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</si>
  <si>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</si>
  <si>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</si>
  <si>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</si>
  <si>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</si>
  <si>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</si>
  <si>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</si>
  <si>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</si>
  <si>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</si>
  <si>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</si>
  <si>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</si>
  <si>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</si>
  <si>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</si>
  <si>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</si>
  <si>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</si>
  <si>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</si>
  <si>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</si>
  <si>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</si>
  <si>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</si>
  <si>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</si>
  <si>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</si>
  <si>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</si>
  <si>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</si>
  <si>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</si>
  <si>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</si>
  <si>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</si>
  <si>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</si>
  <si>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</si>
  <si>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</si>
  <si>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</si>
  <si>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</si>
  <si>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</si>
  <si>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</si>
  <si>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</si>
  <si>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</si>
  <si>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</si>
  <si>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</si>
  <si>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</si>
  <si>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</si>
  <si>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</si>
  <si>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</si>
  <si>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</si>
  <si>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</si>
  <si>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</si>
  <si>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</si>
  <si>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</si>
  <si>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</si>
  <si>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</si>
  <si>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</si>
  <si>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</si>
  <si>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</si>
  <si>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</si>
  <si>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</si>
  <si>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</si>
  <si>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</si>
  <si>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</si>
  <si>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</si>
  <si>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</si>
  <si>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</si>
  <si>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</si>
  <si>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</si>
  <si>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</si>
  <si>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</si>
  <si>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</si>
  <si>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</si>
  <si>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</si>
  <si>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</si>
  <si>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</si>
  <si>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</si>
  <si>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</si>
  <si>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</si>
  <si>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</si>
  <si>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</si>
  <si>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</si>
  <si>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</si>
  <si>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</si>
  <si>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</si>
  <si>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</si>
  <si>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</si>
  <si>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</si>
  <si>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</si>
  <si>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</si>
  <si>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</si>
  <si>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</si>
  <si>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</si>
  <si>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</si>
  <si>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</si>
  <si>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</si>
  <si>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</si>
  <si>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</si>
  <si>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</si>
  <si>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</si>
  <si>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</si>
  <si>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</si>
  <si>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</si>
  <si>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</si>
  <si>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</si>
  <si>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</si>
  <si>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</si>
  <si>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</si>
  <si>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</si>
  <si>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</si>
  <si>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</si>
  <si>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</si>
  <si>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</si>
  <si>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</si>
  <si>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</si>
  <si>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</si>
  <si>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</si>
  <si>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</si>
  <si>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</si>
  <si>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</si>
  <si>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</si>
  <si>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</si>
  <si>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</si>
  <si>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</si>
  <si>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</si>
  <si>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</si>
  <si>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</si>
  <si>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</si>
  <si>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</si>
  <si>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</si>
  <si>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</si>
  <si>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</si>
  <si>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</si>
  <si>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</si>
  <si>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</si>
  <si>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</si>
  <si>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</si>
  <si>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</si>
  <si>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</si>
  <si>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</si>
  <si>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</si>
  <si>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</si>
  <si>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</si>
  <si>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</si>
  <si>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</si>
  <si>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</si>
  <si>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</si>
  <si>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</si>
  <si>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</si>
  <si>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</si>
  <si>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</si>
  <si>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</si>
  <si>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</si>
  <si>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</si>
  <si>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</si>
  <si>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</si>
  <si>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</si>
  <si>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</si>
  <si>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</si>
  <si>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</si>
  <si>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</si>
  <si>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</si>
  <si>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</si>
  <si>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</si>
  <si>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</si>
  <si>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</si>
  <si>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</si>
  <si>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</si>
  <si>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</si>
  <si>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</si>
  <si>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</si>
  <si>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</si>
  <si>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</si>
  <si>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</si>
  <si>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</si>
  <si>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</si>
  <si>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</si>
  <si>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</si>
  <si>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</si>
  <si>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</si>
  <si>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</si>
  <si>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</si>
  <si>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</si>
  <si>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</si>
  <si>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</si>
  <si>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</si>
  <si>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</si>
  <si>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</si>
  <si>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</si>
  <si>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</si>
  <si>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</si>
  <si>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</si>
  <si>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</si>
  <si>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</si>
  <si>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</si>
  <si>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</si>
  <si>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</si>
  <si>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</si>
  <si>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</si>
  <si>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</si>
  <si>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</si>
  <si>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</si>
  <si>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</si>
  <si>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</si>
  <si>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</si>
  <si>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</si>
  <si>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</si>
  <si>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</si>
  <si>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</si>
  <si>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</si>
  <si>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</si>
  <si>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</si>
  <si>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</si>
  <si>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</si>
  <si>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</si>
  <si>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</si>
  <si>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</si>
  <si>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</si>
  <si>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</si>
  <si>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</si>
  <si>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</si>
  <si>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</si>
  <si>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</si>
  <si>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</si>
  <si>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</si>
  <si>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</si>
  <si>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</si>
  <si>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</si>
  <si>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</si>
  <si>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</si>
  <si>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</si>
  <si>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</si>
  <si>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</si>
  <si>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</si>
  <si>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</si>
  <si>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</si>
  <si>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</si>
  <si>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</si>
  <si>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</si>
  <si>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</si>
  <si>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</si>
  <si>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</si>
  <si>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</si>
  <si>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</si>
  <si>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</si>
  <si>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</si>
  <si>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</si>
  <si>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</si>
  <si>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</si>
  <si>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</si>
  <si>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</si>
  <si>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</si>
  <si>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</si>
  <si>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</si>
  <si>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</si>
  <si>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</si>
  <si>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</si>
  <si>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</si>
  <si>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</si>
  <si>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</si>
  <si>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</si>
  <si>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</si>
  <si>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</si>
  <si>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</si>
  <si>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</si>
  <si>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</si>
  <si>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</si>
  <si>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</si>
  <si>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</si>
  <si>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</si>
  <si>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</si>
  <si>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</si>
  <si>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</si>
  <si>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</si>
  <si>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</si>
  <si>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</si>
  <si>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</si>
  <si>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</si>
  <si>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</si>
  <si>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</si>
  <si>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</si>
  <si>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</si>
  <si>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</si>
  <si>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</si>
  <si>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</si>
  <si>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</si>
  <si>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</si>
  <si>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</si>
  <si>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</si>
  <si>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</si>
  <si>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</si>
  <si>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</si>
  <si>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</si>
  <si>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</si>
  <si>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</si>
  <si>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</si>
  <si>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</si>
  <si>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</si>
  <si>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</si>
  <si>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</si>
  <si>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</si>
  <si>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</si>
  <si>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</si>
  <si>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</si>
  <si>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</si>
  <si>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</si>
  <si>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</si>
  <si>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</si>
  <si>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</si>
  <si>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</si>
  <si>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</si>
  <si>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</si>
  <si>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</si>
  <si>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</si>
  <si>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</si>
  <si>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</si>
  <si>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</si>
  <si>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</si>
  <si>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</si>
  <si>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</si>
  <si>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</si>
  <si>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</si>
  <si>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</si>
  <si>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</si>
  <si>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</si>
  <si>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</si>
  <si>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</si>
  <si>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</si>
  <si>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</si>
  <si>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</si>
  <si>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</si>
  <si>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</si>
  <si>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</si>
  <si>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</si>
  <si>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</si>
  <si>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</si>
  <si>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</si>
  <si>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</si>
  <si>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</si>
  <si>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</si>
  <si>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</si>
  <si>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</si>
  <si>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</si>
  <si>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</si>
  <si>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</si>
  <si>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</si>
  <si>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</si>
  <si>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</si>
  <si>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</si>
  <si>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</si>
  <si>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</si>
  <si>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</si>
  <si>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</si>
  <si>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</si>
  <si>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</si>
  <si>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</si>
  <si>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</si>
  <si>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</si>
  <si>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</si>
  <si>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</si>
  <si>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</si>
  <si>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</si>
  <si>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</si>
  <si>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</si>
  <si>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</si>
  <si>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</si>
  <si>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</si>
  <si>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</si>
  <si>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</si>
  <si>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</si>
  <si>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</si>
  <si>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</si>
  <si>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</si>
  <si>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</si>
  <si>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</si>
  <si>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</si>
  <si>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</si>
  <si>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</si>
  <si>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</si>
  <si>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</si>
  <si>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</si>
  <si>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</si>
  <si>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</si>
  <si>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</si>
  <si>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</si>
  <si>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</si>
  <si>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</si>
  <si>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</si>
  <si>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</si>
  <si>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</si>
  <si>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</si>
  <si>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</si>
  <si>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</si>
  <si>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</si>
  <si>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</si>
  <si>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</si>
  <si>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</si>
  <si>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</si>
  <si>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</si>
  <si>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</si>
  <si>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</si>
  <si>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</si>
  <si>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</si>
  <si>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</si>
  <si>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</si>
  <si>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</si>
  <si>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</si>
  <si>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</si>
  <si>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</si>
  <si>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</si>
  <si>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</si>
  <si>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</si>
  <si>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</si>
  <si>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</si>
  <si>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</si>
  <si>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</si>
  <si>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</si>
  <si>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</si>
  <si>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</si>
  <si>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</si>
  <si>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</si>
  <si>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</si>
  <si>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</si>
  <si>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</si>
  <si>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</si>
  <si>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</si>
  <si>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</si>
  <si>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</si>
  <si>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</si>
  <si>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</si>
  <si>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</si>
  <si>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</si>
  <si>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</si>
  <si>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</si>
  <si>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</si>
  <si>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</si>
  <si>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</si>
  <si>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</si>
  <si>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</si>
  <si>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</si>
  <si>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</si>
  <si>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</si>
  <si>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</si>
  <si>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</si>
  <si>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</si>
  <si>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</si>
  <si>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</si>
  <si>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</si>
  <si>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</si>
  <si>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</si>
  <si>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</si>
  <si>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</si>
  <si>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</si>
  <si>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</si>
  <si>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</si>
  <si>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</si>
  <si>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</si>
  <si>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</si>
  <si>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</si>
  <si>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</si>
  <si>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</si>
  <si>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</si>
  <si>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</si>
  <si>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</si>
  <si>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</si>
  <si>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</si>
  <si>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</si>
  <si>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</si>
  <si>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</si>
  <si>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</si>
  <si>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</si>
  <si>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</si>
  <si>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</si>
  <si>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</si>
  <si>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</si>
  <si>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</si>
  <si>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</si>
  <si>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</si>
  <si>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</si>
  <si>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</si>
  <si>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</si>
  <si>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</si>
  <si>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</si>
  <si>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</si>
  <si>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</si>
  <si>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</si>
  <si>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</si>
  <si>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</si>
  <si>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</si>
  <si>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</si>
  <si>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</si>
  <si>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</si>
  <si>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</si>
  <si>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</si>
  <si>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</si>
  <si>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</si>
  <si>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</si>
  <si>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</si>
  <si>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</si>
  <si>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</si>
  <si>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</si>
  <si>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</si>
  <si>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</si>
  <si>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</si>
  <si>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</si>
  <si>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</si>
  <si>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</si>
  <si>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</si>
  <si>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</si>
  <si>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</si>
  <si>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</si>
  <si>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</si>
  <si>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</si>
  <si>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</si>
  <si>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</si>
  <si>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</si>
  <si>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</si>
  <si>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</si>
  <si>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</si>
  <si>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</si>
  <si>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</si>
  <si>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</si>
  <si>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</si>
  <si>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</si>
  <si>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</si>
  <si>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</si>
  <si>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</si>
  <si>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</si>
  <si>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</si>
  <si>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</si>
  <si>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</si>
  <si>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</si>
  <si>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</si>
  <si>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</si>
  <si>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</si>
  <si>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</si>
  <si>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</si>
  <si>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</si>
  <si>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</si>
  <si>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</si>
  <si>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</si>
  <si>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</si>
  <si>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</si>
  <si>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</si>
  <si>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</si>
  <si>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</si>
  <si>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</si>
  <si>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</si>
  <si>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</si>
  <si>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</si>
  <si>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</si>
  <si>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</si>
  <si>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</si>
  <si>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</si>
  <si>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</si>
  <si>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</si>
  <si>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</si>
  <si>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</si>
  <si>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</si>
  <si>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</si>
  <si>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</si>
  <si>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</si>
  <si>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</si>
  <si>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</si>
  <si>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</si>
  <si>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</si>
  <si>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</si>
  <si>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</si>
  <si>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</si>
  <si>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</si>
  <si>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</si>
  <si>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</si>
  <si>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</si>
  <si>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</si>
  <si>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</si>
  <si>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</si>
  <si>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</si>
  <si>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</si>
  <si>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</si>
  <si>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</si>
  <si>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</si>
  <si>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</si>
  <si>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</si>
  <si>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</si>
  <si>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</si>
  <si>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</si>
  <si>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</si>
  <si>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</si>
  <si>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</si>
  <si>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</si>
  <si>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</si>
  <si>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</si>
  <si>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</si>
  <si>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</si>
  <si>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</si>
  <si>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</si>
  <si>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</si>
  <si>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</si>
  <si>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</si>
  <si>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</si>
  <si>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</si>
  <si>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</si>
  <si>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</si>
  <si>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</si>
  <si>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</si>
  <si>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</si>
  <si>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</si>
  <si>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</si>
  <si>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</si>
  <si>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</si>
  <si>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</si>
  <si>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</si>
  <si>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</si>
  <si>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</si>
  <si>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</si>
  <si>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</si>
  <si>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</si>
  <si>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</si>
  <si>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</si>
  <si>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</si>
  <si>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</si>
  <si>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</si>
  <si>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</si>
  <si>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</si>
  <si>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</si>
  <si>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</si>
  <si>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</si>
  <si>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</si>
  <si>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</si>
  <si>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</si>
  <si>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</si>
  <si>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</si>
  <si>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</si>
  <si>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</si>
  <si>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</si>
  <si>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</si>
  <si>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</si>
  <si>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</si>
  <si>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</si>
  <si>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</si>
  <si>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</si>
  <si>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</si>
  <si>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</si>
  <si>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</si>
  <si>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</si>
  <si>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</si>
  <si>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</si>
  <si>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</si>
  <si>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</si>
  <si>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</si>
  <si>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</si>
  <si>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</si>
  <si>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</si>
  <si>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</si>
  <si>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</si>
  <si>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</si>
  <si>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</si>
  <si>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</si>
  <si>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</si>
  <si>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</si>
  <si>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</si>
  <si>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</si>
  <si>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</si>
  <si>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</si>
  <si>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</si>
  <si>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</si>
  <si>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</si>
  <si>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</si>
  <si>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</si>
  <si>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</si>
  <si>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</si>
  <si>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</si>
  <si>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</si>
  <si>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</si>
  <si>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</si>
  <si>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</si>
  <si>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</si>
  <si>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</si>
  <si>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</si>
  <si>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</si>
  <si>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</si>
  <si>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</si>
  <si>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</si>
  <si>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</si>
  <si>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</si>
  <si>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</si>
  <si>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</si>
  <si>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</si>
  <si>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</si>
  <si>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</si>
  <si>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</si>
  <si>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</si>
  <si>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</si>
  <si>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</si>
  <si>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</si>
  <si>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</si>
  <si>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</si>
  <si>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</si>
  <si>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</si>
  <si>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</si>
  <si>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</si>
  <si>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</si>
  <si>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</si>
  <si>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</si>
  <si>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</si>
  <si>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</si>
  <si>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</si>
  <si>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</si>
  <si>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</si>
  <si>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</si>
  <si>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</si>
  <si>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</si>
  <si>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</si>
  <si>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</si>
  <si>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</si>
  <si>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</si>
  <si>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</si>
  <si>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</si>
  <si>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</si>
  <si>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</si>
  <si>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</si>
  <si>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</si>
  <si>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</si>
  <si>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</si>
  <si>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</si>
  <si>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</si>
  <si>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</si>
  <si>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</si>
  <si>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</si>
  <si>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</si>
  <si>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</si>
  <si>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</si>
  <si>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</si>
  <si>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</si>
  <si>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</si>
  <si>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</si>
  <si>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</si>
  <si>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</si>
  <si>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</si>
  <si>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</si>
  <si>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</si>
  <si>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</si>
  <si>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</si>
  <si>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</si>
  <si>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</si>
  <si>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</si>
  <si>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</si>
  <si>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</si>
  <si>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</si>
  <si>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</si>
  <si>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</si>
  <si>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</si>
  <si>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</si>
  <si>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</si>
  <si>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</si>
  <si>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</si>
  <si>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</si>
  <si>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</si>
  <si>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</si>
  <si>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</si>
  <si>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</si>
  <si>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</si>
  <si>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</si>
  <si>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</si>
  <si>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</si>
  <si>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</si>
  <si>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</si>
  <si>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</si>
  <si>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</si>
  <si>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</si>
  <si>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</si>
  <si>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</si>
  <si>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</si>
  <si>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</si>
  <si>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</si>
  <si>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</si>
  <si>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</si>
  <si>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</si>
  <si>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</si>
  <si>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</si>
  <si>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</si>
  <si>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</si>
  <si>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</si>
  <si>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</si>
  <si>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</si>
  <si>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</si>
  <si>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</si>
  <si>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</si>
  <si>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</si>
  <si>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</si>
  <si>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</si>
  <si>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</si>
  <si>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</si>
  <si>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</si>
  <si>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</si>
  <si>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</si>
  <si>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</si>
  <si>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</si>
  <si>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</si>
  <si>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</si>
  <si>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</si>
  <si>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</si>
  <si>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</si>
  <si>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</si>
  <si>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</si>
  <si>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</si>
  <si>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</si>
  <si>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</si>
  <si>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</si>
  <si>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</si>
  <si>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</si>
  <si>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</si>
  <si>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</si>
  <si>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</si>
  <si>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</si>
  <si>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</si>
  <si>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</si>
  <si>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</si>
  <si>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</si>
  <si>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</si>
  <si>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</si>
  <si>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</si>
  <si>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</si>
  <si>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</si>
  <si>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</si>
  <si>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</si>
  <si>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</si>
  <si>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</si>
  <si>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</si>
  <si>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</si>
  <si>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</si>
  <si>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</si>
  <si>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</si>
  <si>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</si>
  <si>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</si>
  <si>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</si>
  <si>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</si>
  <si>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</si>
  <si>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</si>
  <si>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</si>
  <si>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</si>
  <si>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</si>
  <si>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</si>
  <si>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</si>
  <si>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</si>
  <si>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</si>
  <si>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</si>
  <si>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</si>
  <si>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</si>
  <si>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</si>
  <si>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</si>
  <si>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</si>
  <si>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</si>
  <si>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</si>
  <si>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</si>
  <si>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</si>
  <si>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</si>
  <si>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</si>
  <si>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</si>
  <si>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</si>
  <si>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</si>
  <si>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</si>
  <si>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</si>
  <si>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</si>
  <si>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</si>
  <si>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</si>
  <si>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</si>
  <si>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</si>
  <si>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</si>
  <si>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</si>
  <si>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</si>
  <si>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</si>
  <si>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</si>
  <si>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</si>
  <si>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</si>
  <si>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</si>
  <si>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</si>
  <si>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</si>
  <si>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</si>
  <si>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</si>
  <si>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</si>
  <si>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</si>
  <si>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</si>
  <si>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</si>
  <si>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</si>
  <si>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</si>
  <si>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</si>
  <si>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</si>
  <si>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</si>
  <si>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</si>
  <si>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</si>
  <si>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</si>
  <si>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</si>
  <si>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</si>
  <si>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</si>
  <si>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</si>
  <si>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</si>
  <si>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</si>
  <si>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</si>
  <si>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</si>
  <si>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</si>
  <si>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</si>
  <si>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</si>
  <si>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</si>
  <si>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</si>
  <si>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</si>
  <si>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</si>
  <si>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</si>
  <si>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</si>
  <si>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</si>
  <si>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</si>
  <si>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</si>
  <si>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</si>
  <si>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</si>
  <si>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</si>
  <si>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</si>
  <si>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</si>
  <si>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</si>
  <si>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</si>
  <si>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</si>
  <si>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</si>
  <si>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</si>
  <si>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</si>
  <si>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</si>
  <si>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</si>
  <si>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</si>
  <si>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</si>
  <si>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</si>
  <si>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</si>
  <si>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</si>
  <si>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</si>
  <si>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</si>
  <si>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</si>
  <si>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</si>
  <si>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</si>
  <si>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</si>
  <si>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</si>
  <si>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</si>
  <si>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</si>
  <si>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</si>
  <si>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</si>
  <si>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</si>
  <si>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</si>
  <si>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</si>
  <si>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</si>
  <si>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</si>
  <si>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</si>
  <si>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</si>
  <si>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</si>
  <si>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</si>
  <si>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</si>
  <si>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</si>
  <si>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</si>
  <si>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</si>
  <si>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</si>
  <si>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</si>
  <si>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</si>
  <si>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</si>
  <si>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</si>
  <si>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</si>
  <si>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</si>
  <si>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</si>
  <si>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</si>
  <si>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</si>
  <si>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</si>
  <si>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</si>
  <si>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</si>
  <si>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</si>
  <si>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</si>
  <si>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</si>
  <si>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</si>
  <si>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</si>
  <si>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</si>
  <si>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</si>
  <si>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</si>
  <si>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</si>
  <si>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</si>
  <si>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</si>
  <si>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</si>
  <si>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</si>
  <si>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</si>
  <si>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</si>
  <si>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</si>
  <si>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</si>
  <si>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</si>
  <si>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</si>
  <si>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</si>
  <si>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</si>
  <si>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</si>
  <si>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</si>
  <si>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</si>
  <si>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</si>
  <si>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</si>
  <si>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</si>
  <si>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</si>
  <si>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</si>
  <si>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</si>
  <si>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</si>
  <si>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</si>
  <si>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</si>
  <si>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</si>
  <si>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25.99禮包</t>
  </si>
  <si>
    <t>22.99禮包</t>
  </si>
  <si>
    <t>7.99禮包</t>
  </si>
  <si>
    <t>3620晶鑽</t>
  </si>
  <si>
    <t>1820晶鑽</t>
  </si>
  <si>
    <t>1045晶鑽</t>
  </si>
  <si>
    <t>540晶鑽</t>
  </si>
  <si>
    <t>170晶鑽</t>
  </si>
  <si>
    <t>33晶鑽</t>
  </si>
  <si>
    <t>高階戰鬥通行證</t>
  </si>
  <si>
    <t>高階釣魚通行證</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</si>
</sst>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printerSettings" Target="../printerSettings/printerSettings1.bin"/><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6"/>
  <sheetViews>
    <sheetView tabSelected="1" zoomScaleNormal="100" workbookViewId="0">
      <pane xSplit="1" ySplit="1" topLeftCell="I288" activePane="bottomRight" state="frozen"/>
      <selection pane="topRight" activeCell="B1" sqref="B1"/>
      <selection pane="bottomLeft" activeCell="A2" sqref="A2"/>
      <selection pane="bottomRight" activeCell="Z291" sqref="Z291:AA291"/>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5424</v>
      </c>
      <c r="AI223" s="88" t="s">
        <v>5455</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5424</v>
      </c>
      <c r="W224" s="88" t="s">
        <v>5455</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5424</v>
      </c>
      <c r="W226" s="88" t="s">
        <v>5455</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5424</v>
      </c>
      <c r="AG227" s="88" t="s">
        <v>5455</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5424</v>
      </c>
      <c r="AE228" s="88" t="s">
        <v>5455</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5424</v>
      </c>
      <c r="AE229" s="88" t="s">
        <v>5455</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5424</v>
      </c>
      <c r="AI230" s="88" t="s">
        <v>5455</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5424</v>
      </c>
      <c r="AC231" s="88" t="s">
        <v>5455</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5424</v>
      </c>
      <c r="AE232" s="88" t="s">
        <v>5455</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5424</v>
      </c>
      <c r="AE234" s="88" t="s">
        <v>5455</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5424</v>
      </c>
      <c r="AC235" s="88" t="s">
        <v>5455</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5424</v>
      </c>
      <c r="AG236" s="88" t="s">
        <v>5455</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5424</v>
      </c>
      <c r="AE237" s="88" t="s">
        <v>5455</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5424</v>
      </c>
      <c r="Y238" s="88" t="s">
        <v>5455</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5424</v>
      </c>
      <c r="AC239" s="88" t="s">
        <v>5455</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5424</v>
      </c>
      <c r="W240" s="88" t="s">
        <v>5455</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5424</v>
      </c>
      <c r="AC241" s="88" t="s">
        <v>5455</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5424</v>
      </c>
      <c r="Y242" s="88" t="s">
        <v>5455</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5424</v>
      </c>
      <c r="AC243" s="88" t="s">
        <v>5455</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5424</v>
      </c>
      <c r="AE244" s="88" t="s">
        <v>5455</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5424</v>
      </c>
      <c r="Y245" s="88" t="s">
        <v>5455</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5424</v>
      </c>
      <c r="S246" s="88" t="s">
        <v>5455</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5424</v>
      </c>
      <c r="Y247" s="88" t="s">
        <v>5455</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5424</v>
      </c>
      <c r="AC248" s="88" t="s">
        <v>5455</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5424</v>
      </c>
      <c r="AA249" s="88" t="s">
        <v>5455</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5424</v>
      </c>
      <c r="Y250" s="88" t="s">
        <v>5455</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5424</v>
      </c>
      <c r="W251" s="88" t="s">
        <v>5455</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5424</v>
      </c>
      <c r="AE252" s="88" t="s">
        <v>5455</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5424</v>
      </c>
      <c r="AG253" s="88" t="s">
        <v>5455</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5424</v>
      </c>
      <c r="AA254" s="88" t="s">
        <v>5455</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5424</v>
      </c>
      <c r="Y255" s="88" t="s">
        <v>5455</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5424</v>
      </c>
      <c r="Y256" s="88" t="s">
        <v>5455</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5424</v>
      </c>
      <c r="AE257" s="88" t="s">
        <v>5455</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5424</v>
      </c>
      <c r="AG258" s="88" t="s">
        <v>5455</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5424</v>
      </c>
      <c r="AC259" s="88" t="s">
        <v>5455</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5424</v>
      </c>
      <c r="AE260" s="88" t="s">
        <v>5455</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5424</v>
      </c>
      <c r="AA261" s="88" t="s">
        <v>5455</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5424</v>
      </c>
      <c r="W262" s="88" t="s">
        <v>5455</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5424</v>
      </c>
      <c r="AI263" s="88" t="s">
        <v>5455</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5424</v>
      </c>
      <c r="AE265" s="88" t="s">
        <v>5455</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5424</v>
      </c>
      <c r="AA266" s="88" t="s">
        <v>5455</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5424</v>
      </c>
      <c r="AE267" s="88" t="s">
        <v>5455</v>
      </c>
    </row>
    <row r="268" spans="1:35" ht="22.5" customHeight="1" thickBot="1">
      <c r="A268" s="55" t="s">
        <v>4894</v>
      </c>
      <c r="C268" s="80" t="s">
        <v>4896</v>
      </c>
      <c r="D268" s="45" t="s">
        <v>4879</v>
      </c>
      <c r="E268" s="45" t="s">
        <v>4880</v>
      </c>
      <c r="F268" s="37" t="str">
        <f t="shared" ref="F268:F311"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5424</v>
      </c>
      <c r="AE268" s="88" t="s">
        <v>5455</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5424</v>
      </c>
      <c r="AC269" s="88" t="s">
        <v>5455</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5424</v>
      </c>
      <c r="S270" s="88" t="s">
        <v>5455</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5424</v>
      </c>
      <c r="AE271" s="88" t="s">
        <v>5455</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5424</v>
      </c>
      <c r="Y272" s="88" t="s">
        <v>5455</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5424</v>
      </c>
      <c r="AE273" s="88" t="s">
        <v>5455</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5424</v>
      </c>
      <c r="AE274" s="88" t="s">
        <v>5455</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5424</v>
      </c>
      <c r="AA275" s="88" t="s">
        <v>5455</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5259</v>
      </c>
      <c r="K276" s="59">
        <v>2477</v>
      </c>
      <c r="L276" s="1" t="s">
        <v>5260</v>
      </c>
      <c r="M276" s="59">
        <v>1346</v>
      </c>
      <c r="N276" s="1" t="s">
        <v>5261</v>
      </c>
      <c r="O276" s="59">
        <v>713</v>
      </c>
      <c r="P276" s="1" t="s">
        <v>5262</v>
      </c>
      <c r="Q276" s="59">
        <v>340</v>
      </c>
      <c r="R276" s="1" t="s">
        <v>5263</v>
      </c>
      <c r="S276" s="59">
        <v>169</v>
      </c>
      <c r="T276" s="1" t="s">
        <v>5264</v>
      </c>
      <c r="U276" s="59">
        <v>82</v>
      </c>
      <c r="V276" s="1" t="s">
        <v>5265</v>
      </c>
      <c r="W276" s="59">
        <v>30</v>
      </c>
      <c r="X276" s="1" t="s">
        <v>5266</v>
      </c>
      <c r="Y276" s="59">
        <v>133</v>
      </c>
      <c r="Z276" s="85" t="s">
        <v>5424</v>
      </c>
      <c r="AA276" s="88" t="s">
        <v>5455</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5163</v>
      </c>
      <c r="O277" s="87">
        <v>821</v>
      </c>
      <c r="P277" s="86" t="s">
        <v>5164</v>
      </c>
      <c r="Q277" s="87">
        <v>407</v>
      </c>
      <c r="R277" s="86" t="s">
        <v>5012</v>
      </c>
      <c r="S277" s="87">
        <v>147</v>
      </c>
      <c r="T277" s="86" t="s">
        <v>1377</v>
      </c>
      <c r="U277" s="87">
        <v>29</v>
      </c>
      <c r="V277" s="86" t="s">
        <v>5165</v>
      </c>
      <c r="W277" s="87">
        <v>147</v>
      </c>
      <c r="X277" s="53"/>
      <c r="Y277" s="55"/>
      <c r="Z277" s="85" t="s">
        <v>5424</v>
      </c>
      <c r="AA277" s="88" t="s">
        <v>5455</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5424</v>
      </c>
      <c r="AE278" s="88" t="s">
        <v>5455</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5367</v>
      </c>
      <c r="W279" s="59">
        <v>151</v>
      </c>
      <c r="X279" s="85" t="s">
        <v>5424</v>
      </c>
      <c r="Y279" s="88" t="s">
        <v>5455</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5161</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5424</v>
      </c>
      <c r="Y280" s="88" t="s">
        <v>5455</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5162</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5424</v>
      </c>
      <c r="AC281" s="88" t="s">
        <v>5455</v>
      </c>
    </row>
    <row r="282" spans="1:31" ht="22.5" customHeight="1" thickBot="1">
      <c r="A282" s="87" t="s">
        <v>5205</v>
      </c>
      <c r="C282" s="37" t="s">
        <v>5166</v>
      </c>
      <c r="D282" s="38" t="s">
        <v>5167</v>
      </c>
      <c r="E282" s="38" t="s">
        <v>5168</v>
      </c>
      <c r="F282" s="37" t="str">
        <f t="shared" si="12"/>
        <v>gift-codes.html?game=石器時代：寵物世界</v>
      </c>
      <c r="G282" s="85" t="s">
        <v>5182</v>
      </c>
      <c r="H282" s="38" t="str">
        <f t="shared" si="11"/>
        <v>https://www.ssbuy.tw/detail_giftcode/dist/gamedetail/石器時代：寵物世界.html</v>
      </c>
      <c r="I282" s="39" t="s">
        <v>5185</v>
      </c>
      <c r="J282" s="86" t="s">
        <v>4988</v>
      </c>
      <c r="K282" s="87">
        <v>2655</v>
      </c>
      <c r="L282" s="86" t="s">
        <v>1674</v>
      </c>
      <c r="M282" s="87">
        <v>2047</v>
      </c>
      <c r="N282" s="86" t="s">
        <v>5175</v>
      </c>
      <c r="O282" s="87">
        <v>1357</v>
      </c>
      <c r="P282" s="86" t="s">
        <v>5176</v>
      </c>
      <c r="Q282" s="87">
        <v>1085</v>
      </c>
      <c r="R282" s="86" t="s">
        <v>5177</v>
      </c>
      <c r="S282" s="87">
        <v>822</v>
      </c>
      <c r="T282" s="86" t="s">
        <v>5178</v>
      </c>
      <c r="U282" s="87">
        <v>680</v>
      </c>
      <c r="V282" s="86" t="s">
        <v>152</v>
      </c>
      <c r="W282" s="87">
        <v>572</v>
      </c>
      <c r="X282" s="86" t="s">
        <v>153</v>
      </c>
      <c r="Y282" s="87">
        <v>407</v>
      </c>
      <c r="Z282" s="86" t="s">
        <v>5179</v>
      </c>
      <c r="AA282" s="87">
        <v>357</v>
      </c>
      <c r="AB282" s="86" t="s">
        <v>1680</v>
      </c>
      <c r="AC282" s="87">
        <v>274</v>
      </c>
      <c r="AD282" s="85" t="s">
        <v>5424</v>
      </c>
      <c r="AE282" s="88" t="s">
        <v>5455</v>
      </c>
    </row>
    <row r="283" spans="1:31" ht="22.5" customHeight="1" thickBot="1">
      <c r="A283" s="87" t="s">
        <v>5180</v>
      </c>
      <c r="C283" s="37" t="s">
        <v>5169</v>
      </c>
      <c r="D283" s="38" t="s">
        <v>5170</v>
      </c>
      <c r="E283" s="38" t="s">
        <v>5171</v>
      </c>
      <c r="F283" s="37" t="str">
        <f t="shared" si="12"/>
        <v>gift-codes.html?game=蔚藍星球：國王很忙</v>
      </c>
      <c r="G283" s="85" t="s">
        <v>5183</v>
      </c>
      <c r="H283" s="38" t="str">
        <f t="shared" si="11"/>
        <v>https://www.ssbuy.tw/detail_giftcode/dist/gamedetail/蔚藍星球：國王很忙.html</v>
      </c>
      <c r="I283" s="39" t="s">
        <v>5186</v>
      </c>
      <c r="J283" s="1" t="s">
        <v>5327</v>
      </c>
      <c r="K283" s="59">
        <v>2717</v>
      </c>
      <c r="L283" s="1" t="s">
        <v>5328</v>
      </c>
      <c r="M283" s="59">
        <v>1422</v>
      </c>
      <c r="N283" s="1" t="s">
        <v>5329</v>
      </c>
      <c r="O283" s="59">
        <v>586</v>
      </c>
      <c r="P283" s="1" t="s">
        <v>5330</v>
      </c>
      <c r="Q283" s="59">
        <v>416</v>
      </c>
      <c r="R283" s="1" t="s">
        <v>1302</v>
      </c>
      <c r="S283" s="59">
        <v>151</v>
      </c>
      <c r="T283" s="1" t="s">
        <v>7</v>
      </c>
      <c r="U283" s="59">
        <v>30</v>
      </c>
      <c r="V283" s="1" t="s">
        <v>5331</v>
      </c>
      <c r="W283" s="59">
        <v>151</v>
      </c>
      <c r="X283" s="1" t="s">
        <v>5332</v>
      </c>
      <c r="Y283" s="59">
        <v>89</v>
      </c>
      <c r="Z283" s="85" t="s">
        <v>5424</v>
      </c>
      <c r="AA283" s="88" t="s">
        <v>5455</v>
      </c>
    </row>
    <row r="284" spans="1:31" ht="22.5" customHeight="1" thickBot="1">
      <c r="A284" s="87" t="s">
        <v>5181</v>
      </c>
      <c r="C284" s="37" t="s">
        <v>5172</v>
      </c>
      <c r="D284" s="38" t="s">
        <v>5173</v>
      </c>
      <c r="E284" s="38" t="s">
        <v>5174</v>
      </c>
      <c r="F284" s="37" t="str">
        <f t="shared" si="12"/>
        <v>gift-codes.html?game=胸懷三國：美人計</v>
      </c>
      <c r="G284" s="85" t="s">
        <v>5184</v>
      </c>
      <c r="H284" s="38" t="str">
        <f t="shared" ref="H284:H311" si="13">IF(A284="", "", "https://www.ssbuy.tw/game-detail.html?game="&amp;A284)</f>
        <v>https://www.ssbuy.tw/game-detail.html?game=胸懷三國：美人計</v>
      </c>
      <c r="I284" s="39" t="s">
        <v>5187</v>
      </c>
      <c r="J284" s="1" t="s">
        <v>5274</v>
      </c>
      <c r="K284" s="59">
        <v>2717</v>
      </c>
      <c r="L284" s="1" t="s">
        <v>5275</v>
      </c>
      <c r="M284" s="59">
        <v>1388</v>
      </c>
      <c r="N284" s="1" t="s">
        <v>5276</v>
      </c>
      <c r="O284" s="59">
        <v>841</v>
      </c>
      <c r="P284" s="1" t="s">
        <v>5277</v>
      </c>
      <c r="Q284" s="59">
        <v>586</v>
      </c>
      <c r="R284" s="1" t="s">
        <v>5278</v>
      </c>
      <c r="S284" s="59">
        <v>416</v>
      </c>
      <c r="T284" s="1" t="s">
        <v>5279</v>
      </c>
      <c r="U284" s="59">
        <v>280</v>
      </c>
      <c r="V284" s="1" t="s">
        <v>5280</v>
      </c>
      <c r="W284" s="59">
        <v>146</v>
      </c>
      <c r="X284" s="1" t="s">
        <v>5281</v>
      </c>
      <c r="Y284" s="59">
        <v>30</v>
      </c>
      <c r="Z284" s="1" t="s">
        <v>5282</v>
      </c>
      <c r="AA284" s="59">
        <v>416</v>
      </c>
      <c r="AB284" s="1" t="s">
        <v>5283</v>
      </c>
      <c r="AC284" s="59">
        <v>586</v>
      </c>
      <c r="AD284" s="85" t="s">
        <v>5424</v>
      </c>
      <c r="AE284" s="88" t="s">
        <v>5455</v>
      </c>
    </row>
    <row r="285" spans="1:31" ht="22.5" customHeight="1" thickBot="1">
      <c r="A285" s="87" t="s">
        <v>5231</v>
      </c>
      <c r="C285" s="37" t="s">
        <v>5229</v>
      </c>
      <c r="D285" s="38" t="s">
        <v>5230</v>
      </c>
      <c r="E285" s="38" t="s">
        <v>5219</v>
      </c>
      <c r="F285" s="37" t="str">
        <f t="shared" si="12"/>
        <v>gift-codes.html?game=弓箭英雄：塔防</v>
      </c>
      <c r="G285" s="85" t="s">
        <v>5232</v>
      </c>
      <c r="H285" s="38" t="str">
        <f t="shared" si="13"/>
        <v>https://www.ssbuy.tw/game-detail.html?game=弓箭英雄：塔防</v>
      </c>
      <c r="I285" s="39" t="s">
        <v>5258</v>
      </c>
      <c r="J285" s="1" t="s">
        <v>5254</v>
      </c>
      <c r="K285" s="59">
        <v>2469</v>
      </c>
      <c r="L285" s="1" t="s">
        <v>1466</v>
      </c>
      <c r="M285" s="59">
        <v>1253</v>
      </c>
      <c r="N285" s="1" t="s">
        <v>1294</v>
      </c>
      <c r="O285" s="59">
        <v>501</v>
      </c>
      <c r="P285" s="1" t="s">
        <v>64</v>
      </c>
      <c r="Q285" s="59">
        <v>257</v>
      </c>
      <c r="R285" s="1" t="s">
        <v>6</v>
      </c>
      <c r="S285" s="59">
        <v>133</v>
      </c>
      <c r="T285" s="1" t="s">
        <v>5255</v>
      </c>
      <c r="U285" s="59">
        <v>27</v>
      </c>
      <c r="V285" s="85" t="s">
        <v>5424</v>
      </c>
      <c r="W285" s="88" t="s">
        <v>5455</v>
      </c>
    </row>
    <row r="286" spans="1:31" ht="22.5" customHeight="1" thickBot="1">
      <c r="A286" s="87" t="s">
        <v>5237</v>
      </c>
      <c r="C286" s="37" t="s">
        <v>5221</v>
      </c>
      <c r="D286" s="38" t="s">
        <v>5220</v>
      </c>
      <c r="E286" s="38" t="s">
        <v>5222</v>
      </c>
      <c r="F286" s="37" t="str">
        <f t="shared" si="12"/>
        <v>gift-codes.html?game=十二之天M</v>
      </c>
      <c r="G286" s="85" t="s">
        <v>5233</v>
      </c>
      <c r="H286" s="38" t="str">
        <f t="shared" si="13"/>
        <v>https://www.ssbuy.tw/game-detail.html?game=十二之天M</v>
      </c>
      <c r="I286" s="67" t="s">
        <v>5251</v>
      </c>
      <c r="J286" s="1" t="s">
        <v>5267</v>
      </c>
      <c r="K286" s="59">
        <v>2717</v>
      </c>
      <c r="L286" s="1" t="s">
        <v>5268</v>
      </c>
      <c r="M286" s="59">
        <v>1422</v>
      </c>
      <c r="N286" s="1" t="s">
        <v>5269</v>
      </c>
      <c r="O286" s="59">
        <v>840</v>
      </c>
      <c r="P286" s="1" t="s">
        <v>5270</v>
      </c>
      <c r="Q286" s="59">
        <v>416</v>
      </c>
      <c r="R286" s="1" t="s">
        <v>1536</v>
      </c>
      <c r="S286" s="59">
        <v>151</v>
      </c>
      <c r="T286" s="1" t="s">
        <v>1538</v>
      </c>
      <c r="U286" s="59">
        <v>30</v>
      </c>
      <c r="V286" s="1" t="s">
        <v>5271</v>
      </c>
      <c r="W286" s="59">
        <v>213</v>
      </c>
      <c r="X286" s="1" t="s">
        <v>5272</v>
      </c>
      <c r="Y286" s="59">
        <v>357</v>
      </c>
      <c r="Z286" s="1" t="s">
        <v>5273</v>
      </c>
      <c r="AA286" s="59">
        <v>705</v>
      </c>
      <c r="AB286" s="85" t="s">
        <v>5424</v>
      </c>
      <c r="AC286" s="88" t="s">
        <v>5455</v>
      </c>
    </row>
    <row r="287" spans="1:31" ht="22.5" customHeight="1" thickBot="1">
      <c r="A287" s="87" t="s">
        <v>5238</v>
      </c>
      <c r="C287" s="37" t="s">
        <v>5225</v>
      </c>
      <c r="D287" s="38" t="s">
        <v>5224</v>
      </c>
      <c r="E287" s="38" t="s">
        <v>5223</v>
      </c>
      <c r="F287" s="37" t="str">
        <f t="shared" si="12"/>
        <v>gift-codes.html?game=NBA巔峰對決</v>
      </c>
      <c r="G287" s="85" t="s">
        <v>5234</v>
      </c>
      <c r="H287" s="38" t="str">
        <f t="shared" si="13"/>
        <v>https://www.ssbuy.tw/game-detail.html?game=NBA巔峰對決</v>
      </c>
      <c r="I287" s="39" t="s">
        <v>5252</v>
      </c>
      <c r="J287" s="1" t="s">
        <v>5378</v>
      </c>
      <c r="K287" s="59">
        <v>2717</v>
      </c>
      <c r="L287" s="1" t="s">
        <v>5379</v>
      </c>
      <c r="M287" s="59">
        <v>1422</v>
      </c>
      <c r="N287" s="1" t="s">
        <v>5380</v>
      </c>
      <c r="O287" s="59">
        <v>840</v>
      </c>
      <c r="P287" s="1" t="s">
        <v>5381</v>
      </c>
      <c r="Q287" s="59">
        <v>586</v>
      </c>
      <c r="R287" s="1" t="s">
        <v>5382</v>
      </c>
      <c r="S287" s="59">
        <v>297</v>
      </c>
      <c r="T287" s="1" t="s">
        <v>5383</v>
      </c>
      <c r="U287" s="59">
        <v>146</v>
      </c>
      <c r="V287" s="1" t="s">
        <v>5384</v>
      </c>
      <c r="W287" s="59">
        <v>30</v>
      </c>
      <c r="X287" s="1" t="s">
        <v>5385</v>
      </c>
      <c r="Y287" s="59">
        <v>9</v>
      </c>
      <c r="Z287" s="1" t="s">
        <v>1295</v>
      </c>
      <c r="AA287" s="59">
        <v>146</v>
      </c>
      <c r="AB287" s="85" t="s">
        <v>5424</v>
      </c>
      <c r="AC287" s="88" t="s">
        <v>5455</v>
      </c>
    </row>
    <row r="288" spans="1:31" ht="22.5" customHeight="1" thickBot="1">
      <c r="A288" s="87" t="s">
        <v>5235</v>
      </c>
      <c r="C288" s="37" t="s">
        <v>5228</v>
      </c>
      <c r="D288" s="38" t="s">
        <v>5227</v>
      </c>
      <c r="E288" s="38" t="s">
        <v>5226</v>
      </c>
      <c r="F288" s="37" t="str">
        <f t="shared" si="12"/>
        <v>gift-codes.html?game=三國志：王戰</v>
      </c>
      <c r="G288" s="85" t="s">
        <v>5236</v>
      </c>
      <c r="H288" s="38" t="str">
        <f t="shared" si="13"/>
        <v>https://www.ssbuy.tw/game-detail.html?game=三國志：王戰</v>
      </c>
      <c r="I288" s="39" t="s">
        <v>5253</v>
      </c>
      <c r="J288" s="85" t="s">
        <v>5424</v>
      </c>
      <c r="K288" s="88" t="s">
        <v>5455</v>
      </c>
    </row>
    <row r="289" spans="1:31" ht="22.5" customHeight="1" thickBot="1">
      <c r="A289" s="84" t="s">
        <v>5341</v>
      </c>
      <c r="C289" s="37" t="s">
        <v>5345</v>
      </c>
      <c r="D289" s="38" t="s">
        <v>5342</v>
      </c>
      <c r="E289" s="38" t="s">
        <v>5344</v>
      </c>
      <c r="F289" s="37" t="str">
        <f t="shared" si="12"/>
        <v>gift-codes.html?game=信長 霸道</v>
      </c>
      <c r="G289" s="38" t="s">
        <v>5343</v>
      </c>
      <c r="H289" s="38" t="str">
        <f t="shared" si="13"/>
        <v>https://www.ssbuy.tw/game-detail.html?game=信長 霸道</v>
      </c>
      <c r="I289" s="39" t="s">
        <v>5356</v>
      </c>
      <c r="J289" s="1" t="s">
        <v>5346</v>
      </c>
      <c r="K289" s="59">
        <v>2086</v>
      </c>
      <c r="L289" s="1" t="s">
        <v>5347</v>
      </c>
      <c r="M289" s="59">
        <v>1051</v>
      </c>
      <c r="N289" s="1" t="s">
        <v>5348</v>
      </c>
      <c r="O289" s="59">
        <v>531</v>
      </c>
      <c r="P289" s="1" t="s">
        <v>5349</v>
      </c>
      <c r="Q289" s="59">
        <v>357</v>
      </c>
      <c r="R289" s="1" t="s">
        <v>5350</v>
      </c>
      <c r="S289" s="59">
        <v>149</v>
      </c>
      <c r="T289" s="1" t="s">
        <v>5351</v>
      </c>
      <c r="U289" s="59">
        <v>32</v>
      </c>
      <c r="V289" s="1" t="s">
        <v>5352</v>
      </c>
      <c r="W289" s="59">
        <v>1051</v>
      </c>
      <c r="X289" s="1" t="s">
        <v>5353</v>
      </c>
      <c r="Y289" s="59">
        <v>531</v>
      </c>
      <c r="Z289" s="1" t="s">
        <v>5354</v>
      </c>
      <c r="AA289" s="59">
        <v>186</v>
      </c>
      <c r="AB289" s="1" t="s">
        <v>5355</v>
      </c>
      <c r="AC289" s="59">
        <v>357</v>
      </c>
      <c r="AD289" s="85" t="s">
        <v>5424</v>
      </c>
      <c r="AE289" s="88" t="s">
        <v>5455</v>
      </c>
    </row>
    <row r="290" spans="1:31" ht="22.5" customHeight="1" thickBot="1">
      <c r="A290" s="59" t="s">
        <v>5441</v>
      </c>
      <c r="C290" s="37" t="s">
        <v>5388</v>
      </c>
      <c r="D290" s="38" t="s">
        <v>5387</v>
      </c>
      <c r="E290" s="38" t="s">
        <v>5386</v>
      </c>
      <c r="F290" s="37" t="str">
        <f t="shared" si="12"/>
        <v>gift-codes.html?game=勇者前線Versus</v>
      </c>
      <c r="G290" s="38" t="s">
        <v>5411</v>
      </c>
      <c r="H290" s="38" t="str">
        <f t="shared" si="13"/>
        <v>https://www.ssbuy.tw/game-detail.html?game=勇者前線Versus</v>
      </c>
      <c r="I290" s="39" t="s">
        <v>5448</v>
      </c>
      <c r="J290" s="2" t="s">
        <v>5425</v>
      </c>
      <c r="K290" s="88" t="s">
        <v>5455</v>
      </c>
    </row>
    <row r="291" spans="1:31" ht="22.5" customHeight="1" thickBot="1">
      <c r="A291" s="83" t="s">
        <v>5442</v>
      </c>
      <c r="C291" s="37" t="s">
        <v>5389</v>
      </c>
      <c r="D291" s="38" t="s">
        <v>5390</v>
      </c>
      <c r="E291" s="38" t="s">
        <v>5391</v>
      </c>
      <c r="F291" s="37" t="str">
        <f t="shared" si="12"/>
        <v>gift-codes.html?game=幻域方舟</v>
      </c>
      <c r="G291" s="38" t="s">
        <v>5392</v>
      </c>
      <c r="H291" s="38" t="str">
        <f t="shared" si="13"/>
        <v>https://www.ssbuy.tw/game-detail.html?game=幻域方舟</v>
      </c>
      <c r="I291" s="39" t="s">
        <v>5449</v>
      </c>
      <c r="J291" s="2" t="s">
        <v>5425</v>
      </c>
      <c r="K291" s="88" t="s">
        <v>5455</v>
      </c>
      <c r="L291" s="1" t="s">
        <v>5708</v>
      </c>
      <c r="M291" s="59">
        <v>2585</v>
      </c>
      <c r="N291" s="1" t="s">
        <v>5709</v>
      </c>
      <c r="O291" s="59">
        <v>1295</v>
      </c>
      <c r="P291" s="1" t="s">
        <v>5710</v>
      </c>
      <c r="Q291" s="59">
        <v>800</v>
      </c>
      <c r="R291" s="1" t="s">
        <v>5711</v>
      </c>
      <c r="S291" s="59">
        <v>400</v>
      </c>
      <c r="T291" s="1" t="s">
        <v>5712</v>
      </c>
      <c r="U291" s="59">
        <v>139</v>
      </c>
      <c r="V291" s="1" t="s">
        <v>5713</v>
      </c>
      <c r="W291" s="59">
        <v>29</v>
      </c>
      <c r="X291" s="1" t="s">
        <v>5714</v>
      </c>
      <c r="Y291" s="59">
        <v>533</v>
      </c>
      <c r="Z291" s="1" t="s">
        <v>5715</v>
      </c>
      <c r="AA291" s="59">
        <v>139</v>
      </c>
    </row>
    <row r="292" spans="1:31" ht="22.5" customHeight="1" thickBot="1">
      <c r="A292" s="83" t="s">
        <v>5443</v>
      </c>
      <c r="C292" s="37" t="s">
        <v>5393</v>
      </c>
      <c r="D292" s="38" t="s">
        <v>5394</v>
      </c>
      <c r="E292" s="38" t="s">
        <v>5395</v>
      </c>
      <c r="F292" s="37" t="str">
        <f t="shared" si="12"/>
        <v>gift-codes.html?game=開天</v>
      </c>
      <c r="G292" s="38" t="s">
        <v>5396</v>
      </c>
      <c r="H292" s="38" t="str">
        <f t="shared" si="13"/>
        <v>https://www.ssbuy.tw/game-detail.html?game=開天</v>
      </c>
      <c r="I292" s="39" t="s">
        <v>5450</v>
      </c>
      <c r="J292" s="2" t="s">
        <v>5425</v>
      </c>
      <c r="K292" s="88" t="s">
        <v>5455</v>
      </c>
      <c r="L292" s="1" t="s">
        <v>1514</v>
      </c>
      <c r="M292" s="59">
        <v>2717</v>
      </c>
      <c r="N292" s="1" t="s">
        <v>5412</v>
      </c>
      <c r="O292" s="59">
        <v>2095</v>
      </c>
      <c r="P292" s="1" t="s">
        <v>1515</v>
      </c>
      <c r="Q292" s="59">
        <v>1388</v>
      </c>
      <c r="R292" s="1" t="s">
        <v>5413</v>
      </c>
      <c r="S292" s="59">
        <v>1194</v>
      </c>
      <c r="T292" s="1" t="s">
        <v>5414</v>
      </c>
      <c r="U292" s="59">
        <v>840</v>
      </c>
      <c r="V292" s="1" t="s">
        <v>5415</v>
      </c>
      <c r="W292" s="59">
        <v>815</v>
      </c>
      <c r="X292" s="1" t="s">
        <v>5416</v>
      </c>
      <c r="Y292" s="59">
        <v>756</v>
      </c>
      <c r="Z292" s="1" t="s">
        <v>1630</v>
      </c>
      <c r="AA292" s="59">
        <v>280</v>
      </c>
      <c r="AB292" s="1" t="s">
        <v>318</v>
      </c>
      <c r="AC292" s="59">
        <v>146</v>
      </c>
    </row>
    <row r="293" spans="1:31" ht="22.5" customHeight="1" thickBot="1">
      <c r="A293" s="83" t="s">
        <v>5444</v>
      </c>
      <c r="C293" s="37" t="s">
        <v>5397</v>
      </c>
      <c r="D293" s="38" t="s">
        <v>5400</v>
      </c>
      <c r="E293" s="38" t="s">
        <v>5399</v>
      </c>
      <c r="F293" s="37" t="str">
        <f t="shared" si="12"/>
        <v>gift-codes.html?game=人人有功練：腸仔江湖見</v>
      </c>
      <c r="G293" s="38" t="s">
        <v>5398</v>
      </c>
      <c r="H293" s="38" t="str">
        <f t="shared" si="13"/>
        <v>https://www.ssbuy.tw/game-detail.html?game=人人有功練：腸仔江湖見</v>
      </c>
      <c r="I293" s="39" t="s">
        <v>5451</v>
      </c>
      <c r="J293" s="2" t="s">
        <v>5425</v>
      </c>
      <c r="K293" s="88" t="s">
        <v>5455</v>
      </c>
      <c r="L293" s="1" t="s">
        <v>5417</v>
      </c>
      <c r="M293" s="59">
        <v>2717</v>
      </c>
      <c r="N293" s="1" t="s">
        <v>5418</v>
      </c>
      <c r="O293" s="59">
        <v>1422</v>
      </c>
      <c r="P293" s="1" t="s">
        <v>5419</v>
      </c>
      <c r="Q293" s="59">
        <v>840</v>
      </c>
      <c r="R293" s="1" t="s">
        <v>5420</v>
      </c>
      <c r="S293" s="59">
        <v>620</v>
      </c>
      <c r="T293" s="1" t="s">
        <v>5421</v>
      </c>
      <c r="U293" s="59">
        <v>318</v>
      </c>
      <c r="V293" s="1" t="s">
        <v>5422</v>
      </c>
      <c r="W293" s="59">
        <v>151</v>
      </c>
      <c r="X293" s="1" t="s">
        <v>5423</v>
      </c>
      <c r="Y293" s="59">
        <v>30</v>
      </c>
    </row>
    <row r="294" spans="1:31" ht="22.5" customHeight="1" thickBot="1">
      <c r="A294" s="83" t="s">
        <v>5445</v>
      </c>
      <c r="C294" s="38" t="s">
        <v>5403</v>
      </c>
      <c r="D294" s="38" t="s">
        <v>5403</v>
      </c>
      <c r="E294" s="38" t="s">
        <v>5401</v>
      </c>
      <c r="F294" s="37" t="str">
        <f t="shared" si="12"/>
        <v>gift-codes.html?game=楓之谷：放置冒險記</v>
      </c>
      <c r="G294" s="38" t="s">
        <v>5402</v>
      </c>
      <c r="H294" s="38" t="str">
        <f t="shared" si="13"/>
        <v>https://www.ssbuy.tw/game-detail.html?game=楓之谷：放置冒險記</v>
      </c>
      <c r="I294" s="39" t="s">
        <v>5452</v>
      </c>
      <c r="J294" s="2" t="s">
        <v>5425</v>
      </c>
      <c r="K294" s="88" t="s">
        <v>5455</v>
      </c>
      <c r="L294" s="1" t="s">
        <v>5426</v>
      </c>
      <c r="M294" s="59">
        <v>2469</v>
      </c>
      <c r="N294" s="1" t="s">
        <v>5427</v>
      </c>
      <c r="O294" s="59">
        <v>1253</v>
      </c>
      <c r="P294" s="1" t="s">
        <v>5428</v>
      </c>
      <c r="Q294" s="59">
        <v>1085</v>
      </c>
      <c r="R294" s="1" t="s">
        <v>5429</v>
      </c>
      <c r="S294" s="59">
        <v>840</v>
      </c>
      <c r="T294" s="1" t="s">
        <v>5430</v>
      </c>
      <c r="U294" s="59">
        <v>569</v>
      </c>
      <c r="V294" s="1" t="s">
        <v>5431</v>
      </c>
      <c r="W294" s="59">
        <v>272</v>
      </c>
      <c r="X294" s="1" t="s">
        <v>5432</v>
      </c>
      <c r="Y294" s="59">
        <v>195</v>
      </c>
      <c r="Z294" s="1" t="s">
        <v>5433</v>
      </c>
      <c r="AA294" s="59">
        <v>106</v>
      </c>
    </row>
    <row r="295" spans="1:31" ht="22.5" customHeight="1" thickBot="1">
      <c r="A295" s="59" t="s">
        <v>5446</v>
      </c>
      <c r="C295" s="37" t="s">
        <v>5410</v>
      </c>
      <c r="D295" s="38" t="s">
        <v>5409</v>
      </c>
      <c r="E295" s="38" t="s">
        <v>5405</v>
      </c>
      <c r="F295" s="37" t="str">
        <f t="shared" si="12"/>
        <v>gift-codes.html?game=Shiba Wars：Goddess Link TD</v>
      </c>
      <c r="G295" s="38" t="s">
        <v>5404</v>
      </c>
      <c r="H295" s="38" t="str">
        <f t="shared" si="13"/>
        <v>https://www.ssbuy.tw/game-detail.html?game=Shiba Wars：Goddess Link TD</v>
      </c>
      <c r="I295" s="39" t="s">
        <v>5453</v>
      </c>
      <c r="J295" s="2" t="s">
        <v>5425</v>
      </c>
      <c r="K295" s="88" t="s">
        <v>5455</v>
      </c>
      <c r="L295" s="1" t="s">
        <v>5434</v>
      </c>
      <c r="M295" s="59">
        <v>1926</v>
      </c>
      <c r="N295" s="1" t="s">
        <v>5435</v>
      </c>
      <c r="O295" s="59">
        <v>1253</v>
      </c>
      <c r="P295" s="1" t="s">
        <v>5436</v>
      </c>
      <c r="Q295" s="59">
        <v>586</v>
      </c>
      <c r="R295" s="1" t="s">
        <v>5437</v>
      </c>
      <c r="S295" s="59">
        <v>272</v>
      </c>
      <c r="T295" s="1" t="s">
        <v>5438</v>
      </c>
      <c r="U295" s="59">
        <v>195</v>
      </c>
      <c r="V295" s="1" t="s">
        <v>5439</v>
      </c>
      <c r="W295" s="59">
        <v>82</v>
      </c>
      <c r="X295" s="1" t="s">
        <v>5440</v>
      </c>
      <c r="Y295" s="59">
        <v>55</v>
      </c>
      <c r="Z295" s="1" t="s">
        <v>3730</v>
      </c>
      <c r="AA295" s="59">
        <v>331</v>
      </c>
    </row>
    <row r="296" spans="1:31" ht="22.5" customHeight="1" thickBot="1">
      <c r="A296" s="83" t="s">
        <v>5447</v>
      </c>
      <c r="C296" s="37" t="s">
        <v>5406</v>
      </c>
      <c r="D296" s="38" t="s">
        <v>5489</v>
      </c>
      <c r="E296" s="38" t="s">
        <v>5407</v>
      </c>
      <c r="F296" s="37" t="str">
        <f t="shared" si="12"/>
        <v>gift-codes.html?game=熱血江湖：福利加強版</v>
      </c>
      <c r="G296" s="38" t="s">
        <v>5408</v>
      </c>
      <c r="H296" s="38" t="str">
        <f t="shared" si="13"/>
        <v>https://www.ssbuy.tw/game-detail.html?game=熱血江湖：福利加強版</v>
      </c>
      <c r="I296" s="39" t="s">
        <v>5454</v>
      </c>
      <c r="J296" s="2" t="s">
        <v>5425</v>
      </c>
      <c r="K296" s="88" t="s">
        <v>5455</v>
      </c>
      <c r="L296" s="1" t="s">
        <v>4889</v>
      </c>
      <c r="M296" s="59">
        <v>2763</v>
      </c>
      <c r="N296" s="1" t="s">
        <v>204</v>
      </c>
      <c r="O296" s="59">
        <v>1446</v>
      </c>
      <c r="P296" s="1" t="s">
        <v>4890</v>
      </c>
      <c r="Q296" s="59">
        <v>855</v>
      </c>
      <c r="R296" s="1" t="s">
        <v>4447</v>
      </c>
      <c r="S296" s="59">
        <v>578</v>
      </c>
      <c r="T296" s="1" t="s">
        <v>4891</v>
      </c>
      <c r="U296" s="59">
        <v>423</v>
      </c>
      <c r="V296" s="1" t="s">
        <v>205</v>
      </c>
      <c r="W296" s="59">
        <v>285</v>
      </c>
      <c r="X296" s="1" t="s">
        <v>239</v>
      </c>
      <c r="Y296" s="59">
        <v>153</v>
      </c>
      <c r="Z296" s="1" t="s">
        <v>240</v>
      </c>
      <c r="AA296" s="59">
        <v>31</v>
      </c>
    </row>
    <row r="297" spans="1:31" ht="22.5" customHeight="1" thickBot="1">
      <c r="A297" s="37" t="s">
        <v>5513</v>
      </c>
      <c r="C297" s="37" t="s">
        <v>5490</v>
      </c>
      <c r="D297" s="37" t="s">
        <v>5490</v>
      </c>
      <c r="E297" s="38" t="s">
        <v>5491</v>
      </c>
      <c r="F297" s="37" t="str">
        <f t="shared" si="12"/>
        <v>gift-codes.html?game=熱血主公Go</v>
      </c>
      <c r="G297" s="2" t="s">
        <v>5500</v>
      </c>
      <c r="H297" s="38" t="str">
        <f t="shared" si="13"/>
        <v>https://www.ssbuy.tw/game-detail.html?game=熱血主公Go</v>
      </c>
      <c r="I297" s="39" t="s">
        <v>5501</v>
      </c>
      <c r="J297" s="2" t="s">
        <v>5425</v>
      </c>
      <c r="K297" s="88" t="s">
        <v>5455</v>
      </c>
      <c r="L297" s="1" t="s">
        <v>5502</v>
      </c>
      <c r="M297" s="59">
        <v>2511</v>
      </c>
      <c r="N297" s="1" t="s">
        <v>5503</v>
      </c>
      <c r="O297" s="59">
        <v>1275</v>
      </c>
      <c r="P297" s="1" t="s">
        <v>5504</v>
      </c>
      <c r="Q297" s="59">
        <v>855</v>
      </c>
      <c r="R297" s="1" t="s">
        <v>5505</v>
      </c>
      <c r="S297" s="59">
        <v>423</v>
      </c>
      <c r="T297" s="1" t="s">
        <v>5506</v>
      </c>
      <c r="U297" s="59">
        <v>153</v>
      </c>
      <c r="V297" s="1" t="s">
        <v>5507</v>
      </c>
      <c r="W297" s="59">
        <v>31</v>
      </c>
    </row>
    <row r="298" spans="1:31" ht="22.5" customHeight="1" thickBot="1">
      <c r="A298" s="83" t="s">
        <v>5549</v>
      </c>
      <c r="C298" s="37" t="s">
        <v>5535</v>
      </c>
      <c r="D298" s="38" t="s">
        <v>5537</v>
      </c>
      <c r="E298" s="38" t="s">
        <v>5536</v>
      </c>
      <c r="F298" s="37" t="str">
        <f t="shared" si="12"/>
        <v>gift-codes.html?game=歡迎來到夢樂園</v>
      </c>
      <c r="G298" s="2" t="s">
        <v>5553</v>
      </c>
      <c r="H298" s="38" t="str">
        <f t="shared" si="13"/>
        <v>https://www.ssbuy.tw/game-detail.html?game=歡迎來到夢樂園</v>
      </c>
      <c r="I298" s="39" t="s">
        <v>5554</v>
      </c>
      <c r="J298" s="2" t="s">
        <v>5425</v>
      </c>
      <c r="K298" s="88" t="s">
        <v>5455</v>
      </c>
      <c r="L298" s="1" t="s">
        <v>5558</v>
      </c>
      <c r="M298" s="59">
        <v>2763</v>
      </c>
      <c r="N298" s="1" t="s">
        <v>5559</v>
      </c>
      <c r="O298" s="59">
        <v>1446</v>
      </c>
      <c r="P298" s="1" t="s">
        <v>5560</v>
      </c>
      <c r="Q298" s="59">
        <v>751</v>
      </c>
      <c r="R298" s="1" t="s">
        <v>5561</v>
      </c>
      <c r="S298" s="59">
        <v>371</v>
      </c>
      <c r="T298" s="1" t="s">
        <v>5562</v>
      </c>
      <c r="U298" s="59">
        <v>319</v>
      </c>
      <c r="V298" s="1" t="s">
        <v>5563</v>
      </c>
      <c r="W298" s="59">
        <v>117</v>
      </c>
      <c r="X298" s="1" t="s">
        <v>5564</v>
      </c>
      <c r="Y298" s="59">
        <v>46</v>
      </c>
      <c r="Z298" s="1" t="s">
        <v>5565</v>
      </c>
      <c r="AA298" s="59">
        <v>117</v>
      </c>
      <c r="AB298" s="1" t="s">
        <v>5566</v>
      </c>
      <c r="AC298" s="59">
        <v>90</v>
      </c>
      <c r="AD298" s="1" t="s">
        <v>98</v>
      </c>
      <c r="AE298" s="59">
        <v>319</v>
      </c>
    </row>
    <row r="299" spans="1:31" ht="22.5" customHeight="1" thickBot="1">
      <c r="A299" s="59" t="s">
        <v>5550</v>
      </c>
      <c r="C299" s="37" t="s">
        <v>5540</v>
      </c>
      <c r="D299" s="38" t="s">
        <v>5539</v>
      </c>
      <c r="E299" s="38" t="s">
        <v>5541</v>
      </c>
      <c r="F299" s="37" t="str">
        <f t="shared" si="12"/>
        <v>gift-codes.html?game=Cryowar</v>
      </c>
      <c r="G299" s="38" t="s">
        <v>5538</v>
      </c>
      <c r="H299" s="38" t="str">
        <f t="shared" si="13"/>
        <v>https://www.ssbuy.tw/game-detail.html?game=Cryowar</v>
      </c>
      <c r="I299" s="39" t="s">
        <v>5555</v>
      </c>
      <c r="J299" s="2" t="s">
        <v>5425</v>
      </c>
      <c r="K299" s="88" t="s">
        <v>5455</v>
      </c>
    </row>
    <row r="300" spans="1:31" ht="22.5" customHeight="1" thickBot="1">
      <c r="A300" s="83" t="s">
        <v>5551</v>
      </c>
      <c r="C300" s="37" t="s">
        <v>5544</v>
      </c>
      <c r="D300" s="38" t="s">
        <v>5545</v>
      </c>
      <c r="E300" s="38" t="s">
        <v>5543</v>
      </c>
      <c r="F300" s="37" t="str">
        <f t="shared" si="12"/>
        <v>gift-codes.html?game=深岩銀河：倖存者</v>
      </c>
      <c r="G300" s="38" t="s">
        <v>5542</v>
      </c>
      <c r="H300" s="38" t="str">
        <f t="shared" si="13"/>
        <v>https://www.ssbuy.tw/game-detail.html?game=深岩銀河：倖存者</v>
      </c>
      <c r="I300" s="39" t="s">
        <v>5556</v>
      </c>
      <c r="J300" s="2" t="s">
        <v>5425</v>
      </c>
      <c r="K300" s="88" t="s">
        <v>5455</v>
      </c>
    </row>
    <row r="301" spans="1:31" ht="22.5" customHeight="1" thickBot="1">
      <c r="A301" s="93" t="s">
        <v>5552</v>
      </c>
      <c r="C301" s="92" t="s">
        <v>5548</v>
      </c>
      <c r="D301" s="38" t="s">
        <v>3688</v>
      </c>
      <c r="E301" s="38" t="s">
        <v>5546</v>
      </c>
      <c r="F301" s="37" t="str">
        <f t="shared" si="12"/>
        <v>gift-codes.html?game=熱血排球少女</v>
      </c>
      <c r="G301" s="38" t="s">
        <v>5547</v>
      </c>
      <c r="H301" s="38" t="str">
        <f t="shared" si="13"/>
        <v>https://www.ssbuy.tw/game-detail.html?game=熱血排球少女</v>
      </c>
      <c r="I301" s="39" t="s">
        <v>5557</v>
      </c>
      <c r="J301" s="2" t="s">
        <v>5425</v>
      </c>
      <c r="K301" s="88" t="s">
        <v>5455</v>
      </c>
      <c r="L301" s="1" t="s">
        <v>5567</v>
      </c>
      <c r="M301" s="59">
        <v>1959</v>
      </c>
      <c r="N301" s="1" t="s">
        <v>5568</v>
      </c>
      <c r="O301" s="59">
        <v>1104</v>
      </c>
      <c r="P301" s="1" t="s">
        <v>5569</v>
      </c>
      <c r="Q301" s="59">
        <v>682</v>
      </c>
      <c r="R301" s="1" t="s">
        <v>5570</v>
      </c>
      <c r="S301" s="59">
        <v>262</v>
      </c>
      <c r="T301" s="1" t="s">
        <v>5571</v>
      </c>
      <c r="U301" s="59">
        <v>108</v>
      </c>
      <c r="V301" s="1" t="s">
        <v>5572</v>
      </c>
      <c r="W301" s="59">
        <v>1104</v>
      </c>
      <c r="X301" s="1" t="s">
        <v>5573</v>
      </c>
      <c r="Y301" s="59">
        <v>276</v>
      </c>
      <c r="Z301" s="1" t="s">
        <v>5574</v>
      </c>
      <c r="AA301" s="59">
        <v>108</v>
      </c>
    </row>
    <row r="302" spans="1:31" ht="22.5" customHeight="1" thickBot="1">
      <c r="A302" s="59" t="s">
        <v>5626</v>
      </c>
      <c r="C302" s="37" t="s">
        <v>5580</v>
      </c>
      <c r="D302" s="38" t="s">
        <v>5579</v>
      </c>
      <c r="E302" s="38" t="s">
        <v>5577</v>
      </c>
      <c r="F302" s="37" t="str">
        <f t="shared" si="12"/>
        <v>gift-codes.html?game=Jetpack Joyride Racing</v>
      </c>
      <c r="G302" s="38" t="s">
        <v>5578</v>
      </c>
      <c r="H302" s="38" t="str">
        <f t="shared" si="13"/>
        <v>https://www.ssbuy.tw/game-detail.html?game=Jetpack Joyride Racing</v>
      </c>
      <c r="I302" s="39" t="s">
        <v>5630</v>
      </c>
      <c r="J302" s="2" t="s">
        <v>5425</v>
      </c>
      <c r="K302" s="88" t="s">
        <v>5455</v>
      </c>
      <c r="L302" s="1" t="s">
        <v>5610</v>
      </c>
      <c r="M302" s="59">
        <v>864</v>
      </c>
      <c r="N302" s="1" t="s">
        <v>107</v>
      </c>
      <c r="O302" s="59">
        <v>84</v>
      </c>
    </row>
    <row r="303" spans="1:31" ht="22.5" customHeight="1" thickBot="1">
      <c r="A303" s="83" t="s">
        <v>5627</v>
      </c>
      <c r="C303" s="37" t="s">
        <v>5584</v>
      </c>
      <c r="D303" s="38" t="s">
        <v>5583</v>
      </c>
      <c r="E303" s="38" t="s">
        <v>5581</v>
      </c>
      <c r="F303" s="37" t="str">
        <f t="shared" si="12"/>
        <v>gift-codes.html?game=三國格子爭奪戰</v>
      </c>
      <c r="G303" s="38" t="s">
        <v>5582</v>
      </c>
      <c r="H303" s="38" t="str">
        <f t="shared" si="13"/>
        <v>https://www.ssbuy.tw/game-detail.html?game=三國格子爭奪戰</v>
      </c>
      <c r="I303" s="39" t="s">
        <v>5631</v>
      </c>
      <c r="J303" s="2" t="s">
        <v>5425</v>
      </c>
      <c r="K303" s="88" t="s">
        <v>5455</v>
      </c>
      <c r="L303" s="1" t="s">
        <v>5008</v>
      </c>
      <c r="M303" s="59">
        <v>2793</v>
      </c>
      <c r="N303" s="1" t="s">
        <v>5009</v>
      </c>
      <c r="O303" s="59">
        <v>1462</v>
      </c>
      <c r="P303" s="1" t="s">
        <v>5010</v>
      </c>
      <c r="Q303" s="59">
        <v>585</v>
      </c>
      <c r="R303" s="1" t="s">
        <v>5011</v>
      </c>
      <c r="S303" s="59">
        <v>288</v>
      </c>
      <c r="T303" s="1" t="s">
        <v>5012</v>
      </c>
      <c r="U303" s="59">
        <v>155</v>
      </c>
      <c r="V303" s="1" t="s">
        <v>1377</v>
      </c>
      <c r="W303" s="59">
        <v>31</v>
      </c>
    </row>
    <row r="304" spans="1:31" ht="22.5" customHeight="1" thickBot="1">
      <c r="A304" s="83" t="s">
        <v>5628</v>
      </c>
      <c r="C304" s="37" t="s">
        <v>5587</v>
      </c>
      <c r="D304" s="38" t="s">
        <v>5586</v>
      </c>
      <c r="E304" s="38" t="s">
        <v>5588</v>
      </c>
      <c r="F304" s="37" t="str">
        <f t="shared" si="12"/>
        <v>gift-codes.html?game=貓茶小當家：掌櫃養成記</v>
      </c>
      <c r="G304" s="38" t="s">
        <v>5585</v>
      </c>
      <c r="H304" s="38" t="str">
        <f t="shared" si="13"/>
        <v>https://www.ssbuy.tw/game-detail.html?game=貓茶小當家：掌櫃養成記</v>
      </c>
      <c r="I304" s="39" t="s">
        <v>5632</v>
      </c>
      <c r="J304" s="2" t="s">
        <v>5425</v>
      </c>
      <c r="K304" s="88" t="s">
        <v>5455</v>
      </c>
      <c r="L304" s="1" t="s">
        <v>5685</v>
      </c>
      <c r="M304" s="59">
        <v>2539</v>
      </c>
      <c r="N304" s="1" t="s">
        <v>5686</v>
      </c>
      <c r="O304" s="59">
        <v>1289</v>
      </c>
      <c r="P304" s="1" t="s">
        <v>5687</v>
      </c>
      <c r="Q304" s="59">
        <v>864</v>
      </c>
      <c r="R304" s="1" t="s">
        <v>5688</v>
      </c>
      <c r="S304" s="59">
        <v>602</v>
      </c>
      <c r="T304" s="1" t="s">
        <v>5689</v>
      </c>
      <c r="U304" s="59">
        <v>279</v>
      </c>
      <c r="V304" s="1" t="s">
        <v>5690</v>
      </c>
      <c r="W304" s="59">
        <v>56</v>
      </c>
      <c r="X304" s="1"/>
      <c r="Y304" s="59"/>
      <c r="Z304" s="1"/>
      <c r="AA304" s="59"/>
      <c r="AB304" s="1"/>
      <c r="AC304" s="59"/>
    </row>
    <row r="305" spans="1:31" ht="22.5" customHeight="1" thickBot="1">
      <c r="A305" s="59" t="s">
        <v>5575</v>
      </c>
      <c r="C305" s="37" t="s">
        <v>5595</v>
      </c>
      <c r="D305" s="38" t="s">
        <v>5591</v>
      </c>
      <c r="E305" s="38" t="s">
        <v>5589</v>
      </c>
      <c r="F305" s="37" t="str">
        <f t="shared" si="12"/>
        <v>gift-codes.html?game=Viladia：精靈村的時光</v>
      </c>
      <c r="G305" s="38" t="s">
        <v>5590</v>
      </c>
      <c r="H305" s="38" t="str">
        <f t="shared" si="13"/>
        <v>https://www.ssbuy.tw/game-detail.html?game=Viladia：精靈村的時光</v>
      </c>
      <c r="I305" s="39" t="s">
        <v>5633</v>
      </c>
      <c r="J305" s="2" t="s">
        <v>5425</v>
      </c>
      <c r="K305" s="88" t="s">
        <v>5458</v>
      </c>
      <c r="L305" s="1" t="s">
        <v>1268</v>
      </c>
      <c r="M305" s="59">
        <v>2539</v>
      </c>
      <c r="N305" s="1" t="s">
        <v>5636</v>
      </c>
      <c r="O305" s="59">
        <v>1116</v>
      </c>
      <c r="P305" s="1" t="s">
        <v>65</v>
      </c>
      <c r="Q305" s="59">
        <v>602</v>
      </c>
      <c r="R305" s="1" t="s">
        <v>1327</v>
      </c>
      <c r="S305" s="59">
        <v>279</v>
      </c>
      <c r="T305" s="1" t="s">
        <v>5637</v>
      </c>
      <c r="U305" s="59">
        <v>137</v>
      </c>
      <c r="V305" s="1" t="s">
        <v>5638</v>
      </c>
      <c r="W305" s="59">
        <v>56</v>
      </c>
    </row>
    <row r="306" spans="1:31" ht="22.5" customHeight="1" thickBot="1">
      <c r="A306" s="59" t="s">
        <v>5576</v>
      </c>
      <c r="C306" s="37" t="s">
        <v>5594</v>
      </c>
      <c r="D306" s="38" t="s">
        <v>5592</v>
      </c>
      <c r="E306" s="38" t="s">
        <v>5593</v>
      </c>
      <c r="F306" s="37" t="str">
        <f t="shared" si="12"/>
        <v>gift-codes.html?game=G9：特功聯盟</v>
      </c>
      <c r="G306" s="2" t="s">
        <v>5629</v>
      </c>
      <c r="H306" s="38" t="str">
        <f t="shared" si="13"/>
        <v>https://www.ssbuy.tw/game-detail.html?game=G9：特功聯盟</v>
      </c>
      <c r="I306" s="39" t="s">
        <v>5634</v>
      </c>
      <c r="J306" s="2" t="s">
        <v>5425</v>
      </c>
      <c r="K306" s="88" t="s">
        <v>5455</v>
      </c>
      <c r="L306" s="1" t="s">
        <v>5691</v>
      </c>
      <c r="M306" s="59">
        <v>2793</v>
      </c>
      <c r="N306" s="1" t="s">
        <v>5692</v>
      </c>
      <c r="O306" s="59">
        <v>1462</v>
      </c>
      <c r="P306" s="1" t="s">
        <v>5693</v>
      </c>
      <c r="Q306" s="59">
        <v>585</v>
      </c>
      <c r="R306" s="1" t="s">
        <v>5694</v>
      </c>
      <c r="S306" s="59">
        <v>288</v>
      </c>
      <c r="T306" s="1" t="s">
        <v>5695</v>
      </c>
      <c r="U306" s="59">
        <v>155</v>
      </c>
      <c r="V306" s="1" t="s">
        <v>5696</v>
      </c>
      <c r="W306" s="59">
        <v>31</v>
      </c>
      <c r="X306" s="1" t="s">
        <v>5697</v>
      </c>
      <c r="Y306" s="59">
        <v>288</v>
      </c>
      <c r="Z306" s="1" t="s">
        <v>5698</v>
      </c>
      <c r="AA306" s="59">
        <v>93</v>
      </c>
    </row>
    <row r="307" spans="1:31" ht="22.5" customHeight="1" thickBot="1">
      <c r="A307" s="59" t="s">
        <v>5654</v>
      </c>
      <c r="C307" s="37" t="s">
        <v>5640</v>
      </c>
      <c r="D307" s="38" t="s">
        <v>5646</v>
      </c>
      <c r="E307" s="38" t="s">
        <v>5647</v>
      </c>
      <c r="F307" s="37" t="str">
        <f t="shared" si="12"/>
        <v>gift-codes.html?game=AION2</v>
      </c>
      <c r="G307" s="38" t="s">
        <v>5648</v>
      </c>
      <c r="H307" s="38" t="str">
        <f t="shared" si="13"/>
        <v>https://www.ssbuy.tw/game-detail.html?game=AION2</v>
      </c>
      <c r="I307" s="39" t="s">
        <v>5671</v>
      </c>
      <c r="J307" s="2" t="s">
        <v>5425</v>
      </c>
      <c r="K307" s="88" t="s">
        <v>5455</v>
      </c>
    </row>
    <row r="308" spans="1:31" ht="22.5" customHeight="1" thickBot="1">
      <c r="A308" s="59" t="s">
        <v>5655</v>
      </c>
      <c r="C308" s="37" t="s">
        <v>5641</v>
      </c>
      <c r="D308" s="38" t="s">
        <v>5649</v>
      </c>
      <c r="E308" s="38" t="s">
        <v>5651</v>
      </c>
      <c r="F308" s="37" t="str">
        <f t="shared" si="12"/>
        <v>gift-codes.html?game=信長之野望 真戰</v>
      </c>
      <c r="G308" s="38" t="s">
        <v>5650</v>
      </c>
      <c r="H308" s="38" t="str">
        <f t="shared" si="13"/>
        <v>https://www.ssbuy.tw/game-detail.html?game=信長之野望 真戰</v>
      </c>
      <c r="I308" s="39" t="s">
        <v>5672</v>
      </c>
      <c r="J308" s="2" t="s">
        <v>5425</v>
      </c>
      <c r="K308" s="88" t="s">
        <v>5455</v>
      </c>
      <c r="L308" s="1" t="s">
        <v>5662</v>
      </c>
      <c r="M308" s="59">
        <v>2793</v>
      </c>
      <c r="N308" s="1" t="s">
        <v>5663</v>
      </c>
      <c r="O308" s="59">
        <v>1462</v>
      </c>
      <c r="P308" s="1" t="s">
        <v>5664</v>
      </c>
      <c r="Q308" s="59">
        <v>864</v>
      </c>
      <c r="R308" s="1" t="s">
        <v>5665</v>
      </c>
      <c r="S308" s="59">
        <v>428</v>
      </c>
      <c r="T308" s="1" t="s">
        <v>5666</v>
      </c>
      <c r="U308" s="59">
        <v>155</v>
      </c>
      <c r="V308" s="1" t="s">
        <v>5667</v>
      </c>
      <c r="W308" s="59">
        <v>31</v>
      </c>
      <c r="X308" s="1" t="s">
        <v>5668</v>
      </c>
      <c r="Y308" s="59">
        <v>2793</v>
      </c>
      <c r="Z308" s="1" t="s">
        <v>5669</v>
      </c>
      <c r="AA308" s="59">
        <v>1462</v>
      </c>
      <c r="AB308" s="94" t="s">
        <v>5670</v>
      </c>
      <c r="AC308" s="59">
        <v>864</v>
      </c>
    </row>
    <row r="309" spans="1:31" ht="22.5" customHeight="1" thickBot="1">
      <c r="A309" s="59" t="s">
        <v>5656</v>
      </c>
      <c r="C309" s="37" t="s">
        <v>5642</v>
      </c>
      <c r="D309" s="38" t="s">
        <v>5652</v>
      </c>
      <c r="E309" s="38" t="s">
        <v>5653</v>
      </c>
      <c r="F309" s="37" t="str">
        <f t="shared" si="12"/>
        <v>gift-codes.html?game=BLEACH：刀鳴</v>
      </c>
      <c r="G309" s="38" t="s">
        <v>5645</v>
      </c>
      <c r="H309" s="38" t="str">
        <f t="shared" si="13"/>
        <v>https://www.ssbuy.tw/game-detail.html?game=BLEACH：刀鳴</v>
      </c>
      <c r="I309" s="39" t="s">
        <v>5673</v>
      </c>
      <c r="J309" s="2" t="s">
        <v>5425</v>
      </c>
      <c r="K309" s="88" t="s">
        <v>5455</v>
      </c>
    </row>
    <row r="310" spans="1:31" ht="22.5" customHeight="1" thickBot="1">
      <c r="A310" s="83" t="s">
        <v>5657</v>
      </c>
      <c r="C310" s="37" t="s">
        <v>5643</v>
      </c>
      <c r="D310" s="38" t="s">
        <v>5639</v>
      </c>
      <c r="E310" s="38" t="s">
        <v>5644</v>
      </c>
      <c r="F310" s="37" t="str">
        <f t="shared" si="12"/>
        <v>gift-codes.html?game=不朽龍裔</v>
      </c>
      <c r="G310" s="2" t="s">
        <v>5658</v>
      </c>
      <c r="H310" s="38" t="str">
        <f t="shared" si="13"/>
        <v>https://www.ssbuy.tw/game-detail.html?game=不朽龍裔</v>
      </c>
      <c r="I310" s="39" t="s">
        <v>5674</v>
      </c>
      <c r="J310" s="2" t="s">
        <v>5425</v>
      </c>
      <c r="K310" s="88" t="s">
        <v>5455</v>
      </c>
      <c r="L310" s="1" t="s">
        <v>4988</v>
      </c>
      <c r="M310" s="59">
        <v>2793</v>
      </c>
      <c r="N310" s="1" t="s">
        <v>1676</v>
      </c>
      <c r="O310" s="59">
        <v>1462</v>
      </c>
      <c r="P310" s="1" t="s">
        <v>5659</v>
      </c>
      <c r="Q310" s="59">
        <v>1202</v>
      </c>
      <c r="R310" s="1" t="s">
        <v>151</v>
      </c>
      <c r="S310" s="59">
        <v>864</v>
      </c>
      <c r="T310" s="1" t="s">
        <v>5660</v>
      </c>
      <c r="U310" s="59">
        <v>733</v>
      </c>
      <c r="V310" s="1" t="s">
        <v>5661</v>
      </c>
      <c r="W310" s="59">
        <v>559</v>
      </c>
      <c r="X310" s="1" t="s">
        <v>153</v>
      </c>
      <c r="Y310" s="59">
        <v>428</v>
      </c>
      <c r="Z310" s="1" t="s">
        <v>1680</v>
      </c>
      <c r="AA310" s="59">
        <v>288</v>
      </c>
      <c r="AB310" s="1" t="s">
        <v>1682</v>
      </c>
      <c r="AC310" s="59">
        <v>155</v>
      </c>
      <c r="AD310" s="1" t="s">
        <v>1683</v>
      </c>
      <c r="AE310" s="59">
        <v>31</v>
      </c>
    </row>
    <row r="311" spans="1:31" ht="22.5" customHeight="1" thickBot="1">
      <c r="A311" s="37" t="s">
        <v>5702</v>
      </c>
      <c r="C311" s="37" t="s">
        <v>5701</v>
      </c>
      <c r="D311" s="38" t="s">
        <v>5700</v>
      </c>
      <c r="E311" s="38" t="s">
        <v>5699</v>
      </c>
      <c r="F311" s="37" t="str">
        <f t="shared" si="12"/>
        <v>gift-codes.html?game=NBA籃球世界</v>
      </c>
      <c r="G311" s="2" t="s">
        <v>5703</v>
      </c>
      <c r="H311" s="38" t="str">
        <f t="shared" si="13"/>
        <v>https://www.ssbuy.tw/game-detail.html?game=NBA籃球世界</v>
      </c>
      <c r="I311" s="39" t="s">
        <v>5704</v>
      </c>
      <c r="J311" s="2" t="s">
        <v>5425</v>
      </c>
      <c r="K311" s="88" t="s">
        <v>5455</v>
      </c>
      <c r="L311" s="1" t="s">
        <v>1660</v>
      </c>
      <c r="M311" s="59">
        <v>2585</v>
      </c>
      <c r="N311" s="1" t="s">
        <v>1661</v>
      </c>
      <c r="O311" s="59">
        <v>1312</v>
      </c>
      <c r="P311" s="1" t="s">
        <v>1662</v>
      </c>
      <c r="Q311" s="59">
        <v>880</v>
      </c>
      <c r="R311" s="1" t="s">
        <v>5705</v>
      </c>
      <c r="S311" s="59">
        <v>791</v>
      </c>
      <c r="T311" s="1" t="s">
        <v>5706</v>
      </c>
      <c r="U311" s="59">
        <v>702</v>
      </c>
      <c r="V311" s="1" t="s">
        <v>1663</v>
      </c>
      <c r="W311" s="59">
        <v>613</v>
      </c>
      <c r="X311" s="1" t="s">
        <v>1664</v>
      </c>
      <c r="Y311" s="59">
        <v>436</v>
      </c>
      <c r="Z311" s="1" t="s">
        <v>1666</v>
      </c>
      <c r="AA311" s="59">
        <v>284</v>
      </c>
      <c r="AB311" s="1" t="s">
        <v>5707</v>
      </c>
      <c r="AC311" s="59">
        <v>269</v>
      </c>
      <c r="AD311" s="1" t="s">
        <v>1667</v>
      </c>
      <c r="AE311" s="59">
        <v>139</v>
      </c>
    </row>
    <row r="312" spans="1:31" ht="22.5" customHeight="1">
      <c r="F312" s="37" t="str">
        <f t="shared" ref="F312:F375" si="14">IF(A312="", "", "gift-codes.html?game=" &amp; A312)</f>
        <v/>
      </c>
      <c r="H312" s="38" t="str">
        <f t="shared" ref="H312:H375" si="15">IF(A312="", "", "https://www.ssbuy.tw/game-detail.html?game="&amp;A312)</f>
        <v/>
      </c>
    </row>
    <row r="313" spans="1:31" ht="22.5" customHeight="1">
      <c r="F313" s="37" t="str">
        <f t="shared" si="14"/>
        <v/>
      </c>
      <c r="H313" s="38" t="str">
        <f t="shared" si="15"/>
        <v/>
      </c>
    </row>
    <row r="314" spans="1:31" ht="22.5" customHeight="1">
      <c r="F314" s="37" t="str">
        <f t="shared" si="14"/>
        <v/>
      </c>
      <c r="H314" s="38" t="str">
        <f t="shared" si="15"/>
        <v/>
      </c>
    </row>
    <row r="315" spans="1:31" ht="22.5" customHeight="1">
      <c r="F315" s="37" t="str">
        <f t="shared" si="14"/>
        <v/>
      </c>
      <c r="H315" s="38" t="str">
        <f t="shared" si="15"/>
        <v/>
      </c>
    </row>
    <row r="316" spans="1:31" ht="22.5" customHeight="1">
      <c r="F316" s="37" t="str">
        <f t="shared" si="14"/>
        <v/>
      </c>
      <c r="H316" s="38" t="str">
        <f t="shared" si="15"/>
        <v/>
      </c>
    </row>
    <row r="317" spans="1:31" ht="22.5" customHeight="1">
      <c r="F317" s="37" t="str">
        <f t="shared" si="14"/>
        <v/>
      </c>
      <c r="H317" s="38" t="str">
        <f t="shared" si="15"/>
        <v/>
      </c>
    </row>
    <row r="318" spans="1:31" ht="22.5" customHeight="1">
      <c r="F318" s="37" t="str">
        <f t="shared" si="14"/>
        <v/>
      </c>
      <c r="H318" s="38" t="str">
        <f t="shared" si="15"/>
        <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ref="F376:F439" si="16">IF(A376="", "", "gift-codes.html?game=" &amp; A376)</f>
        <v/>
      </c>
      <c r="H376" s="38" t="str">
        <f t="shared" ref="H376:H439" si="17">IF(A376="", "", "https://www.ssbuy.tw/game-detail.html?game="&amp;A376)</f>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ref="F440:F503" si="18">IF(A440="", "", "gift-codes.html?game=" &amp; A440)</f>
        <v/>
      </c>
      <c r="H440" s="38" t="str">
        <f t="shared" ref="H440:H503" si="19">IF(A440="", "", "https://www.ssbuy.tw/game-detail.html?game="&amp;A440)</f>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ref="F504:F567" si="20">IF(A504="", "", "gift-codes.html?game=" &amp; A504)</f>
        <v/>
      </c>
      <c r="H504" s="38" t="str">
        <f t="shared" ref="H504:H567" si="21">IF(A504="", "", "https://www.ssbuy.tw/game-detail.html?game="&amp;A504)</f>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IF(A568="", "", "gift-codes.html?game=" &amp; A568)</f>
        <v/>
      </c>
      <c r="H568" s="38" t="str">
        <f t="shared" ref="H568:H626" si="22">IF(A568="", "", "https://www.ssbuy.tw/game-detail.html?game="&amp;A568)</f>
        <v/>
      </c>
    </row>
    <row r="569" spans="6:8">
      <c r="F569" s="37" t="str">
        <f>IF(A569="", "", "gift-codes.html?game=" &amp; A569)</f>
        <v/>
      </c>
      <c r="H569" s="38" t="str">
        <f t="shared" si="22"/>
        <v/>
      </c>
    </row>
    <row r="570" spans="6:8">
      <c r="F570" s="37" t="str">
        <f>IF(A570="", "", "gift-codes.html?game=" &amp; A570)</f>
        <v/>
      </c>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hyperlink ref="G298" r:id="rId285"/>
    <hyperlink ref="G306" r:id="rId286"/>
    <hyperlink ref="G310" r:id="rId287"/>
    <hyperlink ref="G311" r:id="rId288"/>
  </hyperlinks>
  <pageMargins left="0.7" right="0.7" top="0.75" bottom="0.75" header="0.3" footer="0.3"/>
  <pageSetup paperSize="9" orientation="portrait" r:id="rId28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4"/>
  <sheetViews>
    <sheetView workbookViewId="0">
      <pane xSplit="1" ySplit="1" topLeftCell="F290" activePane="bottomRight" state="frozen"/>
      <selection pane="topRight" activeCell="B1" sqref="B1"/>
      <selection pane="bottomLeft" activeCell="A2" sqref="A2"/>
      <selection pane="bottomRight" activeCell="A309" sqref="A30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5206</v>
      </c>
      <c r="X236" s="10" t="s">
        <v>5218</v>
      </c>
      <c r="Y236" s="15" t="s">
        <v>5207</v>
      </c>
      <c r="Z236" s="10" t="s">
        <v>5217</v>
      </c>
      <c r="AA236" s="15" t="s">
        <v>5208</v>
      </c>
      <c r="AB236" s="10" t="s">
        <v>5216</v>
      </c>
      <c r="AC236" s="15" t="s">
        <v>5209</v>
      </c>
      <c r="AD236" s="10" t="s">
        <v>5215</v>
      </c>
      <c r="AE236" s="15" t="s">
        <v>5210</v>
      </c>
      <c r="AF236" s="10" t="s">
        <v>5214</v>
      </c>
      <c r="AG236" s="15" t="s">
        <v>5211</v>
      </c>
      <c r="AH236" s="10" t="s">
        <v>5213</v>
      </c>
      <c r="AI236" s="15" t="s">
        <v>5212</v>
      </c>
      <c r="AJ236" s="10" t="s">
        <v>5598</v>
      </c>
      <c r="AK236" s="15" t="s">
        <v>5596</v>
      </c>
      <c r="AL236" s="10" t="s">
        <v>5599</v>
      </c>
      <c r="AM236" s="15" t="s">
        <v>4992</v>
      </c>
      <c r="AN236" s="10" t="s">
        <v>5600</v>
      </c>
      <c r="AO236" s="15" t="s">
        <v>5597</v>
      </c>
      <c r="AP236" s="10" t="s">
        <v>5601</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5192</v>
      </c>
      <c r="G269" s="10" t="s">
        <v>5193</v>
      </c>
      <c r="H269" s="10" t="s">
        <v>2625</v>
      </c>
      <c r="I269" s="10" t="s">
        <v>4360</v>
      </c>
      <c r="K269" s="14" t="s">
        <v>5188</v>
      </c>
      <c r="L269" s="10" t="s">
        <v>5191</v>
      </c>
      <c r="M269" s="15" t="s">
        <v>5189</v>
      </c>
      <c r="N269" s="10" t="s">
        <v>5190</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5197</v>
      </c>
      <c r="X273" s="10" t="s">
        <v>5201</v>
      </c>
      <c r="Y273" s="15" t="s">
        <v>5198</v>
      </c>
      <c r="Z273" s="10" t="s">
        <v>5202</v>
      </c>
      <c r="AA273" s="15" t="s">
        <v>5199</v>
      </c>
      <c r="AB273" s="10" t="s">
        <v>5203</v>
      </c>
      <c r="AC273" s="15" t="s">
        <v>5200</v>
      </c>
      <c r="AD273" s="10" t="s">
        <v>5204</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5462</v>
      </c>
      <c r="R274" s="10" t="s">
        <v>5456</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5462</v>
      </c>
      <c r="AB275" s="10" t="s">
        <v>5456</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5462</v>
      </c>
      <c r="R276" s="10" t="s">
        <v>5456</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5462</v>
      </c>
      <c r="L277" s="10" t="s">
        <v>5456</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5244</v>
      </c>
      <c r="G278" s="10" t="s">
        <v>5245</v>
      </c>
      <c r="H278" s="10" t="s">
        <v>5246</v>
      </c>
      <c r="K278" s="14" t="s">
        <v>5240</v>
      </c>
      <c r="L278" s="10" t="s">
        <v>5243</v>
      </c>
      <c r="M278" s="15" t="s">
        <v>5241</v>
      </c>
      <c r="N278" s="10" t="s">
        <v>5242</v>
      </c>
      <c r="O278" s="89" t="s">
        <v>5462</v>
      </c>
      <c r="P278" s="10" t="s">
        <v>5456</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5318</v>
      </c>
      <c r="G279" s="10" t="s">
        <v>5319</v>
      </c>
      <c r="H279" s="10" t="s">
        <v>5320</v>
      </c>
      <c r="I279" s="10" t="s">
        <v>2625</v>
      </c>
      <c r="J279" s="10" t="s">
        <v>4360</v>
      </c>
      <c r="K279" s="14" t="s">
        <v>5247</v>
      </c>
      <c r="L279" s="10" t="s">
        <v>5357</v>
      </c>
      <c r="M279" s="15" t="s">
        <v>5248</v>
      </c>
      <c r="N279" s="10" t="s">
        <v>5358</v>
      </c>
      <c r="O279" s="15" t="s">
        <v>5249</v>
      </c>
      <c r="P279" s="10" t="s">
        <v>5359</v>
      </c>
      <c r="Q279" s="15" t="s">
        <v>5250</v>
      </c>
      <c r="R279" s="10" t="s">
        <v>5360</v>
      </c>
      <c r="S279" s="15" t="s">
        <v>5321</v>
      </c>
      <c r="T279" s="10" t="s">
        <v>5361</v>
      </c>
      <c r="U279" s="15" t="s">
        <v>5322</v>
      </c>
      <c r="V279" s="10" t="s">
        <v>5362</v>
      </c>
      <c r="W279" s="15" t="s">
        <v>5323</v>
      </c>
      <c r="X279" s="10" t="s">
        <v>5363</v>
      </c>
      <c r="Y279" s="15" t="s">
        <v>5324</v>
      </c>
      <c r="Z279" s="10" t="s">
        <v>5364</v>
      </c>
      <c r="AA279" s="15" t="s">
        <v>5326</v>
      </c>
      <c r="AB279" s="10" t="s">
        <v>5365</v>
      </c>
      <c r="AC279" s="15" t="s">
        <v>5325</v>
      </c>
      <c r="AD279" s="10" t="s">
        <v>5366</v>
      </c>
      <c r="AG279" s="89" t="s">
        <v>5462</v>
      </c>
      <c r="AH279" s="10" t="s">
        <v>5456</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5239</v>
      </c>
      <c r="K280" s="78" t="s">
        <v>5457</v>
      </c>
      <c r="L280" s="10" t="s">
        <v>5458</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5239</v>
      </c>
      <c r="K281" s="78" t="s">
        <v>5457</v>
      </c>
      <c r="L281" s="10" t="s">
        <v>5458</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5239</v>
      </c>
      <c r="K282" s="78" t="s">
        <v>5457</v>
      </c>
      <c r="L282" s="10" t="s">
        <v>5458</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5309</v>
      </c>
      <c r="G283" s="10" t="s">
        <v>5310</v>
      </c>
      <c r="H283" s="10" t="s">
        <v>2625</v>
      </c>
      <c r="I283" s="10" t="s">
        <v>4360</v>
      </c>
      <c r="K283" s="14" t="s">
        <v>5311</v>
      </c>
      <c r="L283" s="10" t="s">
        <v>5333</v>
      </c>
      <c r="M283" s="15" t="s">
        <v>4141</v>
      </c>
      <c r="N283" s="10" t="s">
        <v>5334</v>
      </c>
      <c r="O283" s="15" t="s">
        <v>4140</v>
      </c>
      <c r="P283" s="10" t="s">
        <v>5335</v>
      </c>
      <c r="Q283" s="15" t="s">
        <v>5312</v>
      </c>
      <c r="R283" s="10" t="s">
        <v>5336</v>
      </c>
      <c r="S283" s="15" t="s">
        <v>5313</v>
      </c>
      <c r="T283" s="10" t="s">
        <v>5337</v>
      </c>
      <c r="U283" s="15" t="s">
        <v>5314</v>
      </c>
      <c r="V283" s="10" t="s">
        <v>5337</v>
      </c>
      <c r="W283" s="15" t="s">
        <v>5315</v>
      </c>
      <c r="X283" s="10" t="s">
        <v>5337</v>
      </c>
      <c r="Y283" s="15" t="s">
        <v>5316</v>
      </c>
      <c r="Z283" s="10" t="s">
        <v>5338</v>
      </c>
      <c r="AA283" s="15" t="s">
        <v>2056</v>
      </c>
      <c r="AB283" s="10" t="s">
        <v>5339</v>
      </c>
      <c r="AC283" s="15" t="s">
        <v>5317</v>
      </c>
      <c r="AD283" s="10" t="s">
        <v>5340</v>
      </c>
      <c r="AE283" s="15" t="s">
        <v>5481</v>
      </c>
      <c r="AG283" s="15" t="s">
        <v>5482</v>
      </c>
      <c r="AI283" s="89" t="s">
        <v>5462</v>
      </c>
      <c r="AJ283" s="10" t="s">
        <v>5456</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5194</v>
      </c>
      <c r="G284" s="10" t="s">
        <v>5195</v>
      </c>
      <c r="H284" s="10" t="s">
        <v>5196</v>
      </c>
      <c r="K284" s="14" t="s">
        <v>5256</v>
      </c>
      <c r="L284" s="10" t="s">
        <v>5308</v>
      </c>
      <c r="M284" s="15" t="s">
        <v>5257</v>
      </c>
      <c r="N284" s="10" t="s">
        <v>5307</v>
      </c>
      <c r="O284" s="15" t="s">
        <v>5284</v>
      </c>
      <c r="P284" s="10" t="s">
        <v>5306</v>
      </c>
      <c r="Q284" s="15" t="s">
        <v>5285</v>
      </c>
      <c r="R284" s="10" t="s">
        <v>5305</v>
      </c>
      <c r="S284" s="15" t="s">
        <v>5286</v>
      </c>
      <c r="T284" s="10" t="s">
        <v>5304</v>
      </c>
      <c r="U284" s="15" t="s">
        <v>5287</v>
      </c>
      <c r="V284" s="10" t="s">
        <v>5303</v>
      </c>
      <c r="W284" s="15" t="s">
        <v>5288</v>
      </c>
      <c r="X284" s="10" t="s">
        <v>5302</v>
      </c>
      <c r="Y284" s="15" t="s">
        <v>5289</v>
      </c>
      <c r="Z284" s="10" t="s">
        <v>5301</v>
      </c>
      <c r="AA284" s="15" t="s">
        <v>5290</v>
      </c>
      <c r="AB284" s="10" t="s">
        <v>5300</v>
      </c>
      <c r="AC284" s="15" t="s">
        <v>1932</v>
      </c>
      <c r="AD284" s="10" t="s">
        <v>5299</v>
      </c>
      <c r="AE284" s="15" t="s">
        <v>5291</v>
      </c>
      <c r="AF284" s="10" t="s">
        <v>5298</v>
      </c>
      <c r="AG284" s="15" t="s">
        <v>5292</v>
      </c>
      <c r="AH284" s="10" t="s">
        <v>5297</v>
      </c>
      <c r="AI284" s="15" t="s">
        <v>5293</v>
      </c>
      <c r="AJ284" s="10" t="s">
        <v>5296</v>
      </c>
      <c r="AK284" s="15" t="s">
        <v>2199</v>
      </c>
      <c r="AL284" s="10" t="s">
        <v>5295</v>
      </c>
      <c r="AM284" s="15" t="s">
        <v>2200</v>
      </c>
      <c r="AN284" s="10" t="s">
        <v>5294</v>
      </c>
      <c r="AO284" s="89" t="s">
        <v>5462</v>
      </c>
      <c r="AP284" s="10" t="s">
        <v>5456</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5239</v>
      </c>
      <c r="K285" s="89" t="s">
        <v>5511</v>
      </c>
      <c r="L285" s="10" t="s">
        <v>5512</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5239</v>
      </c>
      <c r="K286" s="89" t="s">
        <v>5511</v>
      </c>
      <c r="L286" s="10" t="s">
        <v>5512</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5374</v>
      </c>
      <c r="G287" s="10" t="s">
        <v>5375</v>
      </c>
      <c r="H287" s="10" t="s">
        <v>2625</v>
      </c>
      <c r="I287" s="10" t="s">
        <v>4360</v>
      </c>
      <c r="K287" s="15" t="s">
        <v>5368</v>
      </c>
      <c r="L287" s="10" t="s">
        <v>5371</v>
      </c>
      <c r="M287" s="15" t="s">
        <v>5369</v>
      </c>
      <c r="N287" s="10" t="s">
        <v>5372</v>
      </c>
      <c r="O287" s="15" t="s">
        <v>5370</v>
      </c>
      <c r="P287" s="10" t="s">
        <v>5373</v>
      </c>
      <c r="Q287" s="15" t="s">
        <v>5376</v>
      </c>
      <c r="R287" s="10" t="s">
        <v>5377</v>
      </c>
      <c r="S287" t="s">
        <v>5479</v>
      </c>
      <c r="U287" t="s">
        <v>5480</v>
      </c>
      <c r="W287" s="89" t="s">
        <v>5462</v>
      </c>
      <c r="X287" s="10" t="s">
        <v>5456</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5239</v>
      </c>
      <c r="K288" s="89" t="s">
        <v>5511</v>
      </c>
      <c r="L288" s="10" t="s">
        <v>5512</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5239</v>
      </c>
      <c r="K289" s="89" t="s">
        <v>5511</v>
      </c>
      <c r="L289" s="10" t="s">
        <v>5512</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5239</v>
      </c>
      <c r="K290" s="89" t="s">
        <v>5511</v>
      </c>
      <c r="L290" s="10" t="s">
        <v>5512</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5460</v>
      </c>
      <c r="G291" s="10" t="s">
        <v>5459</v>
      </c>
      <c r="H291" s="10" t="s">
        <v>5461</v>
      </c>
      <c r="K291" s="78" t="s">
        <v>5463</v>
      </c>
      <c r="L291" s="10" t="s">
        <v>5464</v>
      </c>
      <c r="M291" s="89" t="s">
        <v>5511</v>
      </c>
      <c r="N291" s="10" t="s">
        <v>5512</v>
      </c>
      <c r="AC291" s="89" t="s">
        <v>5462</v>
      </c>
      <c r="AD291" s="10" t="s">
        <v>5456</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5473</v>
      </c>
      <c r="G292" s="10" t="s">
        <v>5474</v>
      </c>
      <c r="H292" s="10" t="s">
        <v>2625</v>
      </c>
      <c r="K292" s="89" t="s">
        <v>5465</v>
      </c>
      <c r="M292" s="15" t="s">
        <v>5466</v>
      </c>
      <c r="N292" s="90"/>
      <c r="O292" s="15" t="s">
        <v>5467</v>
      </c>
      <c r="Q292" s="15" t="s">
        <v>5468</v>
      </c>
      <c r="S292" s="15" t="s">
        <v>5469</v>
      </c>
      <c r="U292" s="15" t="s">
        <v>1933</v>
      </c>
      <c r="W292" s="15" t="s">
        <v>5470</v>
      </c>
      <c r="Y292" s="15" t="s">
        <v>5471</v>
      </c>
      <c r="AA292" s="15" t="s">
        <v>5472</v>
      </c>
      <c r="AC292" s="15" t="s">
        <v>5524</v>
      </c>
      <c r="AE292" s="15" t="s">
        <v>5525</v>
      </c>
      <c r="AG292" s="15" t="s">
        <v>5526</v>
      </c>
      <c r="AI292" s="15" t="s">
        <v>5527</v>
      </c>
      <c r="AK292" s="15" t="s">
        <v>5528</v>
      </c>
      <c r="AM292" s="15" t="s">
        <v>5529</v>
      </c>
      <c r="AO292" s="15" t="s">
        <v>5530</v>
      </c>
      <c r="AQ292" s="15" t="s">
        <v>5531</v>
      </c>
      <c r="AS292" s="15" t="s">
        <v>5532</v>
      </c>
      <c r="AU292" s="15" t="s">
        <v>5533</v>
      </c>
      <c r="AW292" s="15" t="s">
        <v>5534</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5473</v>
      </c>
      <c r="G293" s="10" t="s">
        <v>5474</v>
      </c>
      <c r="H293" s="10" t="s">
        <v>2625</v>
      </c>
      <c r="K293" s="89" t="s">
        <v>5475</v>
      </c>
      <c r="M293" s="15" t="s">
        <v>5476</v>
      </c>
      <c r="O293" s="15" t="s">
        <v>5477</v>
      </c>
      <c r="Q293" s="15" t="s">
        <v>5478</v>
      </c>
      <c r="S293" s="15" t="s">
        <v>5483</v>
      </c>
      <c r="U293" s="15" t="s">
        <v>5291</v>
      </c>
      <c r="W293" s="15" t="s">
        <v>1841</v>
      </c>
      <c r="Y293" s="15" t="s">
        <v>5484</v>
      </c>
      <c r="AA293" s="15" t="s">
        <v>5485</v>
      </c>
      <c r="AC293" s="15" t="s">
        <v>2912</v>
      </c>
      <c r="AE293" s="15" t="s">
        <v>5486</v>
      </c>
      <c r="AG293" s="15" t="s">
        <v>5487</v>
      </c>
      <c r="AI293" s="15" t="s">
        <v>5488</v>
      </c>
      <c r="AK293" s="89" t="s">
        <v>5462</v>
      </c>
      <c r="AL293" s="10" t="s">
        <v>5456</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5678</v>
      </c>
      <c r="G294" s="10" t="s">
        <v>5679</v>
      </c>
      <c r="H294" s="10" t="s">
        <v>5680</v>
      </c>
      <c r="I294" s="10" t="s">
        <v>2625</v>
      </c>
      <c r="K294" s="89" t="s">
        <v>5511</v>
      </c>
      <c r="L294" s="10" t="s">
        <v>5512</v>
      </c>
      <c r="M294" s="15" t="s">
        <v>5681</v>
      </c>
      <c r="N294" s="10" t="s">
        <v>5682</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5239</v>
      </c>
      <c r="K295" s="89" t="s">
        <v>5511</v>
      </c>
      <c r="L295" s="10" t="s">
        <v>5512</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5508</v>
      </c>
      <c r="G296" s="10" t="s">
        <v>5509</v>
      </c>
      <c r="H296" s="10" t="s">
        <v>2625</v>
      </c>
      <c r="K296" s="91">
        <v>666666</v>
      </c>
      <c r="M296" s="15">
        <v>777777</v>
      </c>
      <c r="O296" s="15">
        <v>888888</v>
      </c>
      <c r="Q296" s="15" t="s">
        <v>5514</v>
      </c>
      <c r="S296" s="15" t="s">
        <v>5515</v>
      </c>
      <c r="U296" s="15" t="s">
        <v>5516</v>
      </c>
      <c r="W296" s="15" t="s">
        <v>5517</v>
      </c>
      <c r="Y296" s="15" t="s">
        <v>5518</v>
      </c>
      <c r="AA296" s="15" t="s">
        <v>5519</v>
      </c>
      <c r="AC296" s="15" t="s">
        <v>5520</v>
      </c>
      <c r="AE296" s="15" t="s">
        <v>5521</v>
      </c>
      <c r="AG296" s="15" t="s">
        <v>5522</v>
      </c>
      <c r="AI296" s="15" t="s">
        <v>5523</v>
      </c>
      <c r="AK296" s="89" t="s">
        <v>5511</v>
      </c>
      <c r="AL296" s="10" t="s">
        <v>5512</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5498</v>
      </c>
      <c r="G297" s="10" t="s">
        <v>5499</v>
      </c>
      <c r="H297" s="10" t="s">
        <v>2625</v>
      </c>
      <c r="K297" s="14" t="s">
        <v>5497</v>
      </c>
      <c r="L297" s="10" t="s">
        <v>5510</v>
      </c>
      <c r="M297" s="10" t="s">
        <v>5492</v>
      </c>
      <c r="N297" s="10" t="s">
        <v>5510</v>
      </c>
      <c r="O297" s="15" t="s">
        <v>5493</v>
      </c>
      <c r="P297" s="10" t="s">
        <v>5510</v>
      </c>
      <c r="Q297" s="15" t="s">
        <v>5494</v>
      </c>
      <c r="R297" s="10" t="s">
        <v>5510</v>
      </c>
      <c r="S297" s="15" t="s">
        <v>5495</v>
      </c>
      <c r="T297" s="10" t="s">
        <v>5510</v>
      </c>
      <c r="U297" s="15" t="s">
        <v>5496</v>
      </c>
      <c r="V297" s="10" t="s">
        <v>5510</v>
      </c>
      <c r="W297" s="89" t="s">
        <v>5511</v>
      </c>
      <c r="X297" s="10" t="s">
        <v>5512</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5608</v>
      </c>
      <c r="G298" s="10" t="s">
        <v>5609</v>
      </c>
      <c r="H298" s="10" t="s">
        <v>2625</v>
      </c>
      <c r="K298" s="89" t="s">
        <v>5511</v>
      </c>
      <c r="L298" s="10" t="s">
        <v>5512</v>
      </c>
      <c r="M298" s="15" t="s">
        <v>5602</v>
      </c>
      <c r="N298" s="10" t="s">
        <v>5605</v>
      </c>
      <c r="O298" s="15" t="s">
        <v>5603</v>
      </c>
      <c r="P298" s="10" t="s">
        <v>5606</v>
      </c>
      <c r="Q298" s="15" t="s">
        <v>5604</v>
      </c>
      <c r="R298" s="10" t="s">
        <v>5607</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5239</v>
      </c>
      <c r="K299" s="89" t="s">
        <v>5511</v>
      </c>
      <c r="L299" s="10" t="s">
        <v>5512</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5239</v>
      </c>
      <c r="K300" s="89" t="s">
        <v>5511</v>
      </c>
      <c r="L300" s="10" t="s">
        <v>5512</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5239</v>
      </c>
      <c r="K301" s="89" t="s">
        <v>5511</v>
      </c>
      <c r="L301" s="10" t="s">
        <v>5512</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5239</v>
      </c>
      <c r="K302" s="89" t="s">
        <v>5511</v>
      </c>
      <c r="L302" s="10" t="s">
        <v>5512</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5620</v>
      </c>
      <c r="G303" s="10" t="s">
        <v>5621</v>
      </c>
      <c r="H303" s="10" t="s">
        <v>2625</v>
      </c>
      <c r="K303" s="89" t="s">
        <v>5511</v>
      </c>
      <c r="L303" s="10" t="s">
        <v>5512</v>
      </c>
      <c r="M303" s="15" t="s">
        <v>5611</v>
      </c>
      <c r="N303" s="10" t="s">
        <v>5622</v>
      </c>
      <c r="O303" s="15" t="s">
        <v>5613</v>
      </c>
      <c r="P303" s="10" t="s">
        <v>5623</v>
      </c>
      <c r="Q303" s="15" t="s">
        <v>5618</v>
      </c>
      <c r="R303" s="10" t="s">
        <v>5624</v>
      </c>
      <c r="S303" s="15" t="s">
        <v>5619</v>
      </c>
      <c r="T303" s="10" t="s">
        <v>5625</v>
      </c>
      <c r="U303" s="15" t="s">
        <v>5635</v>
      </c>
      <c r="W303" s="15" t="s">
        <v>5612</v>
      </c>
      <c r="Y303" s="15" t="s">
        <v>5684</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5675</v>
      </c>
      <c r="G304" s="10" t="s">
        <v>5676</v>
      </c>
      <c r="H304" s="10" t="s">
        <v>2625</v>
      </c>
      <c r="K304" s="89" t="s">
        <v>5511</v>
      </c>
      <c r="L304" s="10" t="s">
        <v>5512</v>
      </c>
      <c r="M304" s="15" t="s">
        <v>5677</v>
      </c>
      <c r="N304" s="10" t="s">
        <v>5683</v>
      </c>
    </row>
    <row r="305" spans="1:16">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5239</v>
      </c>
      <c r="K305" s="89" t="s">
        <v>5511</v>
      </c>
      <c r="L305" s="10" t="s">
        <v>5512</v>
      </c>
    </row>
    <row r="306" spans="1:16">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5616</v>
      </c>
      <c r="G306" s="10" t="s">
        <v>5617</v>
      </c>
      <c r="H306" s="10" t="s">
        <v>2625</v>
      </c>
      <c r="K306" s="89" t="s">
        <v>5511</v>
      </c>
      <c r="L306" s="10" t="s">
        <v>5512</v>
      </c>
      <c r="M306" s="15" t="s">
        <v>5614</v>
      </c>
      <c r="N306" s="10" t="s">
        <v>2754</v>
      </c>
      <c r="O306" s="15" t="s">
        <v>2755</v>
      </c>
      <c r="P306" s="10" t="s">
        <v>5615</v>
      </c>
    </row>
    <row r="307" spans="1:16">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5239</v>
      </c>
      <c r="K307" s="89" t="s">
        <v>5511</v>
      </c>
      <c r="L307" s="10" t="s">
        <v>5512</v>
      </c>
    </row>
    <row r="308" spans="1:16">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5239</v>
      </c>
      <c r="K308" s="89" t="s">
        <v>5511</v>
      </c>
      <c r="L308" s="10" t="s">
        <v>5512</v>
      </c>
    </row>
    <row r="309" spans="1:16">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5239</v>
      </c>
      <c r="K309" s="89" t="s">
        <v>5511</v>
      </c>
      <c r="L309" s="10" t="s">
        <v>5512</v>
      </c>
    </row>
    <row r="310" spans="1:16">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5239</v>
      </c>
      <c r="K310" s="89" t="s">
        <v>5511</v>
      </c>
      <c r="L310" s="10" t="s">
        <v>5512</v>
      </c>
    </row>
    <row r="311" spans="1:16">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5239</v>
      </c>
      <c r="K311" s="89" t="s">
        <v>5511</v>
      </c>
      <c r="L311" s="10" t="s">
        <v>5512</v>
      </c>
    </row>
    <row r="312" spans="1:16">
      <c r="A312" s="10" t="str">
        <f>IF(games!A312="", "", games!A312)</f>
        <v/>
      </c>
      <c r="C312" s="10" t="str">
        <f t="shared" ref="C312:C375" si="14">IF(A312="","", "giftcodesbanner/" &amp; A312 &amp; "-禮包碼.jpg")</f>
        <v/>
      </c>
      <c r="D312" s="10" t="str">
        <f t="shared" ref="D312:D375" si="15">IF(A312="","", "https://www.ssbuy.tw/gift-codes.html?game="&amp;A312)</f>
        <v/>
      </c>
      <c r="E312" s="11" t="str">
        <f>IF(games!I312&lt;&gt;"", games!I312, "")</f>
        <v/>
      </c>
    </row>
    <row r="313" spans="1:16">
      <c r="A313" s="10" t="str">
        <f>IF(games!A313="", "", games!A313)</f>
        <v/>
      </c>
      <c r="C313" s="10" t="str">
        <f t="shared" si="14"/>
        <v/>
      </c>
      <c r="D313" s="10" t="str">
        <f t="shared" si="15"/>
        <v/>
      </c>
      <c r="E313" s="11" t="str">
        <f>IF(games!I313&lt;&gt;"", games!I313, "")</f>
        <v/>
      </c>
    </row>
    <row r="314" spans="1:16">
      <c r="A314" s="10" t="str">
        <f>IF(games!A314="", "", games!A314)</f>
        <v/>
      </c>
      <c r="C314" s="10" t="str">
        <f t="shared" si="14"/>
        <v/>
      </c>
      <c r="D314" s="10" t="str">
        <f t="shared" si="15"/>
        <v/>
      </c>
      <c r="E314" s="11" t="str">
        <f>IF(games!I314&lt;&gt;"", games!I314, "")</f>
        <v/>
      </c>
    </row>
    <row r="315" spans="1:16">
      <c r="A315" s="10" t="str">
        <f>IF(games!A315="", "", games!A315)</f>
        <v/>
      </c>
      <c r="C315" s="10" t="str">
        <f t="shared" si="14"/>
        <v/>
      </c>
      <c r="D315" s="10" t="str">
        <f t="shared" si="15"/>
        <v/>
      </c>
      <c r="E315" s="11" t="str">
        <f>IF(games!I315&lt;&gt;"", games!I315, "")</f>
        <v/>
      </c>
    </row>
    <row r="316" spans="1:16">
      <c r="A316" s="10" t="str">
        <f>IF(games!A316="", "", games!A316)</f>
        <v/>
      </c>
      <c r="C316" s="10" t="str">
        <f t="shared" si="14"/>
        <v/>
      </c>
      <c r="D316" s="10" t="str">
        <f t="shared" si="15"/>
        <v/>
      </c>
      <c r="E316" s="11" t="str">
        <f>IF(games!I316&lt;&gt;"", games!I316, "")</f>
        <v/>
      </c>
    </row>
    <row r="317" spans="1:16">
      <c r="A317" s="10" t="str">
        <f>IF(games!A317="", "", games!A317)</f>
        <v/>
      </c>
      <c r="C317" s="10" t="str">
        <f t="shared" si="14"/>
        <v/>
      </c>
      <c r="D317" s="10" t="str">
        <f t="shared" si="15"/>
        <v/>
      </c>
      <c r="E317" s="11" t="str">
        <f>IF(games!I317&lt;&gt;"", games!I317, "")</f>
        <v/>
      </c>
    </row>
    <row r="318" spans="1:16">
      <c r="A318" s="10" t="str">
        <f>IF(games!A318="", "", games!A318)</f>
        <v/>
      </c>
      <c r="C318" s="10" t="str">
        <f t="shared" si="14"/>
        <v/>
      </c>
      <c r="D318" s="10" t="str">
        <f t="shared" si="15"/>
        <v/>
      </c>
      <c r="E318" s="11" t="str">
        <f>IF(games!I318&lt;&gt;"", games!I318, "")</f>
        <v/>
      </c>
    </row>
    <row r="319" spans="1:16">
      <c r="A319" s="10" t="str">
        <f>IF(games!A319="", "", games!A319)</f>
        <v/>
      </c>
      <c r="C319" s="10" t="str">
        <f t="shared" si="14"/>
        <v/>
      </c>
      <c r="D319" s="10" t="str">
        <f t="shared" si="15"/>
        <v/>
      </c>
      <c r="E319" s="11" t="str">
        <f>IF(games!I319&lt;&gt;"", games!I319, "")</f>
        <v/>
      </c>
    </row>
    <row r="320" spans="1:16">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A368" s="10" t="str">
        <f>IF(games!A368="", "", games!A368)</f>
        <v/>
      </c>
      <c r="C368" s="10" t="str">
        <f t="shared" si="14"/>
        <v/>
      </c>
      <c r="D368" s="10" t="str">
        <f t="shared" si="15"/>
        <v/>
      </c>
      <c r="E368" s="11" t="str">
        <f>IF(games!I368&lt;&gt;"", games!I368, "")</f>
        <v/>
      </c>
    </row>
    <row r="369" spans="1:5">
      <c r="A369" s="10" t="str">
        <f>IF(games!A369="", "", games!A369)</f>
        <v/>
      </c>
      <c r="C369" s="10" t="str">
        <f t="shared" si="14"/>
        <v/>
      </c>
      <c r="D369" s="10" t="str">
        <f t="shared" si="15"/>
        <v/>
      </c>
      <c r="E369" s="11" t="str">
        <f>IF(games!I369&lt;&gt;"", games!I369, "")</f>
        <v/>
      </c>
    </row>
    <row r="370" spans="1:5">
      <c r="A370" s="10" t="str">
        <f>IF(games!A370="", "", games!A370)</f>
        <v/>
      </c>
      <c r="C370" s="10" t="str">
        <f t="shared" si="14"/>
        <v/>
      </c>
      <c r="D370" s="10" t="str">
        <f t="shared" si="15"/>
        <v/>
      </c>
      <c r="E370" s="11" t="str">
        <f>IF(games!I370&lt;&gt;"", games!I370, "")</f>
        <v/>
      </c>
    </row>
    <row r="371" spans="1:5">
      <c r="C371" s="10" t="str">
        <f t="shared" si="14"/>
        <v/>
      </c>
      <c r="D371" s="10" t="str">
        <f t="shared" si="15"/>
        <v/>
      </c>
      <c r="E371" s="11" t="str">
        <f>IF(games!I371&lt;&gt;"", games!I371, "")</f>
        <v/>
      </c>
    </row>
    <row r="372" spans="1:5">
      <c r="C372" s="10" t="str">
        <f t="shared" si="14"/>
        <v/>
      </c>
      <c r="D372" s="10" t="str">
        <f t="shared" si="15"/>
        <v/>
      </c>
      <c r="E372" s="11" t="str">
        <f>IF(games!I372&lt;&gt;"", games!I372, "")</f>
        <v/>
      </c>
    </row>
    <row r="373" spans="1:5">
      <c r="C373" s="10" t="str">
        <f t="shared" si="14"/>
        <v/>
      </c>
      <c r="D373" s="10" t="str">
        <f t="shared" si="15"/>
        <v/>
      </c>
      <c r="E373" s="11" t="str">
        <f>IF(games!I373&lt;&gt;"", games!I373, "")</f>
        <v/>
      </c>
    </row>
    <row r="374" spans="1:5">
      <c r="C374" s="10" t="str">
        <f t="shared" si="14"/>
        <v/>
      </c>
      <c r="D374" s="10" t="str">
        <f t="shared" si="15"/>
        <v/>
      </c>
      <c r="E374" s="11" t="str">
        <f>IF(games!I374&lt;&gt;"", games!I374, "")</f>
        <v/>
      </c>
    </row>
    <row r="375" spans="1:5">
      <c r="C375" s="10" t="str">
        <f t="shared" si="14"/>
        <v/>
      </c>
      <c r="D375" s="10" t="str">
        <f t="shared" si="15"/>
        <v/>
      </c>
      <c r="E375" s="11" t="str">
        <f>IF(games!I375&lt;&gt;"", games!I375, "")</f>
        <v/>
      </c>
    </row>
    <row r="376" spans="1:5">
      <c r="C376" s="10" t="str">
        <f t="shared" ref="C376:C434" si="16">IF(A376="","", "giftcodesbanner/" &amp; A376 &amp; "-禮包碼.jpg")</f>
        <v/>
      </c>
      <c r="D376" s="10" t="str">
        <f t="shared" ref="D376:D434" si="17">IF(A376="","", "https://www.ssbuy.tw/gift-codes.html?game="&amp;A376)</f>
        <v/>
      </c>
      <c r="E376" s="11" t="str">
        <f>IF(games!I376&lt;&gt;"", games!I376, "")</f>
        <v/>
      </c>
    </row>
    <row r="377" spans="1:5">
      <c r="C377" s="10" t="str">
        <f t="shared" si="16"/>
        <v/>
      </c>
      <c r="D377" s="10" t="str">
        <f t="shared" si="17"/>
        <v/>
      </c>
      <c r="E377" s="11" t="str">
        <f>IF(games!I377&lt;&gt;"", games!I377, "")</f>
        <v/>
      </c>
    </row>
    <row r="378" spans="1:5">
      <c r="C378" s="10" t="str">
        <f t="shared" si="16"/>
        <v/>
      </c>
      <c r="D378" s="10" t="str">
        <f t="shared" si="17"/>
        <v/>
      </c>
      <c r="E378" s="11" t="str">
        <f>IF(games!I378&lt;&gt;"", games!I378, "")</f>
        <v/>
      </c>
    </row>
    <row r="379" spans="1:5">
      <c r="C379" s="10" t="str">
        <f t="shared" si="16"/>
        <v/>
      </c>
      <c r="D379" s="10" t="str">
        <f t="shared" si="17"/>
        <v/>
      </c>
      <c r="E379" s="11" t="str">
        <f>IF(games!I379&lt;&gt;"", games!I379, "")</f>
        <v/>
      </c>
    </row>
    <row r="380" spans="1:5">
      <c r="C380" s="10" t="str">
        <f t="shared" si="16"/>
        <v/>
      </c>
      <c r="D380" s="10" t="str">
        <f t="shared" si="17"/>
        <v/>
      </c>
      <c r="E380" s="11" t="str">
        <f>IF(games!I380&lt;&gt;"", games!I380, "")</f>
        <v/>
      </c>
    </row>
    <row r="381" spans="1:5">
      <c r="C381" s="10" t="str">
        <f t="shared" si="16"/>
        <v/>
      </c>
      <c r="D381" s="10" t="str">
        <f t="shared" si="17"/>
        <v/>
      </c>
      <c r="E381" s="11" t="str">
        <f>IF(games!I381&lt;&gt;"", games!I381, "")</f>
        <v/>
      </c>
    </row>
    <row r="382" spans="1:5">
      <c r="C382" s="10" t="str">
        <f t="shared" si="16"/>
        <v/>
      </c>
      <c r="D382" s="10" t="str">
        <f t="shared" si="17"/>
        <v/>
      </c>
      <c r="E382" s="11" t="str">
        <f>IF(games!I382&lt;&gt;"", games!I382, "")</f>
        <v/>
      </c>
    </row>
    <row r="383" spans="1:5">
      <c r="C383" s="10" t="str">
        <f t="shared" si="16"/>
        <v/>
      </c>
      <c r="D383" s="10" t="str">
        <f t="shared" si="17"/>
        <v/>
      </c>
      <c r="E383" s="11" t="str">
        <f>IF(games!I383&lt;&gt;"", games!I383, "")</f>
        <v/>
      </c>
    </row>
    <row r="384" spans="1: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K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s>
  <pageMargins left="0.7" right="0.7" top="0.75" bottom="0.75" header="0.3" footer="0.3"/>
  <pageSetup paperSize="9" orientation="portrait" r:id="rId4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2025-11-18T10:26:02Z</dcterms:modified>
</cp:coreProperties>
</file>