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A556" i="3"/>
  <c r="C556" i="3" s="1"/>
  <c r="A557" i="3"/>
  <c r="C557" i="3" s="1"/>
  <c r="A558" i="3"/>
  <c r="C558" i="3" s="1"/>
  <c r="A559" i="3"/>
  <c r="D559" i="3" s="1"/>
  <c r="A560" i="3"/>
  <c r="D560" i="3" s="1"/>
  <c r="A561" i="3"/>
  <c r="C561" i="3" s="1"/>
  <c r="A562" i="3"/>
  <c r="C562" i="3" s="1"/>
  <c r="A563" i="3"/>
  <c r="C563" i="3" s="1"/>
  <c r="A564" i="3"/>
  <c r="D564" i="3" s="1"/>
  <c r="A565" i="3"/>
  <c r="C565" i="3" s="1"/>
  <c r="A566" i="3"/>
  <c r="D566" i="3" s="1"/>
  <c r="A567" i="3"/>
  <c r="C567" i="3" s="1"/>
  <c r="A568" i="3"/>
  <c r="C568" i="3" s="1"/>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D540" i="3" l="1"/>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<sst xmlns="http://schemas.openxmlformats.org/spreadsheetml/2006/main" count="14818" uniqueCount="9467">
  <si>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</si>
  <si>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</si>
  <si>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</si>
  <si>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</si>
  <si>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</si>
  <si>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</si>
  <si>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</si>
  <si>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</si>
  <si>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</si>
  <si>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</si>
  <si>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</si>
  <si>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</si>
  <si>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</si>
  <si>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</si>
  <si>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</si>
  <si>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</si>
  <si>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</si>
  <si>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</si>
  <si>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</si>
  <si>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</si>
  <si>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</si>
  <si>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</si>
  <si>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</si>
  <si>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</si>
  <si>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</si>
  <si>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</si>
  <si>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</si>
  <si>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</si>
  <si>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</si>
  <si>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</si>
  <si>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</si>
  <si>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</si>
  <si>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</si>
  <si>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</si>
  <si>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</si>
  <si>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</si>
  <si>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</si>
  <si>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</si>
  <si>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</si>
  <si>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</si>
  <si>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</si>
  <si>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</si>
  <si>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</si>
  <si>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</si>
  <si>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</si>
  <si>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</si>
  <si>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</si>
  <si>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</si>
  <si>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</si>
  <si>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</si>
  <si>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</si>
  <si>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</si>
  <si>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</si>
  <si>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</si>
  <si>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</si>
  <si>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</si>
  <si>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</si>
  <si>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</si>
  <si>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</si>
  <si>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</si>
  <si>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</si>
  <si>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</si>
  <si>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</si>
  <si>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</si>
  <si>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</si>
  <si>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</si>
  <si>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</si>
  <si>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</si>
  <si>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</si>
  <si>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</si>
  <si>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</si>
  <si>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</si>
  <si>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</si>
  <si>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</si>
  <si>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</si>
  <si>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</si>
  <si>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</si>
  <si>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</si>
  <si>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</si>
  <si>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</si>
  <si>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</si>
  <si>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</si>
  <si>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</si>
  <si>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</si>
  <si>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</si>
  <si>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</si>
  <si>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</si>
  <si>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</si>
  <si>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</si>
  <si>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</si>
  <si>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</si>
  <si>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</si>
  <si>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</si>
  <si>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</si>
  <si>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</si>
  <si>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</si>
  <si>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</si>
  <si>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</si>
  <si>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</si>
  <si>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</si>
  <si>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</si>
  <si>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</si>
  <si>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</si>
  <si>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</si>
  <si>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</si>
  <si>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</si>
  <si>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</si>
  <si>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</si>
  <si>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</si>
  <si>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</si>
  <si>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</si>
  <si>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</si>
  <si>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</si>
  <si>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</si>
  <si>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</si>
  <si>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</si>
  <si>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</si>
  <si>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</si>
  <si>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</si>
  <si>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</si>
  <si>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</si>
  <si>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</si>
  <si>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</si>
  <si>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</si>
  <si>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</si>
  <si>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</si>
  <si>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</si>
  <si>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</si>
  <si>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</si>
  <si>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</si>
  <si>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</si>
  <si>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</si>
  <si>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</si>
  <si>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</si>
  <si>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</si>
  <si>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</si>
  <si>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</si>
  <si>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</si>
  <si>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</si>
  <si>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</si>
  <si>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</si>
  <si>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</si>
  <si>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</si>
  <si>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</si>
  <si>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</si>
  <si>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</si>
  <si>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</si>
  <si>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</si>
  <si>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</si>
  <si>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</si>
  <si>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</si>
  <si>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</si>
  <si>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</si>
  <si>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</si>
  <si>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</si>
  <si>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</si>
  <si>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</si>
  <si>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</si>
  <si>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</si>
  <si>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</si>
  <si>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</si>
  <si>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</si>
  <si>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</si>
  <si>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</si>
  <si>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</si>
  <si>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</si>
  <si>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</si>
  <si>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</si>
  <si>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</si>
  <si>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</si>
  <si>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</si>
  <si>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</si>
  <si>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</si>
  <si>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</si>
  <si>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</si>
  <si>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</si>
  <si>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</si>
  <si>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</si>
  <si>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</si>
  <si>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</si>
  <si>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</si>
  <si>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</si>
  <si>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</si>
  <si>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</si>
  <si>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</si>
  <si>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</si>
  <si>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</si>
  <si>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</si>
  <si>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</si>
  <si>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</si>
  <si>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</si>
  <si>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</si>
  <si>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</si>
  <si>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</si>
  <si>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</si>
  <si>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</si>
  <si>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</si>
  <si>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</si>
  <si>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</si>
  <si>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</si>
  <si>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</si>
  <si>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</si>
  <si>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</si>
  <si>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</si>
  <si>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</si>
  <si>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</si>
  <si>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</si>
  <si>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</si>
  <si>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</si>
  <si>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</si>
  <si>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</si>
  <si>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</si>
  <si>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</si>
  <si>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</si>
  <si>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</si>
  <si>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</si>
  <si>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</si>
  <si>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</si>
  <si>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</si>
  <si>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</si>
  <si>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</si>
  <si>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</si>
  <si>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</si>
  <si>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</si>
  <si>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</si>
  <si>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</si>
  <si>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</si>
  <si>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</si>
  <si>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</si>
  <si>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</si>
  <si>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</si>
  <si>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</si>
  <si>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</si>
  <si>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</si>
  <si>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</si>
  <si>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</si>
  <si>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</si>
  <si>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</si>
  <si>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</si>
  <si>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</si>
  <si>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</si>
  <si>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</si>
  <si>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</si>
  <si>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</si>
  <si>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</si>
  <si>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</si>
  <si>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</si>
  <si>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</si>
  <si>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</si>
  <si>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</si>
  <si>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</si>
  <si>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</si>
  <si>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</si>
  <si>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</si>
  <si>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</si>
  <si>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</si>
  <si>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</si>
  <si>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</si>
  <si>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</si>
  <si>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</si>
  <si>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</si>
  <si>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</si>
  <si>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</si>
  <si>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</si>
  <si>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</si>
  <si>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</si>
  <si>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</si>
  <si>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</si>
  <si>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</si>
  <si>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</si>
  <si>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</si>
  <si>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</si>
  <si>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</si>
  <si>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</si>
  <si>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</si>
  <si>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</si>
  <si>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</si>
  <si>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</si>
  <si>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</si>
  <si>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</si>
  <si>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</si>
  <si>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</si>
  <si>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</si>
  <si>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</si>
  <si>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</si>
  <si>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</si>
  <si>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</si>
  <si>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</si>
  <si>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</si>
  <si>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</si>
  <si>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</si>
  <si>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</si>
  <si>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</si>
  <si>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</si>
  <si>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</si>
  <si>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</si>
  <si>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</si>
  <si>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</si>
  <si>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</si>
  <si>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</si>
  <si>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</si>
  <si>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</si>
  <si>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</si>
  <si>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</si>
  <si>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</si>
  <si>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</si>
  <si>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</si>
  <si>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</si>
  <si>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</si>
  <si>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</si>
  <si>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</si>
  <si>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</si>
  <si>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</si>
  <si>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</si>
  <si>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</si>
  <si>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</si>
  <si>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</si>
  <si>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</si>
  <si>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</si>
  <si>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</si>
  <si>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</si>
  <si>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</si>
  <si>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</si>
  <si>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</si>
  <si>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</si>
  <si>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</si>
  <si>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</si>
  <si>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</si>
  <si>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</si>
  <si>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</si>
  <si>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</si>
  <si>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</si>
  <si>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</si>
  <si>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</si>
  <si>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</si>
  <si>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</si>
  <si>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</si>
  <si>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</si>
  <si>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</si>
  <si>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</si>
  <si>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</si>
  <si>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</si>
  <si>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</si>
  <si>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</si>
  <si>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</si>
  <si>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</si>
  <si>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</si>
  <si>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</si>
  <si>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</si>
  <si>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</si>
  <si>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</si>
  <si>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</si>
  <si>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</si>
  <si>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</si>
  <si>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</si>
  <si>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</si>
  <si>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</si>
  <si>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</si>
  <si>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</si>
  <si>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</si>
  <si>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</si>
  <si>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</si>
  <si>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</si>
  <si>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</si>
  <si>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</si>
  <si>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</si>
  <si>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</si>
  <si>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</si>
  <si>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</si>
  <si>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</si>
  <si>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</si>
  <si>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</si>
  <si>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</si>
  <si>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</si>
  <si>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</si>
  <si>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</si>
  <si>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</si>
  <si>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</si>
  <si>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</si>
  <si>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</si>
  <si>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</si>
  <si>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</si>
  <si>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</si>
  <si>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</si>
  <si>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</si>
  <si>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</si>
  <si>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</si>
  <si>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</si>
  <si>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</si>
  <si>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</si>
  <si>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</si>
  <si>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</si>
  <si>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</si>
  <si>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</si>
  <si>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</si>
  <si>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</si>
  <si>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</si>
  <si>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</si>
  <si>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</si>
  <si>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</si>
  <si>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</si>
  <si>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</si>
  <si>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</si>
  <si>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</si>
  <si>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</si>
  <si>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</si>
  <si>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</si>
  <si>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</si>
  <si>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</si>
  <si>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</si>
  <si>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</si>
  <si>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</si>
  <si>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</si>
  <si>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</si>
  <si>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</si>
  <si>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</si>
  <si>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</si>
  <si>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</si>
  <si>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</si>
  <si>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</si>
  <si>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</si>
  <si>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</si>
  <si>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</si>
  <si>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</si>
  <si>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</si>
  <si>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</si>
  <si>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</si>
  <si>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</si>
  <si>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</si>
  <si>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</si>
  <si>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</si>
  <si>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</si>
  <si>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</si>
  <si>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</si>
  <si>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</si>
  <si>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</si>
  <si>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</si>
  <si>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</si>
  <si>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</si>
  <si>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</si>
  <si>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</si>
  <si>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</si>
  <si>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</si>
  <si>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</si>
  <si>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</si>
  <si>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</si>
  <si>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</si>
  <si>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</si>
  <si>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</si>
  <si>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</si>
  <si>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</si>
  <si>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</si>
  <si>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</si>
  <si>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</si>
  <si>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</si>
  <si>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</si>
  <si>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</si>
  <si>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</si>
  <si>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</si>
  <si>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</si>
  <si>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</si>
  <si>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</si>
  <si>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</si>
  <si>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</si>
  <si>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</si>
  <si>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</si>
  <si>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</si>
  <si>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</si>
  <si>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</si>
  <si>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</si>
  <si>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</si>
  <si>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</si>
  <si>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</si>
  <si>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</si>
  <si>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</si>
  <si>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</si>
  <si>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</si>
  <si>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</si>
  <si>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</si>
  <si>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</si>
  <si>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</si>
  <si>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</si>
  <si>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</si>
  <si>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</si>
  <si>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</si>
  <si>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</si>
  <si>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</si>
  <si>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</si>
  <si>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</si>
  <si>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</si>
  <si>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</si>
  <si>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</si>
  <si>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</si>
  <si>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</si>
  <si>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</si>
  <si>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</si>
  <si>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</si>
  <si>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</si>
  <si>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</si>
  <si>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</si>
  <si>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</si>
  <si>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</si>
  <si>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</si>
  <si>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</si>
  <si>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</si>
  <si>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</si>
  <si>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</si>
  <si>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</si>
  <si>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</si>
  <si>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</si>
  <si>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</si>
  <si>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</si>
  <si>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</si>
  <si>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</si>
  <si>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</si>
  <si>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</si>
  <si>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</si>
  <si>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</si>
  <si>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</si>
  <si>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</si>
  <si>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</si>
  <si>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</si>
  <si>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</si>
  <si>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</si>
  <si>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</si>
  <si>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</si>
  <si>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</si>
  <si>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</si>
  <si>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</si>
  <si>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</si>
  <si>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</si>
  <si>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</si>
  <si>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</si>
  <si>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</si>
  <si>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</si>
  <si>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</si>
  <si>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</si>
  <si>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</si>
  <si>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</si>
  <si>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</si>
  <si>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</si>
  <si>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</si>
  <si>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</si>
  <si>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</si>
  <si>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</si>
  <si>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</si>
  <si>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</si>
  <si>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</si>
  <si>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</si>
  <si>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</si>
  <si>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</si>
  <si>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</si>
  <si>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</si>
  <si>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</si>
  <si>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</si>
  <si>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</si>
  <si>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</si>
  <si>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</si>
  <si>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</si>
  <si>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</si>
  <si>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</si>
  <si>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</si>
  <si>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</si>
  <si>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</si>
  <si>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</si>
  <si>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</si>
  <si>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</si>
  <si>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</si>
  <si>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</si>
  <si>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</si>
  <si>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</si>
  <si>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</si>
  <si>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</si>
  <si>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</si>
  <si>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</si>
  <si>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</si>
  <si>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</si>
  <si>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</si>
  <si>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</si>
  <si>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</si>
  <si>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</si>
  <si>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</si>
  <si>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</si>
  <si>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</si>
  <si>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</si>
  <si>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</si>
  <si>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</si>
  <si>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</si>
  <si>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</si>
  <si>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</si>
  <si>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</si>
  <si>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</si>
  <si>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</si>
  <si>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</si>
  <si>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</si>
  <si>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</si>
  <si>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</si>
  <si>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</si>
  <si>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</si>
  <si>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</si>
  <si>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</si>
  <si>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</si>
  <si>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</si>
  <si>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</si>
  <si>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</si>
  <si>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</si>
  <si>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</si>
  <si>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</si>
  <si>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</si>
  <si>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</si>
  <si>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</si>
  <si>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</si>
  <si>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</si>
  <si>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</si>
  <si>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</si>
  <si>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</si>
  <si>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</si>
  <si>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</si>
  <si>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</si>
  <si>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</si>
  <si>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</si>
  <si>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</si>
  <si>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</si>
  <si>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</si>
  <si>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</si>
  <si>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</si>
  <si>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</si>
  <si>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</si>
  <si>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</si>
  <si>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</si>
  <si>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</si>
  <si>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</si>
  <si>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</si>
  <si>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</si>
  <si>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</si>
  <si>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</si>
  <si>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</si>
  <si>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</si>
  <si>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</si>
  <si>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</si>
  <si>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</si>
  <si>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</si>
  <si>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</si>
  <si>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</si>
  <si>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</si>
  <si>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</si>
  <si>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</si>
  <si>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</si>
  <si>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</si>
  <si>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</si>
  <si>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</si>
  <si>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</si>
  <si>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</si>
  <si>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</si>
  <si>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</si>
  <si>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</si>
  <si>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</si>
  <si>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</si>
  <si>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</si>
  <si>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</si>
  <si>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</si>
  <si>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</si>
  <si>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</si>
  <si>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</si>
  <si>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</si>
  <si>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</si>
  <si>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</si>
  <si>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</si>
  <si>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</si>
  <si>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</si>
  <si>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</si>
  <si>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</si>
  <si>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</si>
  <si>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</si>
  <si>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</si>
  <si>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</si>
  <si>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</si>
  <si>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</si>
  <si>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</si>
  <si>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</si>
  <si>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</si>
  <si>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</si>
  <si>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</si>
  <si>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</si>
  <si>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</si>
  <si>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</si>
  <si>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</si>
  <si>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</si>
  <si>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</si>
  <si>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</si>
  <si>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</si>
  <si>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</si>
  <si>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</si>
  <si>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</si>
  <si>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</si>
  <si>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</si>
  <si>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</si>
  <si>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</si>
  <si>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</si>
  <si>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</si>
  <si>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</si>
  <si>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</si>
  <si>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</si>
  <si>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</si>
  <si>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</si>
  <si>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</si>
  <si>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</si>
  <si>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</si>
  <si>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</si>
  <si>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</si>
  <si>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</si>
  <si>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</si>
  <si>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</si>
  <si>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</si>
  <si>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</si>
  <si>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</si>
  <si>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</si>
  <si>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</si>
  <si>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</si>
  <si>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</si>
  <si>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</si>
  <si>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</si>
  <si>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</si>
  <si>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</si>
  <si>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</si>
  <si>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</si>
  <si>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</si>
  <si>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</si>
  <si>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</si>
  <si>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</si>
  <si>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</si>
  <si>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</si>
  <si>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</si>
  <si>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</si>
  <si>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</si>
  <si>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</si>
  <si>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</si>
  <si>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</si>
  <si>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</si>
  <si>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</si>
  <si>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</si>
  <si>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</si>
  <si>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</si>
  <si>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</si>
  <si>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</si>
  <si>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</si>
  <si>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</si>
  <si>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</si>
  <si>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</si>
  <si>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</si>
  <si>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</si>
  <si>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</si>
  <si>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</si>
  <si>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</si>
  <si>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</si>
  <si>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</si>
  <si>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</si>
  <si>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</si>
  <si>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</si>
  <si>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</si>
  <si>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</si>
  <si>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</si>
  <si>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</si>
  <si>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</si>
  <si>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</si>
  <si>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</si>
  <si>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</si>
  <si>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</si>
  <si>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</si>
  <si>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</si>
  <si>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</si>
  <si>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</si>
  <si>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</si>
  <si>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</si>
  <si>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</si>
  <si>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</si>
  <si>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</si>
  <si>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</si>
  <si>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</si>
  <si>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</si>
  <si>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</si>
  <si>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</si>
  <si>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</si>
  <si>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</si>
  <si>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</si>
  <si>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</si>
  <si>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</si>
  <si>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</si>
  <si>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</si>
  <si>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</si>
  <si>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</si>
  <si>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</si>
  <si>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</si>
  <si>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</si>
  <si>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</si>
  <si>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</si>
  <si>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</si>
  <si>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</si>
  <si>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</si>
  <si>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</si>
  <si>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</si>
  <si>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</si>
  <si>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</si>
  <si>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</si>
  <si>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</si>
  <si>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</si>
  <si>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</si>
  <si>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</si>
  <si>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</si>
  <si>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</si>
  <si>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</si>
  <si>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</si>
  <si>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</si>
  <si>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</si>
  <si>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</si>
  <si>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</si>
  <si>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</si>
  <si>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</si>
  <si>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</si>
  <si>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</si>
  <si>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</si>
  <si>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</si>
  <si>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</si>
  <si>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</si>
  <si>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</si>
  <si>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</si>
  <si>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</si>
  <si>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</si>
  <si>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</si>
  <si>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</si>
  <si>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</si>
  <si>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</si>
  <si>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</si>
  <si>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</si>
  <si>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</si>
  <si>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</si>
  <si>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</si>
  <si>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</si>
  <si>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</si>
  <si>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</si>
  <si>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</si>
  <si>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</si>
  <si>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</si>
  <si>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</si>
  <si>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</si>
  <si>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</si>
  <si>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</si>
  <si>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</si>
  <si>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</si>
  <si>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</si>
  <si>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</si>
  <si>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</si>
  <si>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</si>
  <si>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</si>
  <si>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</si>
  <si>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</si>
  <si>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</si>
  <si>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</si>
  <si>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</si>
  <si>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</si>
  <si>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</si>
  <si>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</si>
  <si>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</si>
  <si>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</si>
  <si>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</si>
  <si>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</si>
  <si>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</si>
  <si>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</si>
  <si>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</si>
  <si>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</si>
  <si>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</si>
  <si>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</si>
  <si>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</si>
  <si>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</si>
  <si>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</si>
  <si>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</si>
  <si>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</si>
  <si>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</si>
  <si>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</si>
  <si>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</si>
  <si>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</si>
  <si>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</si>
  <si>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</si>
  <si>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</si>
  <si>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</si>
  <si>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</si>
  <si>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</si>
  <si>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</si>
  <si>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</si>
  <si>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</si>
  <si>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</si>
  <si>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</si>
  <si>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</si>
  <si>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</si>
  <si>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</si>
  <si>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</si>
  <si>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</si>
  <si>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</si>
  <si>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</si>
  <si>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</si>
  <si>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</si>
  <si>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</si>
  <si>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</si>
  <si>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</si>
  <si>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</si>
  <si>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</si>
  <si>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</si>
  <si>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</si>
  <si>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</si>
  <si>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</si>
  <si>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</si>
  <si>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</si>
  <si>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</si>
  <si>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</si>
  <si>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</si>
  <si>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</si>
  <si>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</si>
  <si>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</si>
  <si>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</si>
  <si>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</si>
  <si>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</si>
  <si>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</si>
  <si>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</si>
  <si>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</si>
  <si>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</si>
  <si>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</si>
  <si>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</si>
  <si>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</si>
  <si>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</si>
  <si>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</si>
  <si>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</si>
  <si>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</si>
  <si>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</si>
  <si>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</si>
  <si>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</si>
  <si>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</si>
  <si>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</si>
  <si>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</si>
  <si>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</si>
  <si>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</si>
  <si>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</si>
  <si>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</si>
  <si>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</si>
  <si>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</si>
  <si>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</si>
  <si>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</si>
  <si>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</si>
  <si>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</si>
  <si>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</si>
  <si>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</si>
  <si>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</si>
  <si>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</si>
  <si>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</si>
  <si>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</si>
  <si>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</si>
  <si>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</si>
  <si>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</si>
  <si>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</si>
  <si>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</si>
  <si>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</si>
  <si>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</si>
  <si>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</si>
  <si>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</si>
  <si>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</si>
  <si>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</si>
  <si>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</si>
  <si>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</si>
  <si>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</si>
  <si>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</si>
  <si>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</si>
  <si>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</si>
  <si>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</si>
  <si>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</si>
  <si>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</si>
  <si>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</si>
  <si>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</si>
  <si>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</si>
  <si>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</si>
  <si>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</si>
  <si>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</si>
  <si>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</si>
  <si>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</si>
  <si>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</si>
  <si>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</si>
  <si>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</si>
  <si>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</si>
  <si>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</si>
  <si>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</si>
  <si>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</si>
  <si>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</si>
  <si>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</si>
  <si>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</si>
  <si>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</si>
  <si>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</si>
  <si>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</si>
  <si>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</si>
  <si>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</si>
  <si>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</si>
  <si>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</si>
  <si>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</si>
  <si>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</si>
  <si>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</si>
  <si>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</si>
  <si>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</si>
  <si>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</si>
  <si>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</si>
  <si>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</si>
  <si>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</si>
  <si>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</si>
  <si>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</si>
  <si>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</si>
  <si>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</si>
  <si>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</si>
  <si>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</si>
  <si>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</si>
  <si>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</si>
  <si>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</si>
  <si>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</si>
  <si>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</si>
  <si>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</si>
  <si>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</si>
  <si>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</si>
  <si>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</si>
  <si>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</si>
  <si>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</si>
  <si>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</si>
  <si>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</si>
  <si>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</si>
  <si>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</si>
  <si>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</si>
  <si>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</si>
  <si>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</si>
  <si>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</si>
  <si>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</si>
  <si>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</si>
  <si>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</si>
  <si>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</si>
  <si>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</si>
  <si>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</si>
  <si>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</si>
  <si>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</si>
  <si>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</si>
  <si>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</si>
  <si>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</si>
  <si>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</si>
  <si>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</si>
  <si>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</si>
  <si>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</si>
  <si>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</si>
  <si>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</si>
  <si>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</si>
  <si>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</si>
  <si>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</si>
  <si>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</si>
  <si>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</si>
  <si>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</si>
  <si>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</si>
  <si>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</si>
  <si>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</si>
  <si>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</si>
  <si>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</si>
  <si>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</si>
  <si>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</si>
  <si>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</si>
  <si>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</si>
  <si>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</si>
  <si>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</si>
  <si>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</si>
  <si>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</si>
  <si>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</si>
  <si>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</si>
  <si>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</si>
  <si>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</si>
  <si>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</si>
  <si>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</si>
  <si>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</si>
  <si>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</si>
  <si>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</si>
  <si>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</si>
  <si>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</si>
  <si>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</si>
  <si>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</si>
  <si>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</si>
  <si>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</si>
  <si>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</si>
  <si>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</si>
  <si>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</si>
  <si>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</si>
  <si>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</si>
  <si>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</si>
  <si>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</si>
  <si>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</si>
  <si>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</si>
  <si>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</si>
  <si>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</si>
  <si>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</si>
  <si>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</si>
  <si>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</si>
  <si>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</si>
  <si>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</si>
  <si>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</si>
  <si>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</si>
  <si>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</si>
  <si>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</si>
  <si>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</si>
  <si>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</si>
  <si>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</si>
  <si>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</si>
  <si>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</si>
  <si>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</si>
  <si>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</si>
  <si>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</si>
  <si>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</si>
  <si>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</si>
  <si>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</si>
  <si>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</si>
  <si>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</si>
  <si>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</si>
  <si>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</si>
  <si>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</si>
  <si>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</si>
  <si>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</si>
  <si>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</si>
  <si>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</si>
  <si>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</si>
  <si>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</si>
  <si>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</si>
  <si>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</si>
  <si>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</si>
  <si>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</si>
  <si>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</si>
  <si>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</si>
  <si>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</si>
  <si>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</si>
  <si>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</si>
  <si>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</si>
  <si>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</si>
  <si>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</si>
  <si>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</si>
  <si>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</si>
  <si>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</si>
  <si>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</si>
  <si>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</si>
  <si>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</si>
  <si>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</si>
  <si>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</si>
  <si>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</si>
  <si>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</si>
  <si>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</si>
  <si>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</si>
  <si>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</si>
  <si>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</si>
  <si>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</si>
  <si>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</si>
  <si>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</si>
  <si>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</si>
  <si>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</si>
  <si>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</si>
  <si>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</si>
  <si>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</si>
  <si>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</si>
  <si>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</si>
  <si>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</si>
  <si>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</si>
  <si>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</si>
  <si>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</si>
  <si>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</si>
  <si>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</si>
  <si>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</si>
  <si>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</si>
  <si>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</si>
  <si>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</si>
  <si>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</si>
  <si>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</si>
  <si>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</si>
  <si>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</si>
  <si>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</si>
  <si>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</si>
  <si>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</si>
  <si>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</si>
  <si>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</si>
  <si>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</si>
  <si>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</si>
  <si>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</si>
  <si>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</si>
  <si>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</si>
  <si>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</si>
  <si>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</si>
  <si>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</si>
  <si>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</si>
  <si>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</si>
  <si>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</si>
  <si>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</si>
  <si>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</si>
  <si>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</si>
  <si>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</si>
  <si>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</si>
  <si>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</si>
  <si>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</si>
  <si>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</si>
  <si>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</si>
  <si>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</si>
  <si>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</si>
  <si>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</si>
  <si>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</si>
  <si>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</si>
  <si>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</si>
  <si>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</si>
  <si>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</si>
  <si>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</si>
  <si>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</si>
  <si>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</si>
  <si>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</si>
  <si>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</si>
  <si>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</si>
  <si>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</si>
  <si>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</si>
  <si>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</si>
  <si>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</si>
  <si>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</si>
  <si>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</si>
  <si>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</si>
  <si>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</si>
  <si>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</si>
  <si>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</si>
  <si>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</si>
  <si>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</si>
  <si>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</si>
  <si>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</si>
  <si>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</si>
  <si>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</si>
  <si>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</si>
  <si>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</si>
  <si>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</si>
  <si>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</si>
  <si>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</si>
  <si>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</si>
  <si>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</si>
  <si>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</si>
  <si>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</si>
  <si>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</si>
  <si>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</si>
  <si>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</si>
  <si>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</si>
  <si>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</si>
  <si>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</si>
  <si>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</si>
  <si>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</si>
  <si>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</si>
  <si>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</si>
  <si>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</si>
  <si>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</si>
  <si>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</si>
  <si>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</si>
  <si>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</si>
  <si>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</si>
  <si>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</si>
  <si>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</si>
  <si>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</si>
  <si>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</si>
  <si>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</si>
  <si>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</si>
  <si>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</si>
  <si>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</si>
  <si>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</si>
  <si>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</si>
  <si>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</si>
  <si>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</si>
  <si>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</si>
  <si>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</si>
  <si>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</si>
  <si>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</si>
  <si>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</si>
  <si>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</si>
  <si>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</si>
  <si>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</si>
  <si>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</si>
  <si>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</si>
  <si>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</si>
  <si>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</si>
  <si>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</si>
  <si>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</si>
  <si>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</si>
  <si>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</si>
  <si>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</si>
  <si>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</si>
  <si>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</si>
  <si>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</si>
  <si>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</si>
  <si>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</si>
  <si>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</si>
  <si>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</si>
  <si>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</si>
  <si>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</si>
  <si>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</si>
  <si>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</si>
  <si>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</si>
  <si>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</si>
  <si>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</si>
  <si>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</si>
  <si>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</si>
  <si>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</si>
  <si>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</si>
  <si>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</si>
  <si>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</si>
  <si>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</si>
  <si>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</si>
  <si>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</si>
  <si>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</si>
  <si>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</si>
  <si>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</si>
  <si>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</si>
  <si>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</si>
  <si>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</si>
  <si>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</si>
  <si>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</si>
  <si>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</si>
  <si>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</si>
  <si>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</si>
  <si>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</si>
  <si>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</si>
  <si>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</si>
  <si>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</si>
  <si>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</si>
  <si>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</si>
  <si>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</si>
  <si>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</si>
  <si>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</si>
  <si>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</si>
  <si>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</si>
  <si>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</si>
  <si>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</si>
  <si>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</si>
  <si>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</si>
  <si>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</si>
  <si>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</si>
  <si>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</si>
  <si>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</si>
  <si>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</si>
  <si>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</si>
  <si>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</si>
  <si>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</si>
  <si>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</si>
  <si>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</si>
  <si>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</si>
  <si>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</si>
  <si>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</si>
  <si>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</si>
  <si>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</si>
  <si>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</si>
  <si>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</si>
  <si>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</si>
  <si>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</si>
  <si>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</si>
  <si>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</si>
  <si>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</si>
  <si>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</si>
  <si>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</si>
  <si>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</si>
  <si>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</si>
  <si>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</si>
  <si>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</si>
  <si>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</si>
  <si>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</si>
  <si>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</si>
  <si>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</si>
  <si>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</si>
  <si>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</si>
  <si>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</si>
  <si>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</si>
  <si>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</si>
  <si>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</si>
  <si>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</si>
  <si>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</si>
  <si>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</si>
  <si>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</si>
  <si>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</si>
  <si>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</si>
  <si>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</si>
  <si>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</si>
  <si>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</si>
  <si>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</si>
  <si>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</si>
  <si>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</si>
  <si>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</si>
  <si>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</si>
  <si>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</si>
  <si>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</si>
  <si>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</si>
  <si>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</si>
  <si>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</si>
  <si>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</si>
  <si>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</si>
  <si>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</si>
  <si>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</si>
  <si>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</si>
  <si>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</si>
  <si>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</si>
  <si>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</si>
  <si>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</si>
  <si>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</si>
  <si>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</si>
  <si>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</si>
  <si>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</si>
  <si>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</si>
  <si>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</si>
  <si>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</si>
  <si>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</si>
  <si>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</si>
  <si>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</si>
  <si>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</si>
  <si>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</si>
  <si>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</si>
  <si>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</si>
  <si>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</si>
  <si>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</si>
  <si>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</si>
  <si>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</si>
  <si>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</si>
  <si>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</si>
  <si>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</si>
  <si>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</si>
  <si>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</si>
  <si>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</si>
  <si>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</si>
  <si>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</si>
  <si>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</si>
  <si>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</si>
  <si>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</si>
  <si>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</si>
  <si>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</si>
  <si>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</si>
  <si>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</si>
  <si>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</si>
  <si>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</si>
  <si>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</si>
  <si>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</si>
  <si>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</si>
  <si>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</si>
  <si>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</si>
  <si>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</si>
  <si>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</si>
  <si>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</si>
  <si>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</si>
  <si>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</si>
  <si>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</si>
  <si>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</si>
  <si>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</si>
  <si>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</si>
  <si>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</si>
  <si>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</si>
  <si>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</si>
  <si>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</si>
  <si>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</si>
  <si>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</si>
  <si>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</si>
  <si>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</si>
  <si>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</si>
  <si>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</si>
  <si>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</si>
  <si>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</si>
  <si>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</si>
  <si>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</si>
  <si>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</si>
  <si>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</si>
  <si>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</si>
  <si>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</si>
  <si>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</si>
  <si>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</si>
  <si>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</si>
  <si>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</si>
  <si>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</si>
  <si>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</si>
  <si>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</si>
  <si>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</si>
  <si>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</si>
  <si>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</si>
  <si>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</si>
  <si>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</si>
  <si>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</si>
  <si>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</si>
  <si>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</si>
  <si>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</si>
  <si>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</si>
  <si>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</si>
  <si>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</si>
  <si>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</si>
  <si>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</si>
  <si>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</si>
  <si>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</si>
  <si>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</si>
  <si>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</si>
  <si>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</si>
  <si>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</si>
  <si>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</si>
  <si>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</si>
  <si>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</si>
  <si>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</si>
  <si>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</si>
  <si>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</si>
  <si>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</si>
  <si>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</si>
  <si>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</si>
  <si>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</si>
  <si>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</si>
  <si>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</si>
  <si>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</si>
  <si>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</si>
  <si>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</si>
  <si>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</si>
  <si>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</si>
  <si>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</si>
  <si>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</si>
  <si>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</si>
  <si>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</si>
  <si>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</si>
  <si>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</si>
  <si>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</si>
  <si>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</si>
  <si>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</si>
  <si>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</si>
  <si>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</si>
  <si>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</si>
  <si>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</si>
  <si>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</si>
  <si>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</si>
  <si>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</si>
  <si>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</si>
  <si>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</si>
  <si>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</si>
  <si>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</si>
  <si>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</si>
  <si>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</si>
  <si>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</si>
  <si>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</si>
  <si>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</si>
  <si>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</si>
  <si>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</si>
  <si>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</si>
  <si>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</si>
  <si>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</si>
  <si>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</si>
  <si>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</si>
  <si>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</si>
  <si>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</si>
  <si>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</si>
  <si>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</si>
  <si>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</si>
  <si>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</si>
  <si>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</si>
  <si>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</si>
  <si>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</si>
  <si>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</si>
  <si>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</si>
  <si>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</si>
  <si>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</si>
  <si>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</si>
  <si>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</si>
  <si>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</si>
  <si>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</si>
  <si>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</si>
  <si>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</si>
  <si>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</si>
  <si>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</si>
  <si>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</si>
  <si>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</si>
  <si>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</si>
  <si>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</si>
  <si>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</si>
  <si>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</si>
  <si>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</si>
  <si>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</si>
  <si>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</si>
  <si>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</si>
  <si>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</si>
  <si>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</si>
  <si>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</si>
  <si>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</si>
  <si>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</si>
  <si>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</si>
  <si>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</si>
  <si>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</si>
  <si>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</si>
  <si>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</si>
  <si>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</si>
  <si>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</si>
  <si>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</si>
  <si>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</si>
  <si>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</si>
  <si>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</si>
  <si>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</si>
  <si>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</si>
  <si>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</si>
  <si>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</si>
  <si>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</si>
  <si>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</si>
  <si>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</si>
  <si>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</si>
  <si>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</si>
  <si>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</si>
  <si>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</si>
  <si>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</si>
  <si>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</si>
  <si>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</si>
  <si>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</si>
  <si>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</si>
  <si>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</si>
  <si>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</si>
  <si>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</si>
  <si>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</si>
  <si>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</si>
  <si>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</si>
  <si>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</si>
  <si>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</si>
  <si>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</si>
  <si>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</si>
  <si>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</si>
  <si>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</si>
  <si>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</si>
  <si>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</si>
  <si>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</si>
  <si>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</si>
  <si>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</si>
  <si>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</si>
  <si>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</si>
  <si>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</si>
  <si>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</si>
  <si>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</si>
  <si>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</si>
  <si>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</si>
  <si>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</si>
  <si>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</si>
  <si>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</si>
  <si>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</si>
  <si>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</si>
  <si>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</si>
  <si>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</si>
  <si>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</si>
  <si>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</si>
  <si>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</si>
  <si>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</si>
  <si>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</si>
  <si>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</si>
  <si>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</si>
  <si>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</si>
  <si>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</si>
  <si>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</si>
  <si>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</si>
  <si>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</si>
  <si>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</si>
  <si>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</si>
  <si>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</si>
  <si>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</si>
  <si>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</si>
  <si>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</si>
  <si>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</si>
  <si>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</si>
  <si>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</si>
  <si>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</si>
  <si>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</si>
  <si>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</si>
  <si>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</si>
  <si>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</si>
  <si>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</si>
  <si>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</si>
  <si>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</si>
  <si>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</si>
  <si>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</si>
  <si>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</si>
  <si>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</si>
  <si>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</si>
  <si>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</si>
  <si>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</si>
  <si>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</si>
  <si>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</si>
  <si>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</si>
  <si>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</si>
  <si>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</si>
  <si>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</si>
  <si>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</si>
  <si>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</si>
  <si>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</si>
  <si>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</si>
  <si>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</si>
  <si>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</si>
  <si>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</si>
  <si>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</si>
  <si>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</si>
  <si>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</si>
  <si>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</si>
  <si>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</si>
  <si>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</si>
  <si>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</si>
  <si>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</si>
  <si>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</si>
  <si>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</si>
  <si>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</si>
  <si>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</si>
  <si>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</si>
  <si>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</si>
  <si>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</si>
  <si>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</si>
  <si>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</si>
  <si>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</si>
  <si>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</si>
  <si>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</si>
  <si>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</si>
  <si>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</si>
  <si>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</si>
  <si>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</si>
  <si>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</si>
  <si>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</si>
  <si>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</si>
  <si>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</si>
  <si>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</si>
  <si>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</si>
  <si>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</si>
  <si>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</si>
  <si>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</si>
  <si>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</si>
  <si>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</si>
  <si>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</si>
  <si>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</si>
  <si>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</si>
  <si>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</si>
  <si>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</si>
  <si>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</si>
  <si>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</si>
  <si>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</si>
  <si>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</si>
  <si>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</si>
  <si>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</si>
  <si>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</si>
  <si>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</si>
  <si>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</si>
  <si>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</si>
  <si>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</si>
  <si>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</si>
  <si>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</si>
  <si>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</si>
  <si>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</si>
  <si>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</si>
  <si>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</si>
  <si>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</si>
  <si>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</si>
  <si>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</si>
  <si>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</si>
  <si>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</si>
  <si>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</si>
  <si>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</si>
  <si>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</si>
  <si>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</si>
  <si>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</si>
  <si>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</si>
  <si>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</si>
  <si>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</si>
  <si>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</si>
  <si>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</si>
  <si>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</si>
  <si>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</si>
  <si>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</si>
  <si>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</si>
  <si>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</si>
  <si>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</si>
  <si>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</si>
  <si>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</si>
  <si>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</si>
  <si>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</si>
  <si>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</si>
  <si>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</si>
  <si>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</si>
  <si>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</si>
  <si>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</si>
  <si>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</si>
  <si>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</si>
  <si>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</si>
  <si>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</si>
  <si>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</si>
  <si>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</si>
  <si>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</si>
  <si>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</si>
  <si>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</si>
  <si>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</si>
  <si>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</si>
  <si>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</si>
  <si>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</si>
  <si>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</si>
  <si>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</si>
  <si>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</si>
  <si>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</si>
  <si>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</si>
  <si>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</si>
  <si>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</si>
  <si>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</si>
  <si>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</si>
  <si>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</si>
  <si>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</si>
  <si>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</si>
  <si>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</si>
  <si>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</si>
  <si>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</si>
  <si>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</si>
  <si>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</si>
  <si>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</si>
  <si>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</si>
  <si>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</si>
  <si>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</si>
  <si>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</si>
  <si>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</si>
  <si>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</si>
  <si>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</si>
  <si>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</si>
  <si>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</si>
  <si>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</si>
  <si>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</si>
  <si>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</si>
  <si>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</si>
  <si>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</si>
  <si>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</si>
  <si>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</si>
  <si>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</si>
  <si>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</si>
  <si>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</si>
  <si>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</si>
  <si>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</si>
  <si>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</si>
  <si>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</si>
  <si>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</si>
  <si>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</si>
  <si>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</si>
  <si>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</si>
  <si>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</si>
  <si>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</si>
  <si>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</si>
  <si>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</si>
  <si>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</si>
  <si>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</si>
  <si>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</si>
  <si>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</si>
  <si>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</si>
  <si>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</si>
  <si>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</si>
  <si>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</si>
  <si>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</si>
  <si>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</si>
  <si>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</si>
  <si>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</si>
  <si>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</si>
  <si>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</si>
  <si>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</si>
  <si>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</si>
  <si>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</si>
  <si>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</si>
  <si>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</si>
  <si>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</si>
  <si>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</si>
  <si>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</si>
  <si>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</si>
  <si>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</si>
  <si>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</si>
  <si>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</si>
  <si>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</si>
  <si>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</si>
  <si>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</si>
  <si>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</si>
  <si>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</si>
  <si>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</si>
  <si>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</si>
  <si>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</si>
  <si>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</si>
  <si>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</si>
  <si>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</si>
  <si>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</si>
  <si>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</si>
  <si>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</si>
  <si>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</si>
  <si>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</si>
  <si>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</si>
  <si>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</si>
  <si>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</si>
  <si>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</si>
  <si>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</si>
  <si>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</si>
  <si>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</si>
  <si>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</si>
  <si>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</si>
  <si>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</si>
  <si>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</si>
  <si>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</si>
  <si>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</si>
  <si>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</si>
  <si>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</si>
  <si>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</si>
  <si>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</si>
  <si>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</si>
  <si>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</si>
  <si>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</si>
  <si>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</si>
  <si>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</si>
  <si>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</si>
  <si>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</si>
  <si>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</si>
  <si>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</si>
  <si>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</si>
  <si>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</si>
  <si>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</si>
  <si>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</si>
  <si>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</si>
  <si>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</si>
  <si>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</si>
  <si>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</si>
  <si>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</si>
  <si>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</si>
  <si>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</si>
  <si>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</si>
  <si>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</si>
  <si>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</si>
  <si>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</si>
  <si>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</si>
  <si>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</si>
  <si>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</si>
  <si>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</si>
  <si>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</si>
  <si>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</si>
  <si>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</si>
  <si>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</si>
  <si>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</si>
  <si>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</si>
  <si>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</si>
  <si>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</si>
  <si>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</si>
  <si>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</si>
  <si>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</si>
  <si>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</si>
  <si>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</si>
  <si>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</si>
  <si>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</si>
  <si>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</si>
  <si>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</si>
  <si>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</si>
  <si>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</si>
  <si>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</si>
  <si>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</si>
  <si>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</si>
  <si>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</si>
  <si>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</si>
  <si>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</si>
  <si>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</si>
  <si>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</si>
  <si>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</si>
  <si>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</si>
  <si>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</si>
  <si>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</si>
  <si>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</si>
  <si>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</si>
  <si>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</si>
  <si>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</si>
  <si>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</si>
  <si>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</si>
  <si>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</si>
  <si>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</si>
  <si>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</si>
  <si>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</si>
  <si>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</si>
  <si>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</si>
  <si>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</si>
  <si>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</si>
  <si>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</si>
  <si>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</si>
  <si>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</si>
  <si>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</si>
  <si>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</si>
  <si>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</si>
  <si>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</si>
  <si>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</si>
  <si>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</si>
  <si>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</si>
  <si>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</si>
  <si>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</si>
  <si>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</si>
  <si>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</si>
  <si>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</si>
  <si>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</si>
  <si>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</si>
  <si>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</si>
  <si>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</si>
  <si>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</si>
  <si>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</si>
  <si>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</si>
  <si>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</si>
  <si>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</si>
  <si>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</si>
  <si>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</si>
  <si>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</si>
  <si>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</si>
  <si>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</si>
  <si>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</si>
  <si>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</si>
  <si>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</si>
  <si>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</si>
  <si>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</si>
  <si>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</si>
  <si>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</si>
  <si>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</si>
  <si>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</si>
  <si>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</si>
  <si>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</si>
  <si>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</si>
  <si>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</si>
  <si>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</si>
  <si>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</si>
  <si>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</si>
  <si>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</si>
  <si>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</si>
  <si>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</si>
  <si>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</si>
  <si>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</si>
  <si>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</si>
  <si>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</si>
  <si>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</si>
  <si>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</si>
  <si>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</si>
  <si>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</si>
  <si>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</si>
  <si>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</si>
  <si>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</si>
  <si>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</si>
  <si>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</si>
  <si>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</si>
  <si>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</si>
  <si>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</si>
  <si>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</si>
  <si>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</si>
  <si>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</si>
  <si>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</si>
  <si>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</si>
  <si>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</si>
  <si>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</si>
  <si>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</si>
  <si>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</si>
  <si>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</si>
  <si>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</si>
  <si>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</si>
  <si>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</si>
  <si>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</si>
  <si>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</si>
  <si>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</si>
  <si>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</si>
  <si>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</si>
  <si>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</si>
  <si>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</si>
  <si>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</si>
  <si>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</si>
  <si>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</si>
  <si>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</si>
  <si>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</si>
  <si>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</si>
  <si>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</si>
  <si>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</si>
  <si>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</si>
  <si>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</si>
  <si>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</si>
  <si>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</si>
  <si>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</si>
  <si>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</si>
  <si>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</si>
  <si>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</si>
  <si>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</si>
  <si>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</si>
  <si>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</si>
  <si>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</si>
  <si>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</si>
  <si>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</si>
  <si>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</si>
  <si>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</si>
  <si>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</si>
  <si>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</si>
  <si>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</si>
  <si>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</si>
  <si>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</si>
  <si>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</si>
  <si>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</si>
  <si>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</si>
  <si>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</si>
  <si>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</si>
  <si>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</si>
  <si>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</si>
  <si>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</si>
  <si>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</si>
  <si>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</si>
  <si>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</si>
  <si>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</si>
  <si>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</si>
  <si>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</si>
  <si>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</si>
  <si>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</si>
  <si>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</si>
  <si>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</si>
  <si>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</si>
  <si>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</si>
  <si>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</si>
  <si>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</si>
  <si>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</si>
  <si>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</si>
  <si>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</si>
  <si>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</si>
  <si>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</si>
  <si>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</si>
  <si>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</si>
  <si>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</si>
  <si>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</si>
  <si>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</si>
  <si>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</si>
  <si>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</si>
  <si>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</si>
  <si>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</si>
  <si>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</si>
  <si>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</si>
  <si>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</si>
  <si>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</si>
  <si>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</si>
  <si>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</si>
  <si>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</si>
  <si>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</si>
  <si>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</si>
  <si>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</si>
  <si>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</si>
  <si>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</si>
  <si>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</si>
  <si>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</si>
  <si>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</si>
  <si>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</si>
  <si>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</si>
  <si>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</si>
  <si>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</si>
  <si>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</si>
  <si>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</si>
  <si>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</si>
  <si>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</si>
  <si>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</si>
  <si>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</si>
  <si>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</si>
  <si>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</si>
  <si>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</si>
  <si>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</si>
  <si>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</si>
  <si>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</si>
  <si>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</si>
  <si>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</si>
  <si>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</si>
  <si>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</si>
  <si>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</si>
  <si>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</si>
  <si>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</si>
  <si>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</si>
  <si>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</si>
  <si>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</si>
  <si>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</si>
  <si>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</si>
  <si>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</si>
  <si>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</si>
  <si>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</si>
  <si>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</si>
  <si>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</si>
  <si>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</si>
  <si>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</si>
  <si>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</si>
  <si>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</si>
  <si>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</si>
  <si>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</si>
  <si>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</si>
  <si>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</si>
  <si>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</si>
  <si>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</si>
  <si>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</si>
  <si>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</si>
  <si>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</si>
  <si>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</si>
  <si>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</si>
  <si>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</si>
  <si>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</si>
  <si>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</si>
  <si>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</si>
  <si>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</si>
  <si>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</si>
  <si>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</si>
  <si>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</si>
  <si>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</si>
  <si>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</si>
  <si>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</si>
  <si>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</si>
  <si>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</si>
  <si>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</si>
  <si>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</si>
  <si>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</si>
  <si>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</si>
  <si>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</si>
  <si>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</si>
  <si>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</si>
  <si>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</si>
  <si>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</si>
  <si>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</si>
  <si>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</si>
  <si>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</si>
  <si>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</si>
  <si>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</si>
  <si>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</si>
  <si>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</si>
  <si>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</si>
  <si>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</si>
  <si>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</si>
  <si>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</si>
  <si>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</si>
  <si>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</si>
  <si>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</si>
  <si>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</si>
  <si>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</si>
  <si>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</si>
  <si>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</si>
  <si>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</si>
  <si>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</si>
  <si>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</si>
  <si>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</si>
  <si>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</si>
  <si>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</si>
  <si>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</si>
  <si>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</si>
  <si>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</si>
  <si>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</si>
  <si>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</si>
  <si>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</si>
  <si>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</si>
  <si>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</si>
  <si>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</si>
  <si>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</si>
  <si>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</si>
  <si>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</si>
  <si>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</si>
  <si>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</si>
  <si>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</si>
  <si>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</si>
  <si>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</si>
  <si>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</si>
  <si>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</si>
  <si>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</si>
  <si>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</si>
  <si>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</si>
  <si>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</si>
  <si>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</si>
  <si>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</si>
  <si>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</si>
  <si>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</si>
  <si>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</si>
  <si>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</si>
  <si>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</si>
  <si>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</si>
  <si>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</si>
  <si>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</si>
  <si>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</si>
  <si>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</si>
  <si>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</si>
  <si>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</si>
  <si>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</si>
  <si>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</si>
  <si>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</si>
  <si>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</si>
  <si>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</si>
  <si>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</si>
  <si>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</si>
  <si>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</si>
  <si>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</si>
  <si>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</si>
  <si>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</si>
  <si>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</si>
  <si>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</si>
  <si>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</si>
  <si>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</si>
  <si>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</si>
  <si>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</si>
  <si>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</si>
  <si>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</si>
  <si>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</si>
  <si>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</si>
  <si>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</si>
  <si>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</si>
  <si>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</si>
  <si>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</si>
  <si>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</si>
  <si>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</si>
  <si>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</si>
  <si>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</si>
  <si>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</si>
  <si>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</si>
  <si>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</si>
  <si>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</si>
  <si>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</si>
  <si>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</si>
  <si>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</si>
  <si>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</si>
  <si>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</si>
  <si>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</si>
  <si>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</si>
  <si>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</si>
  <si>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</si>
  <si>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</si>
  <si>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</si>
  <si>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</si>
  <si>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</si>
  <si>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</si>
  <si>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</si>
  <si>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</si>
  <si>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</si>
  <si>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</si>
  <si>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</si>
  <si>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</si>
  <si>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</si>
  <si>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</si>
  <si>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</si>
  <si>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</si>
  <si>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</si>
  <si>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</si>
  <si>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</si>
  <si>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</si>
  <si>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</si>
  <si>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</si>
  <si>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</si>
  <si>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</si>
  <si>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</si>
  <si>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</si>
  <si>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</si>
  <si>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</si>
  <si>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</si>
  <si>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</si>
  <si>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</si>
  <si>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</si>
  <si>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</si>
  <si>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</si>
  <si>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</si>
  <si>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</si>
  <si>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</si>
  <si>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</si>
  <si>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</si>
  <si>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</si>
  <si>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</si>
  <si>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</si>
  <si>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</si>
  <si>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</si>
  <si>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</si>
  <si>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</si>
  <si>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</si>
  <si>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</si>
  <si>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</si>
  <si>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</si>
  <si>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</si>
  <si>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</si>
  <si>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</si>
  <si>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</si>
  <si>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</si>
  <si>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</si>
  <si>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</si>
  <si>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</si>
  <si>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</si>
  <si>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</si>
  <si>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</si>
  <si>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</si>
  <si>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</si>
  <si>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</si>
  <si>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</si>
  <si>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</si>
  <si>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</si>
  <si>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</si>
  <si>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</si>
  <si>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</si>
  <si>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</si>
  <si>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</si>
  <si>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</si>
  <si>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</si>
  <si>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</si>
  <si>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</si>
  <si>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</si>
  <si>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</si>
  <si>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</si>
  <si>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</si>
  <si>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</si>
  <si>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</si>
  <si>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</si>
  <si>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</si>
  <si>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</si>
  <si>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</si>
  <si>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</si>
  <si>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</si>
  <si>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</si>
  <si>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</si>
  <si>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</si>
  <si>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</si>
  <si>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</si>
  <si>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</si>
  <si>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</si>
  <si>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</si>
  <si>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</si>
  <si>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</si>
  <si>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</si>
  <si>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</si>
  <si>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</si>
  <si>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</si>
  <si>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</si>
  <si>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</si>
  <si>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</si>
  <si>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</si>
  <si>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</si>
  <si>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</si>
  <si>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</si>
  <si>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</si>
  <si>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</si>
  <si>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</si>
  <si>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</si>
  <si>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</si>
  <si>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</si>
  <si>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</si>
  <si>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</si>
  <si>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</si>
  <si>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</si>
  <si>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</si>
  <si>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</si>
  <si>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</si>
  <si>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</si>
  <si>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</si>
  <si>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</si>
  <si>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</si>
  <si>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</si>
  <si>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</si>
  <si>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</si>
  <si>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</si>
  <si>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</si>
  <si>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</si>
  <si>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</si>
  <si>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</si>
  <si>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</si>
  <si>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</si>
  <si>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</si>
  <si>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</si>
  <si>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</si>
  <si>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</si>
  <si>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</si>
  <si>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</si>
  <si>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</si>
  <si>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</si>
  <si>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</si>
  <si>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</si>
  <si>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</si>
  <si>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</si>
  <si>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</si>
  <si>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</si>
  <si>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</si>
  <si>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</si>
  <si>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</si>
  <si>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</si>
  <si>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</si>
  <si>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</si>
  <si>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</si>
  <si>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</si>
  <si>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</si>
  <si>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</si>
  <si>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</si>
  <si>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</si>
  <si>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</si>
  <si>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</si>
  <si>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</si>
  <si>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</si>
  <si>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</si>
  <si>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</si>
  <si>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</si>
  <si>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</si>
  <si>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</si>
  <si>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</si>
  <si>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</si>
  <si>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</si>
  <si>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</si>
  <si>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</si>
  <si>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</si>
  <si>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</si>
  <si>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</si>
  <si>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</si>
  <si>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</si>
  <si>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</si>
  <si>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</si>
  <si>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</si>
  <si>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</si>
  <si>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</si>
  <si>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</si>
  <si>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</si>
  <si>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</si>
  <si>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</si>
  <si>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</si>
  <si>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</si>
  <si>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</si>
  <si>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</si>
  <si>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</si>
  <si>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</si>
  <si>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</si>
  <si>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</si>
  <si>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</si>
  <si>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</si>
  <si>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</si>
  <si>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</si>
  <si>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</si>
  <si>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</si>
  <si>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</si>
  <si>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</si>
  <si>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</si>
  <si>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</si>
  <si>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</si>
  <si>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</si>
  <si>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</si>
  <si>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</si>
  <si>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</si>
  <si>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</si>
  <si>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</si>
  <si>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</si>
  <si>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</si>
  <si>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</si>
  <si>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</si>
  <si>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</si>
  <si>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</si>
  <si>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</si>
  <si>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</si>
  <si>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</si>
  <si>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</si>
  <si>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</si>
  <si>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</si>
  <si>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</si>
  <si>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</si>
  <si>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</si>
  <si>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</si>
  <si>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</si>
  <si>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</si>
  <si>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</si>
  <si>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</si>
  <si>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</si>
  <si>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</si>
  <si>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</si>
  <si>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</si>
  <si>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</si>
  <si>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</si>
  <si>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</si>
  <si>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</si>
  <si>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</si>
  <si>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</si>
  <si>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</si>
  <si>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</si>
  <si>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</si>
  <si>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</si>
  <si>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</si>
  <si>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</si>
  <si>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</si>
  <si>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</si>
  <si>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</si>
  <si>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</si>
  <si>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</si>
  <si>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</si>
  <si>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</si>
  <si>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</si>
  <si>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</si>
  <si>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</si>
  <si>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</si>
  <si>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</si>
  <si>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</si>
  <si>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</si>
  <si>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</si>
  <si>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</si>
  <si>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</si>
  <si>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</si>
  <si>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</si>
  <si>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</si>
  <si>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</si>
  <si>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</si>
  <si>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</si>
  <si>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</si>
  <si>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</si>
  <si>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</si>
  <si>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</si>
  <si>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</si>
  <si>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</si>
  <si>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</si>
  <si>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</si>
  <si>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</si>
  <si>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</si>
  <si>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</si>
  <si>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</si>
  <si>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</si>
  <si>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</si>
  <si>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</si>
  <si>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</si>
  <si>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</si>
  <si>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</si>
  <si>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</si>
  <si>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</si>
  <si>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</si>
  <si>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</si>
  <si>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</si>
  <si>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</si>
  <si>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</si>
  <si>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</si>
  <si>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</si>
  <si>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</si>
  <si>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</si>
  <si>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</si>
  <si>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</si>
  <si>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</si>
  <si>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</si>
  <si>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</si>
  <si>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</si>
  <si>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</si>
  <si>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</si>
  <si>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</si>
  <si>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</si>
  <si>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</si>
  <si>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</si>
  <si>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</si>
  <si>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</si>
  <si>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</si>
  <si>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</si>
  <si>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</si>
  <si>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</si>
  <si>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</si>
  <si>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</si>
  <si>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</si>
  <si>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</si>
  <si>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</si>
  <si>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</si>
  <si>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</si>
  <si>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</si>
  <si>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</si>
  <si>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</si>
  <si>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</si>
  <si>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</si>
  <si>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</si>
  <si>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</si>
  <si>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</si>
  <si>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</si>
  <si>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</si>
  <si>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</si>
  <si>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</si>
  <si>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</si>
  <si>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</si>
  <si>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</si>
  <si>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</si>
  <si>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</si>
  <si>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</si>
  <si>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</si>
  <si>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</si>
  <si>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</si>
  <si>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</si>
  <si>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</si>
  <si>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</si>
  <si>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</si>
  <si>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</si>
  <si>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</si>
  <si>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</si>
  <si>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</si>
  <si>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</si>
  <si>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</si>
  <si>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</si>
  <si>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</si>
  <si>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</si>
  <si>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</si>
  <si>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</si>
  <si>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</si>
  <si>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</si>
  <si>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</si>
  <si>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</si>
  <si>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</si>
  <si>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</si>
  <si>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</si>
  <si>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</si>
  <si>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</si>
  <si>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</si>
  <si>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</si>
  <si>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</si>
  <si>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</si>
  <si>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</si>
  <si>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</si>
  <si>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</si>
  <si>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</si>
  <si>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</si>
  <si>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</si>
  <si>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</si>
  <si>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</si>
  <si>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</si>
  <si>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</si>
  <si>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</si>
  <si>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</si>
  <si>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</si>
  <si>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</si>
  <si>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</si>
  <si>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</si>
  <si>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</si>
  <si>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</si>
  <si>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</si>
  <si>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</si>
  <si>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</si>
  <si>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</si>
  <si>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</si>
  <si>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</si>
  <si>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</si>
  <si>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</si>
  <si>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</si>
  <si>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</si>
  <si>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</si>
  <si>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</si>
  <si>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</si>
  <si>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</si>
  <si>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</si>
  <si>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</si>
  <si>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</si>
  <si>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</si>
  <si>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</si>
  <si>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</si>
  <si>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</si>
  <si>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</si>
  <si>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</si>
  <si>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</si>
  <si>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</si>
  <si>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</si>
  <si>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</si>
  <si>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</si>
  <si>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</si>
  <si>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</si>
  <si>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</si>
  <si>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</si>
  <si>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</si>
  <si>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</si>
  <si>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</si>
  <si>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</si>
  <si>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</si>
  <si>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</si>
  <si>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</si>
  <si>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</si>
  <si>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</si>
  <si>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</si>
  <si>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</si>
  <si>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</si>
  <si>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</si>
  <si>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</si>
  <si>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</si>
  <si>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</si>
  <si>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</si>
  <si>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</si>
  <si>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</si>
  <si>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</si>
  <si>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</si>
  <si>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</si>
  <si>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</si>
  <si>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</si>
  <si>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</si>
  <si>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</si>
  <si>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</si>
  <si>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</si>
  <si>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</si>
  <si>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</si>
  <si>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</si>
  <si>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</si>
  <si>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</si>
  <si>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</si>
  <si>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</si>
  <si>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</si>
  <si>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</si>
  <si>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</si>
  <si>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</si>
  <si>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</si>
  <si>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</si>
  <si>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</si>
  <si>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</si>
  <si>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</si>
  <si>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</si>
  <si>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</si>
  <si>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</si>
  <si>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</si>
  <si>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</si>
  <si>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</si>
  <si>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</si>
  <si>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</si>
  <si>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</si>
  <si>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</si>
  <si>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</si>
  <si>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</si>
  <si>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</si>
  <si>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</si>
  <si>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</si>
  <si>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</si>
  <si>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</si>
  <si>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</si>
  <si>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</si>
  <si>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</si>
  <si>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</si>
  <si>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</si>
  <si>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</si>
  <si>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</si>
  <si>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</si>
  <si>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</si>
  <si>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</si>
  <si>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</si>
  <si>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</si>
  <si>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</si>
  <si>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</si>
  <si>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</si>
  <si>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</si>
  <si>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</si>
  <si>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</si>
  <si>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</si>
  <si>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</si>
  <si>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</si>
  <si>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</si>
  <si>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</si>
  <si>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</si>
  <si>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</si>
  <si>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</si>
  <si>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</si>
  <si>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</si>
  <si>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</si>
  <si>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</si>
  <si>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</si>
  <si>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</si>
  <si>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</si>
  <si>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</si>
  <si>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</si>
  <si>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</si>
  <si>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</si>
  <si>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</si>
  <si>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</si>
  <si>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</si>
  <si>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</si>
  <si>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</si>
  <si>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</si>
  <si>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</si>
  <si>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</si>
  <si>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</si>
  <si>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</si>
  <si>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</si>
  <si>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</si>
  <si>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</si>
  <si>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</si>
  <si>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</si>
  <si>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</si>
  <si>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</si>
  <si>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</si>
  <si>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</si>
  <si>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</si>
  <si>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</si>
  <si>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</si>
  <si>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</si>
  <si>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</si>
  <si>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</si>
  <si>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</si>
  <si>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</si>
  <si>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</si>
  <si>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</si>
  <si>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</si>
  <si>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</si>
  <si>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</si>
  <si>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</si>
  <si>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</si>
  <si>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</si>
  <si>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</si>
  <si>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</si>
  <si>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</si>
  <si>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</si>
  <si>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</si>
  <si>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</si>
  <si>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</si>
  <si>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</si>
  <si>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</si>
  <si>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</si>
  <si>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</si>
  <si>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</si>
  <si>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</si>
  <si>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</si>
  <si>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</si>
  <si>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</si>
  <si>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</si>
  <si>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</si>
  <si>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</si>
  <si>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</si>
  <si>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</si>
  <si>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</si>
  <si>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</si>
  <si>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</si>
  <si>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</si>
  <si>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</si>
  <si>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</si>
  <si>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</si>
  <si>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</si>
  <si>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</si>
  <si>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</si>
  <si>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</si>
  <si>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</si>
  <si>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</si>
  <si>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</si>
  <si>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</si>
  <si>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</si>
  <si>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</si>
  <si>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</si>
  <si>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</si>
  <si>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</si>
  <si>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</si>
  <si>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</si>
  <si>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</si>
  <si>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</si>
  <si>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</si>
  <si>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</si>
  <si>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</si>
  <si>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</si>
  <si>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</si>
  <si>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</si>
  <si>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</si>
  <si>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</si>
  <si>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</si>
  <si>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</si>
  <si>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</si>
  <si>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</si>
  <si>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</si>
  <si>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</si>
  <si>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</si>
  <si>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</si>
  <si>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</si>
  <si>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</si>
  <si>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</si>
  <si>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</si>
  <si>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</si>
  <si>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</si>
  <si>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</si>
  <si>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</si>
  <si>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</si>
  <si>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</si>
  <si>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</si>
  <si>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</si>
  <si>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</si>
  <si>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</si>
  <si>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</si>
  <si>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</si>
  <si>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</si>
  <si>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</si>
  <si>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</si>
  <si>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</si>
  <si>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</si>
  <si>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</si>
  <si>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</si>
  <si>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</si>
  <si>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</si>
  <si>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</si>
  <si>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</si>
  <si>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</si>
  <si>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</si>
  <si>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</si>
  <si>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</si>
  <si>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</si>
  <si>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</si>
  <si>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</si>
  <si>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</si>
  <si>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</si>
  <si>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</si>
  <si>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</si>
  <si>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</si>
  <si>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</si>
  <si>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</si>
  <si>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</si>
  <si>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</si>
  <si>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</si>
  <si>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</si>
  <si>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</si>
  <si>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</si>
  <si>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</si>
  <si>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</si>
  <si>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</si>
  <si>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</si>
  <si>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</si>
  <si>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</si>
  <si>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</si>
  <si>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</si>
  <si>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</si>
  <si>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</si>
  <si>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</si>
  <si>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</si>
  <si>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</si>
  <si>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</si>
  <si>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</si>
  <si>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</si>
  <si>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</si>
  <si>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</si>
  <si>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</si>
  <si>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</si>
  <si>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</si>
  <si>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</si>
  <si>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</si>
  <si>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</si>
  <si>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</si>
  <si>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</si>
  <si>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</si>
  <si>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</si>
  <si>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</si>
  <si>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</si>
  <si>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</si>
  <si>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</si>
  <si>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</si>
  <si>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</si>
  <si>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</si>
  <si>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</si>
  <si>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</si>
  <si>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</si>
  <si>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</si>
  <si>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</si>
  <si>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</si>
  <si>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</si>
  <si>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</si>
  <si>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</si>
  <si>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</si>
  <si>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</si>
  <si>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</si>
  <si>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</si>
  <si>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</si>
  <si>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</si>
  <si>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</si>
  <si>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</si>
  <si>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</si>
  <si>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</si>
  <si>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</si>
  <si>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</si>
  <si>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</si>
  <si>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</si>
  <si>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</si>
  <si>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</si>
  <si>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</si>
  <si>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</si>
  <si>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</si>
  <si>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</si>
  <si>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</si>
  <si>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</si>
  <si>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</si>
  <si>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</si>
  <si>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</si>
  <si>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</si>
  <si>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</si>
  <si>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</si>
  <si>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</si>
  <si>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</si>
  <si>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</si>
  <si>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</si>
  <si>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</si>
  <si>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</si>
  <si>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</si>
  <si>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</si>
  <si>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</si>
  <si>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</si>
  <si>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</si>
  <si>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</si>
  <si>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</si>
  <si>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</si>
  <si>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</si>
  <si>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</si>
  <si>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</si>
  <si>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</si>
  <si>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</si>
  <si>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</si>
  <si>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</si>
  <si>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</si>
  <si>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</si>
  <si>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</si>
  <si>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</si>
  <si>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</si>
  <si>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</si>
  <si>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</si>
  <si>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</si>
  <si>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</si>
  <si>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</si>
  <si>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</si>
  <si>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</si>
  <si>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</si>
  <si>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</si>
  <si>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</si>
  <si>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</si>
  <si>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</si>
  <si>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</si>
  <si>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</si>
  <si>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</si>
  <si>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</si>
  <si>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</si>
  <si>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</si>
  <si>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</si>
  <si>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</si>
  <si>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</si>
  <si>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</si>
  <si>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</si>
  <si>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</si>
  <si>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</si>
  <si>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</si>
  <si>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</si>
  <si>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</si>
  <si>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</si>
  <si>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</si>
  <si>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</si>
  <si>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</si>
  <si>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</si>
  <si>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</si>
  <si>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</si>
  <si>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</si>
  <si>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</si>
  <si>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</si>
  <si>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</si>
  <si>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</si>
  <si>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</si>
  <si>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</si>
  <si>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</si>
  <si>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</si>
  <si>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</si>
  <si>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</si>
  <si>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</si>
  <si>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</si>
  <si>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</si>
  <si>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</si>
  <si>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</si>
  <si>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</si>
  <si>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</si>
  <si>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</si>
  <si>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</si>
  <si>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</si>
  <si>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</si>
  <si>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</si>
  <si>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</si>
  <si>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</si>
  <si>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</si>
  <si>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</si>
  <si>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</si>
  <si>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</si>
  <si>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</si>
  <si>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</si>
  <si>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</si>
  <si>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</si>
  <si>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</si>
  <si>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</si>
  <si>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</si>
  <si>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</si>
  <si>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</si>
  <si>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</si>
  <si>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</si>
  <si>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</si>
  <si>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</si>
  <si>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</si>
  <si>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</si>
  <si>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</si>
  <si>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</si>
  <si>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</si>
  <si>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</si>
  <si>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</si>
  <si>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</si>
  <si>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</si>
  <si>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</si>
  <si>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</si>
  <si>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</si>
  <si>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</si>
  <si>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</si>
  <si>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</si>
  <si>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</si>
  <si>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</si>
  <si>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</si>
  <si>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</si>
  <si>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</si>
  <si>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</si>
  <si>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</si>
  <si>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</si>
  <si>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</si>
  <si>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</si>
  <si>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</si>
  <si>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</si>
  <si>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</si>
  <si>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</si>
  <si>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</si>
  <si>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</si>
  <si>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</si>
  <si>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</si>
  <si>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</si>
  <si>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</si>
  <si>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</si>
  <si>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</si>
  <si>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</si>
  <si>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</si>
  <si>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</si>
  <si>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</si>
  <si>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</si>
  <si>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</si>
  <si>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</si>
  <si>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</si>
  <si>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</si>
  <si>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</si>
  <si>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</si>
  <si>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</si>
  <si>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</si>
  <si>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</si>
  <si>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</si>
  <si>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</si>
  <si>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</si>
  <si>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</si>
  <si>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</si>
  <si>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</si>
  <si>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</si>
  <si>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</si>
  <si>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</si>
  <si>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</si>
  <si>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</si>
  <si>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</si>
  <si>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</si>
  <si>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</si>
  <si>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</si>
  <si>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</si>
  <si>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</si>
  <si>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</si>
  <si>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</si>
  <si>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</si>
  <si>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</si>
  <si>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</si>
  <si>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</si>
  <si>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</si>
  <si>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</si>
  <si>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</si>
  <si>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</si>
  <si>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</si>
  <si>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</si>
  <si>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</si>
  <si>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</si>
  <si>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</si>
  <si>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</si>
  <si>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</si>
  <si>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</si>
  <si>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</si>
  <si>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</si>
  <si>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</si>
  <si>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</si>
  <si>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</si>
  <si>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</si>
  <si>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</si>
  <si>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</si>
  <si>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</si>
  <si>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</si>
  <si>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</si>
  <si>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</si>
  <si>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</si>
  <si>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</si>
  <si>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</si>
  <si>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</si>
  <si>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</si>
  <si>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</si>
  <si>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</si>
  <si>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</si>
  <si>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</si>
  <si>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</si>
  <si>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</si>
  <si>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</si>
  <si>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</si>
  <si>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</si>
  <si>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</si>
  <si>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</si>
  <si>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</si>
  <si>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</si>
  <si>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</si>
  <si>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</si>
  <si>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</si>
  <si>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</si>
  <si>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</si>
  <si>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</si>
  <si>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</si>
  <si>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</si>
  <si>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</si>
  <si>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</si>
  <si>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</si>
  <si>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</si>
  <si>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</si>
  <si>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</si>
  <si>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</si>
  <si>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</si>
  <si>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</si>
  <si>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</si>
  <si>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</si>
  <si>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</si>
  <si>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</si>
  <si>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</si>
  <si>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</si>
  <si>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</si>
  <si>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</si>
  <si>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</si>
  <si>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</si>
  <si>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</si>
  <si>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</si>
  <si>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</si>
  <si>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</si>
  <si>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</si>
  <si>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</si>
  <si>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</si>
  <si>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</si>
  <si>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</si>
  <si>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</si>
  <si>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</si>
  <si>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</si>
  <si>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</si>
  <si>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</si>
  <si>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</si>
  <si>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</si>
  <si>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</si>
  <si>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</si>
  <si>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</si>
  <si>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</si>
  <si>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</si>
  <si>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</si>
  <si>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</si>
  <si>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</si>
  <si>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</si>
  <si>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</si>
  <si>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</si>
  <si>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</si>
  <si>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</si>
  <si>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</si>
  <si>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</si>
  <si>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</si>
  <si>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</si>
  <si>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</si>
  <si>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</si>
  <si>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</si>
  <si>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</si>
  <si>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</si>
  <si>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</si>
  <si>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</si>
  <si>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</si>
  <si>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</si>
  <si>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</si>
  <si>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</si>
  <si>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</si>
  <si>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</si>
  <si>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</si>
  <si>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</si>
  <si>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</si>
  <si>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</si>
  <si>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</si>
  <si>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</si>
  <si>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</si>
  <si>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</si>
  <si>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</si>
  <si>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</si>
  <si>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</si>
  <si>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</si>
  <si>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</si>
  <si>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</si>
  <si>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</si>
  <si>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</si>
  <si>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</si>
  <si>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</si>
  <si>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</si>
  <si>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</si>
  <si>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</si>
  <si>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</si>
  <si>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</si>
  <si>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</si>
  <si>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</si>
  <si>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</si>
  <si>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</si>
  <si>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</si>
  <si>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</si>
  <si>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</si>
  <si>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</si>
  <si>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</si>
  <si>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</si>
  <si>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</si>
  <si>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</si>
  <si>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</si>
  <si>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</si>
  <si>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</si>
  <si>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</si>
  <si>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</si>
  <si>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</si>
  <si>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</si>
  <si>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</si>
  <si>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</si>
  <si>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</si>
  <si>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</si>
  <si>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</si>
  <si>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</si>
  <si>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</si>
  <si>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</si>
  <si>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</si>
  <si>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</si>
  <si>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</si>
  <si>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</si>
  <si>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</si>
  <si>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</si>
  <si>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</si>
  <si>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</si>
  <si>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</si>
  <si>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</si>
  <si>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</si>
  <si>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</si>
  <si>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</si>
  <si>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</si>
  <si>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</si>
  <si>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</si>
  <si>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</si>
  <si>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</si>
  <si>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</si>
  <si>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</si>
  <si>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</si>
  <si>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</si>
  <si>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</si>
  <si>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</si>
  <si>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</si>
  <si>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</si>
  <si>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</si>
  <si>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</si>
  <si>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</si>
  <si>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</si>
  <si>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</si>
  <si>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</si>
  <si>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</si>
  <si>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</si>
  <si>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</si>
  <si>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</si>
  <si>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</si>
  <si>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</si>
  <si>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</si>
  <si>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</si>
  <si>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</si>
  <si>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</si>
  <si>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</si>
  <si>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</si>
  <si>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</si>
  <si>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</si>
  <si>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</si>
  <si>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</si>
  <si>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</si>
  <si>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</si>
  <si>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</si>
  <si>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</si>
  <si>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</si>
  <si>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</si>
  <si>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</si>
  <si>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</si>
  <si>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</si>
  <si>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</si>
  <si>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</si>
  <si>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</si>
  <si>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</si>
  <si>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</si>
  <si>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</si>
  <si>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</si>
  <si>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</si>
  <si>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</si>
  <si>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</si>
  <si>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</si>
  <si>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</si>
  <si>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</si>
  <si>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</si>
  <si>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</si>
  <si>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</si>
  <si>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</si>
  <si>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</si>
  <si>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</si>
  <si>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</si>
  <si>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</si>
  <si>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</si>
  <si>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</si>
  <si>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</si>
  <si>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</si>
  <si>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</si>
  <si>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</si>
  <si>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</si>
  <si>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</si>
  <si>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</si>
  <si>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</si>
  <si>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</si>
  <si>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</si>
  <si>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</si>
  <si>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</si>
  <si>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</si>
  <si>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</si>
  <si>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</si>
  <si>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</si>
  <si>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</si>
  <si>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</si>
  <si>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</si>
  <si>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</si>
  <si>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</si>
  <si>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</si>
  <si>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</si>
  <si>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</si>
  <si>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</si>
  <si>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</si>
  <si>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</si>
  <si>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</si>
  <si>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</si>
  <si>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</si>
  <si>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</si>
  <si>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</si>
  <si>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</si>
  <si>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</si>
  <si>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</si>
  <si>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</si>
  <si>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</si>
  <si>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</si>
  <si>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</si>
  <si>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</si>
  <si>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</si>
  <si>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</si>
  <si>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</si>
  <si>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</si>
  <si>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</si>
  <si>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</si>
  <si>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</si>
  <si>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</si>
  <si>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</si>
  <si>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</si>
  <si>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</si>
  <si>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</si>
  <si>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</si>
  <si>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</si>
  <si>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</si>
  <si>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</si>
  <si>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</si>
  <si>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</si>
  <si>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</si>
  <si>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</si>
  <si>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</si>
  <si>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</si>
  <si>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</si>
  <si>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</si>
  <si>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</si>
  <si>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</si>
  <si>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</si>
  <si>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</si>
  <si>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</si>
  <si>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</si>
  <si>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</si>
  <si>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</si>
  <si>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</si>
  <si>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</si>
  <si>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</si>
  <si>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</si>
  <si>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</si>
  <si>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</si>
  <si>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</si>
  <si>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</si>
  <si>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</si>
  <si>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</si>
  <si>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</si>
  <si>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</si>
  <si>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</si>
  <si>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</si>
  <si>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</si>
  <si>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</si>
  <si>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</si>
  <si>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</si>
  <si>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</si>
  <si>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</si>
  <si>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</si>
  <si>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</si>
  <si>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</si>
  <si>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</si>
  <si>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</si>
  <si>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</si>
  <si>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</si>
  <si>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</si>
  <si>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</si>
  <si>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</si>
  <si>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</si>
  <si>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</si>
  <si>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</si>
  <si>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</si>
  <si>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</si>
  <si>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</si>
  <si>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</si>
  <si>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</si>
  <si>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</si>
  <si>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</si>
  <si>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</si>
  <si>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</si>
  <si>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</si>
  <si>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</si>
  <si>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</si>
  <si>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</si>
  <si>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</si>
  <si>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</si>
  <si>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</si>
  <si>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</si>
  <si>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</si>
  <si>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</si>
  <si>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</si>
  <si>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</si>
  <si>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</si>
  <si>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</si>
  <si>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</si>
  <si>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</si>
  <si>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</si>
  <si>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</si>
  <si>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</si>
  <si>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</si>
  <si>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</si>
  <si>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</si>
  <si>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</si>
  <si>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</si>
  <si>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</si>
  <si>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</si>
  <si>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</si>
  <si>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</si>
  <si>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</si>
  <si>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</si>
  <si>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</si>
  <si>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</si>
  <si>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</si>
  <si>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</si>
  <si>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</si>
  <si>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</si>
  <si>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</si>
  <si>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</si>
  <si>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</si>
  <si>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</si>
  <si>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</si>
  <si>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</si>
  <si>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</si>
  <si>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</si>
  <si>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</si>
  <si>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</si>
  <si>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</si>
  <si>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</si>
  <si>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</si>
  <si>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</si>
  <si>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</si>
  <si>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</si>
  <si>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</si>
  <si>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</si>
  <si>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</si>
  <si>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</si>
  <si>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</si>
  <si>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</si>
  <si>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</si>
  <si>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</si>
  <si>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</si>
  <si>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</si>
  <si>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</si>
  <si>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</si>
  <si>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</si>
  <si>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</si>
  <si>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</si>
  <si>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</si>
  <si>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</si>
  <si>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</si>
  <si>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</si>
  <si>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</si>
  <si>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</si>
  <si>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</si>
  <si>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</si>
  <si>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</si>
  <si>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</si>
  <si>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</si>
  <si>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</si>
  <si>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</si>
  <si>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</si>
  <si>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</si>
  <si>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</si>
  <si>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</si>
  <si>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</si>
  <si>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</si>
  <si>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</si>
  <si>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</si>
  <si>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</si>
  <si>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</si>
  <si>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</si>
  <si>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</si>
  <si>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</si>
  <si>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</si>
  <si>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</si>
  <si>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</si>
  <si>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</si>
  <si>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</si>
  <si>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</si>
  <si>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</si>
  <si>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</si>
  <si>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</si>
  <si>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</si>
  <si>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</si>
  <si>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</si>
  <si>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</si>
  <si>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</si>
  <si>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</si>
  <si>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</si>
  <si>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</si>
  <si>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</si>
  <si>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</si>
  <si>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</si>
  <si>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</si>
  <si>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</si>
  <si>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</si>
  <si>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</si>
  <si>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</si>
  <si>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</si>
  <si>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</si>
  <si>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</si>
  <si>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</si>
  <si>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</si>
  <si>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</si>
  <si>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</si>
  <si>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</si>
  <si>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</si>
  <si>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</si>
  <si>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</si>
  <si>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</si>
  <si>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</si>
  <si>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</si>
  <si>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</si>
  <si>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</si>
  <si>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</si>
  <si>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</si>
  <si>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</si>
  <si>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</si>
  <si>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</si>
  <si>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</si>
  <si>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</si>
  <si>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</si>
  <si>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</si>
  <si>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</si>
  <si>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</si>
  <si>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</si>
  <si>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</si>
  <si>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</si>
  <si>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</si>
  <si>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</si>
  <si>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</si>
  <si>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</si>
  <si>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</si>
  <si>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</si>
  <si>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</si>
  <si>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</si>
  <si>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</si>
  <si>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</si>
  <si>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</si>
  <si>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</si>
  <si>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</si>
  <si>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</si>
  <si>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</si>
  <si>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</si>
  <si>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</si>
  <si>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</si>
  <si>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</si>
  <si>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</si>
  <si>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</si>
  <si>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</si>
  <si>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</si>
  <si>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</si>
  <si>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</si>
  <si>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</si>
  <si>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</si>
  <si>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</si>
  <si>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</si>
  <si>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</si>
  <si>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</si>
  <si>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</si>
  <si>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</si>
  <si>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</si>
  <si>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</si>
  <si>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</si>
  <si>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</si>
  <si>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</si>
  <si>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</si>
  <si>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</si>
  <si>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</si>
  <si>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</si>
  <si>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</si>
  <si>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</si>
  <si>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</si>
  <si>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</si>
  <si>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</si>
  <si>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</si>
  <si>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</si>
  <si>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</si>
  <si>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</si>
  <si>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</si>
  <si>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</si>
  <si>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</si>
  <si>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</si>
  <si>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</si>
  <si>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</si>
  <si>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</si>
  <si>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</si>
  <si>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</si>
  <si>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</si>
  <si>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</si>
  <si>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</si>
  <si>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</si>
  <si>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</si>
  <si>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</si>
  <si>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</si>
  <si>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</si>
  <si>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</si>
  <si>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</si>
  <si>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</si>
  <si>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</si>
  <si>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</si>
  <si>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</si>
  <si>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</si>
  <si>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</si>
  <si>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</si>
  <si>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</si>
  <si>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</si>
  <si>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</si>
  <si>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</si>
  <si>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</si>
  <si>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</si>
  <si>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</si>
  <si>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</si>
  <si>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</si>
  <si>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</si>
  <si>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</si>
  <si>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</si>
  <si>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</si>
  <si>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</si>
  <si>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</si>
  <si>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</si>
  <si>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</si>
  <si>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</si>
  <si>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</si>
  <si>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</si>
  <si>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</si>
  <si>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</si>
  <si>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</si>
  <si>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</si>
  <si>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</si>
  <si>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</si>
  <si>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</si>
  <si>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</si>
  <si>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</si>
  <si>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</si>
  <si>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</si>
  <si>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</si>
  <si>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</si>
  <si>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</si>
  <si>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</si>
  <si>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</si>
  <si>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</si>
  <si>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</si>
  <si>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</si>
  <si>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</si>
  <si>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</si>
  <si>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</si>
  <si>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</si>
  <si>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</si>
  <si>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</si>
  <si>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</si>
  <si>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</si>
  <si>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</si>
  <si>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</si>
  <si>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</si>
  <si>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</si>
  <si>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</si>
  <si>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</si>
  <si>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</si>
  <si>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</si>
  <si>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</si>
  <si>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</si>
  <si>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</si>
  <si>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</si>
  <si>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</si>
  <si>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</si>
  <si>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</si>
  <si>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</si>
  <si>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</si>
  <si>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</si>
  <si>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</si>
  <si>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</si>
  <si>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</si>
  <si>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</si>
  <si>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</si>
  <si>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</si>
  <si>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</si>
  <si>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</si>
  <si>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</si>
  <si>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</si>
  <si>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</si>
  <si>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</si>
  <si>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</si>
  <si>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</si>
  <si>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</si>
  <si>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</si>
  <si>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</si>
  <si>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</si>
  <si>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</si>
  <si>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</si>
  <si>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</si>
  <si>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</si>
  <si>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</si>
  <si>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</si>
  <si>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</si>
  <si>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</si>
  <si>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</si>
  <si>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</si>
  <si>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</si>
  <si>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</si>
  <si>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</si>
  <si>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</si>
  <si>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</si>
  <si>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</si>
  <si>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</si>
  <si>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</si>
  <si>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</si>
  <si>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</si>
  <si>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</si>
  <si>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</si>
  <si>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</si>
  <si>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</si>
  <si>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</si>
  <si>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</si>
  <si>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</si>
  <si>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</si>
  <si>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</si>
  <si>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</si>
  <si>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</si>
  <si>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</si>
  <si>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</si>
  <si>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</si>
  <si>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</si>
  <si>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</si>
  <si>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</si>
  <si>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</si>
  <si>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</si>
  <si>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</si>
  <si>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</si>
  <si>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</si>
  <si>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</si>
  <si>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</si>
  <si>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</si>
  <si>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</si>
  <si>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</si>
  <si>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</si>
  <si>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</si>
  <si>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</si>
  <si>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</si>
  <si>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</si>
  <si>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</si>
  <si>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</si>
  <si>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</si>
  <si>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</si>
  <si>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</si>
  <si>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</si>
  <si>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</si>
  <si>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</si>
  <si>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</si>
  <si>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</si>
  <si>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</si>
  <si>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</si>
  <si>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</si>
  <si>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</si>
  <si>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</si>
  <si>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</si>
  <si>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</si>
  <si>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</si>
  <si>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</si>
  <si>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</si>
  <si>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</si>
  <si>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</si>
  <si>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</si>
  <si>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</si>
  <si>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</si>
  <si>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</si>
  <si>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</si>
  <si>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</si>
  <si>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</si>
  <si>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</si>
  <si>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</si>
  <si>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</si>
  <si>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</si>
  <si>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</si>
  <si>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</si>
  <si>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</si>
  <si>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</si>
  <si>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</si>
  <si>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</si>
  <si>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</si>
  <si>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</si>
  <si>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</si>
  <si>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</si>
  <si>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</si>
  <si>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</si>
  <si>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</si>
  <si>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</si>
  <si>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</si>
  <si>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</si>
  <si>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</si>
  <si>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</si>
  <si>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</si>
  <si>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</si>
  <si>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</si>
  <si>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</si>
  <si>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</si>
  <si>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</si>
  <si>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</si>
  <si>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</si>
  <si>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</si>
  <si>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</si>
  <si>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</si>
  <si>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</si>
  <si>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</si>
  <si>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</si>
  <si>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</si>
  <si>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</si>
  <si>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</si>
  <si>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</si>
  <si>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</si>
  <si>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</si>
  <si>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</si>
  <si>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</si>
  <si>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</si>
  <si>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</si>
  <si>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</si>
  <si>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</si>
  <si>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</si>
  <si>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</si>
  <si>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</si>
  <si>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</si>
  <si>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</si>
  <si>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</si>
  <si>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</si>
  <si>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</si>
  <si>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</si>
  <si>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</si>
  <si>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</si>
  <si>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</si>
  <si>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</si>
  <si>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</si>
  <si>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</si>
  <si>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</si>
  <si>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</si>
  <si>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</si>
  <si>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</si>
  <si>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</si>
  <si>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</si>
  <si>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</si>
  <si>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</si>
  <si>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</si>
  <si>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</si>
  <si>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</si>
  <si>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</si>
  <si>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</si>
  <si>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</si>
  <si>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</si>
  <si>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</si>
  <si>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</si>
  <si>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</si>
  <si>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</si>
  <si>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</si>
  <si>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</si>
  <si>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</si>
  <si>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</si>
  <si>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</si>
  <si>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</si>
  <si>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</si>
  <si>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</si>
  <si>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</si>
  <si>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</si>
  <si>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</si>
  <si>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</si>
  <si>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</si>
  <si>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</si>
  <si>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</si>
  <si>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</si>
  <si>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</si>
  <si>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</si>
  <si>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</si>
  <si>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</si>
  <si>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</si>
  <si>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</si>
  <si>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</si>
  <si>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</si>
  <si>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</si>
  <si>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</si>
  <si>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</si>
  <si>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</si>
  <si>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</si>
  <si>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</si>
  <si>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</si>
  <si>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</si>
  <si>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</si>
  <si>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</si>
  <si>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</si>
  <si>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</si>
  <si>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</si>
  <si>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</si>
  <si>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</si>
  <si>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</si>
  <si>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</si>
  <si>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</si>
  <si>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</si>
  <si>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</si>
  <si>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</si>
  <si>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</si>
  <si>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</si>
  <si>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</si>
  <si>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</si>
  <si>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</si>
  <si>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</si>
  <si>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</si>
  <si>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</si>
  <si>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</si>
  <si>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</si>
  <si>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</si>
  <si>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</si>
  <si>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</si>
  <si>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</si>
  <si>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</si>
  <si>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</si>
  <si>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</si>
  <si>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</si>
  <si>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</si>
  <si>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</si>
  <si>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</si>
  <si>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</si>
  <si>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</si>
  <si>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</si>
  <si>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</si>
  <si>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</si>
  <si>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</si>
  <si>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</si>
  <si>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</si>
  <si>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</si>
  <si>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</si>
  <si>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</si>
  <si>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</si>
  <si>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</si>
  <si>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</si>
  <si>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</si>
  <si>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</si>
  <si>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</si>
  <si>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</si>
  <si>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</si>
  <si>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</si>
  <si>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</si>
  <si>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</si>
  <si>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</si>
  <si>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</si>
  <si>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</si>
  <si>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</si>
  <si>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</si>
  <si>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</si>
  <si>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</si>
  <si>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</si>
  <si>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</si>
  <si>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</si>
  <si>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</si>
  <si>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</si>
  <si>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</si>
  <si>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</si>
  <si>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</si>
  <si>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</si>
  <si>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</si>
  <si>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</si>
  <si>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</si>
  <si>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</si>
  <si>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</si>
  <si>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</si>
  <si>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</si>
  <si>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</si>
  <si>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</si>
  <si>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</si>
  <si>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</si>
  <si>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</si>
  <si>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</si>
  <si>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</si>
  <si>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</si>
  <si>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</si>
  <si>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</si>
  <si>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</si>
  <si>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</si>
  <si>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</si>
  <si>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</si>
  <si>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</si>
  <si>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</si>
  <si>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</si>
  <si>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</si>
  <si>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</si>
  <si>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</si>
  <si>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</si>
  <si>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</si>
  <si>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</si>
  <si>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</si>
  <si>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</si>
  <si>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</si>
  <si>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</si>
  <si>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</si>
  <si>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</si>
  <si>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</si>
  <si>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</si>
  <si>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</si>
  <si>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</si>
  <si>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</si>
  <si>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</si>
  <si>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</si>
  <si>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</si>
  <si>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</si>
  <si>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</si>
  <si>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</si>
  <si>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</si>
  <si>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</si>
  <si>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</si>
  <si>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</si>
  <si>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</si>
  <si>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</si>
  <si>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</si>
  <si>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</si>
  <si>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</si>
  <si>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</si>
  <si>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</si>
  <si>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</si>
  <si>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</si>
  <si>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</si>
  <si>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</si>
  <si>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</si>
  <si>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</si>
  <si>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</si>
  <si>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</si>
  <si>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</si>
  <si>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</si>
  <si>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</si>
  <si>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</si>
  <si>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</si>
  <si>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</si>
  <si>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</si>
  <si>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</si>
  <si>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</si>
  <si>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</si>
  <si>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</si>
  <si>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</si>
  <si>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</si>
  <si>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</si>
  <si>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</si>
  <si>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</si>
  <si>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</si>
  <si>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</si>
  <si>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</si>
  <si>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</si>
  <si>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</si>
  <si>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</si>
  <si>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</si>
  <si>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</si>
  <si>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</si>
  <si>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</si>
  <si>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</si>
  <si>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</si>
  <si>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</si>
  <si>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</si>
  <si>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</si>
  <si>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</si>
  <si>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</si>
  <si>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</si>
  <si>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</si>
  <si>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</si>
  <si>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</si>
  <si>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</si>
  <si>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</si>
  <si>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</si>
  <si>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</si>
  <si>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</si>
  <si>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</si>
  <si>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</si>
  <si>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</si>
  <si>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</si>
  <si>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</si>
  <si>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</si>
  <si>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</si>
  <si>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</si>
  <si>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</si>
  <si>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</si>
  <si>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</si>
  <si>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</si>
  <si>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</si>
  <si>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</si>
  <si>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</si>
  <si>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</si>
  <si>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</si>
  <si>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</si>
  <si>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</si>
  <si>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</si>
  <si>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</si>
  <si>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</si>
  <si>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</si>
  <si>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</si>
  <si>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</si>
  <si>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</si>
  <si>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</si>
  <si>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</si>
  <si>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</si>
  <si>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</si>
  <si>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</si>
  <si>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</si>
  <si>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</si>
  <si>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</si>
  <si>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</si>
  <si>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</si>
  <si>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</si>
  <si>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</si>
  <si>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</si>
  <si>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</si>
  <si>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</si>
  <si>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</si>
  <si>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</si>
  <si>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</si>
  <si>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</si>
  <si>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</si>
  <si>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</si>
  <si>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</si>
  <si>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</si>
  <si>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</si>
  <si>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</si>
  <si>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</si>
  <si>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</si>
  <si>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</si>
  <si>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</si>
  <si>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</si>
  <si>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</si>
  <si>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</si>
  <si>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</si>
  <si>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</si>
  <si>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</si>
  <si>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</si>
  <si>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</si>
  <si>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</si>
  <si>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</si>
  <si>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</si>
  <si>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</si>
  <si>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</si>
  <si>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</si>
  <si>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</si>
  <si>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</si>
  <si>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</si>
  <si>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</si>
  <si>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</si>
  <si>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</si>
  <si>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</si>
  <si>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</si>
  <si>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</si>
  <si>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</si>
  <si>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</si>
  <si>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</si>
  <si>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</si>
  <si>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</si>
  <si>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</si>
  <si>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</si>
  <si>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</si>
  <si>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</si>
  <si>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</si>
  <si>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</si>
  <si>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</si>
  <si>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</si>
  <si>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</si>
  <si>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</si>
  <si>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</si>
  <si>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</si>
  <si>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</si>
  <si>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</si>
  <si>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</si>
  <si>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</si>
  <si>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</si>
  <si>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</si>
  <si>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</si>
  <si>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</si>
  <si>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</si>
  <si>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</si>
  <si>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</si>
  <si>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</si>
  <si>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</si>
  <si>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</si>
  <si>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</si>
  <si>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</si>
  <si>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</si>
  <si>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</si>
  <si>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</si>
  <si>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</si>
  <si>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</si>
  <si>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</si>
  <si>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</si>
  <si>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</si>
  <si>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</si>
  <si>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</si>
  <si>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</si>
  <si>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</si>
  <si>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</si>
  <si>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</si>
  <si>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</si>
  <si>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</si>
  <si>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</si>
  <si>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</si>
  <si>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</si>
  <si>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</si>
  <si>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</si>
  <si>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</si>
  <si>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</si>
  <si>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</si>
  <si>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</si>
  <si>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</si>
  <si>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</si>
  <si>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</si>
  <si>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</si>
  <si>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</si>
  <si>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</si>
  <si>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</si>
  <si>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</si>
  <si>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</si>
  <si>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</si>
  <si>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</si>
  <si>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</si>
  <si>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</si>
  <si>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</si>
  <si>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</si>
  <si>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</si>
  <si>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</si>
  <si>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</si>
  <si>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</si>
  <si>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</si>
  <si>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</si>
  <si>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</si>
  <si>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</si>
  <si>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</si>
  <si>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</si>
  <si>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</si>
  <si>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</si>
  <si>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</si>
  <si>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</si>
  <si>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</si>
  <si>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</si>
  <si>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</si>
  <si>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</si>
  <si>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</si>
  <si>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</si>
  <si>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</si>
  <si>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</si>
  <si>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</si>
  <si>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</si>
  <si>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</si>
  <si>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</si>
  <si>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</si>
  <si>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</si>
  <si>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</si>
  <si>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</si>
  <si>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</si>
  <si>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</si>
  <si>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</si>
  <si>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</si>
  <si>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</si>
  <si>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</si>
  <si>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</si>
  <si>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</si>
  <si>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</si>
  <si>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</si>
  <si>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</si>
  <si>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</si>
  <si>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</si>
  <si>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</si>
  <si>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</si>
  <si>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</si>
  <si>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</si>
  <si>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</si>
  <si>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</si>
  <si>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</si>
  <si>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</si>
  <si>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</si>
  <si>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</si>
  <si>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</si>
  <si>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</si>
  <si>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</si>
  <si>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</si>
  <si>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</si>
  <si>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</si>
  <si>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</si>
  <si>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</si>
  <si>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</si>
  <si>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</si>
  <si>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</si>
  <si>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</si>
  <si>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</si>
  <si>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</si>
  <si>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</si>
  <si>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</si>
  <si>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</si>
  <si>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</si>
  <si>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</si>
  <si>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</si>
  <si>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</si>
  <si>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</si>
  <si>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</si>
  <si>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</si>
  <si>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</si>
  <si>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</si>
  <si>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</si>
  <si>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</si>
  <si>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</si>
  <si>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</si>
  <si>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</si>
  <si>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</si>
  <si>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</si>
  <si>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</si>
  <si>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</si>
  <si>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</si>
  <si>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</si>
  <si>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</si>
  <si>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</si>
  <si>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</si>
  <si>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</si>
  <si>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</si>
  <si>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</si>
  <si>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</si>
  <si>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</si>
  <si>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</si>
  <si>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</si>
  <si>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</si>
  <si>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</si>
  <si>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</si>
  <si>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</si>
  <si>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</si>
  <si>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</si>
  <si>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</si>
  <si>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</si>
  <si>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</si>
  <si>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</si>
  <si>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</si>
  <si>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</si>
  <si>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</si>
  <si>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</si>
  <si>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</si>
  <si>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</si>
  <si>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</si>
  <si>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</si>
  <si>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</si>
  <si>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</si>
  <si>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</si>
  <si>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</si>
  <si>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</si>
  <si>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</si>
  <si>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</si>
  <si>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</si>
  <si>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</si>
  <si>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</si>
  <si>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</si>
  <si>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</si>
  <si>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</si>
  <si>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</si>
  <si>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</si>
  <si>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</si>
  <si>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</si>
  <si>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</si>
  <si>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</si>
  <si>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</si>
  <si>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</si>
  <si>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</si>
  <si>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</si>
  <si>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</si>
  <si>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</si>
  <si>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</si>
  <si>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</si>
  <si>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</si>
  <si>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</si>
  <si>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</si>
  <si>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</si>
  <si>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</si>
  <si>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</si>
  <si>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</si>
  <si>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</si>
  <si>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</si>
  <si>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</si>
  <si>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</si>
  <si>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</si>
  <si>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</si>
  <si>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</si>
  <si>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</si>
  <si>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</si>
  <si>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</si>
  <si>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</si>
  <si>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</si>
  <si>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</si>
  <si>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</si>
  <si>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</si>
  <si>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</si>
  <si>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</si>
  <si>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</si>
  <si>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</si>
  <si>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</si>
  <si>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</si>
  <si>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</si>
  <si>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</si>
  <si>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</si>
  <si>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</si>
  <si>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</si>
  <si>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</si>
  <si>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</si>
  <si>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</si>
  <si>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</si>
  <si>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</si>
  <si>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</si>
  <si>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</si>
  <si>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</si>
  <si>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</si>
  <si>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</si>
  <si>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</si>
  <si>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</si>
  <si>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</si>
  <si>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</si>
  <si>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</si>
  <si>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</si>
  <si>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</si>
  <si>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</si>
  <si>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</si>
  <si>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</si>
  <si>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</si>
  <si>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</si>
  <si>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</si>
  <si>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</si>
  <si>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</si>
  <si>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</si>
  <si>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</si>
  <si>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</si>
  <si>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</si>
  <si>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</si>
  <si>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</si>
  <si>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</si>
  <si>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</si>
  <si>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</si>
  <si>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</si>
  <si>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</si>
  <si>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</si>
  <si>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</si>
  <si>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</si>
  <si>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</si>
  <si>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</si>
  <si>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</si>
  <si>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</si>
  <si>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</si>
  <si>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</si>
  <si>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</si>
  <si>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</si>
  <si>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</si>
  <si>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</si>
  <si>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</si>
  <si>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</si>
  <si>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</si>
  <si>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</si>
  <si>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</si>
  <si>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</si>
  <si>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</si>
  <si>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</si>
  <si>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</si>
  <si>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</si>
  <si>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</si>
  <si>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</si>
  <si>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</si>
  <si>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</si>
  <si>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</si>
  <si>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</si>
  <si>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</si>
  <si>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</si>
  <si>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</si>
  <si>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</si>
  <si>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</si>
  <si>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</si>
  <si>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</si>
  <si>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</si>
  <si>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</si>
  <si>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</si>
  <si>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</si>
  <si>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</si>
  <si>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</si>
  <si>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</si>
  <si>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</si>
  <si>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</si>
  <si>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</si>
  <si>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</si>
  <si>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</si>
  <si>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</si>
  <si>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</si>
  <si>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</si>
  <si>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</si>
  <si>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</si>
  <si>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</si>
  <si>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</si>
  <si>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</si>
  <si>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</si>
  <si>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</si>
  <si>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</si>
  <si>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</si>
  <si>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</si>
  <si>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</si>
  <si>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</si>
  <si>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</si>
  <si>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</si>
  <si>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</si>
  <si>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</si>
  <si>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</si>
  <si>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</si>
  <si>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</si>
  <si>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</si>
  <si>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</si>
  <si>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</si>
  <si>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</si>
  <si>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</si>
  <si>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</si>
  <si>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</si>
  <si>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</si>
  <si>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</si>
  <si>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</si>
  <si>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</si>
  <si>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</si>
  <si>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</si>
  <si>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</si>
  <si>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</si>
  <si>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</si>
  <si>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</si>
  <si>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</si>
  <si>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</si>
  <si>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</si>
  <si>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</si>
  <si>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</si>
  <si>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</si>
  <si>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</si>
  <si>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</si>
  <si>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</si>
  <si>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</si>
  <si>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</si>
  <si>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</si>
  <si>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</si>
  <si>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</si>
  <si>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</si>
  <si>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</si>
  <si>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</si>
  <si>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</si>
  <si>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</si>
  <si>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</si>
  <si>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</si>
  <si>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</si>
  <si>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</si>
  <si>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</si>
  <si>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</si>
  <si>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</si>
  <si>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</si>
  <si>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</si>
  <si>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</si>
  <si>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</si>
  <si>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</si>
  <si>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</si>
  <si>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</si>
  <si>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</si>
  <si>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</si>
  <si>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</si>
  <si>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</si>
  <si>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</si>
  <si>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</si>
  <si>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</si>
  <si>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</si>
  <si>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</si>
  <si>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</si>
  <si>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</si>
  <si>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</si>
  <si>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</si>
  <si>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</si>
  <si>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</si>
  <si>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</si>
  <si>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</si>
  <si>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</si>
  <si>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</si>
  <si>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</si>
  <si>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</si>
  <si>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</si>
  <si>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</si>
  <si>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</si>
  <si>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</si>
  <si>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</si>
  <si>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</si>
  <si>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</si>
  <si>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</si>
  <si>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</si>
  <si>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</si>
  <si>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</si>
  <si>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</si>
  <si>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</si>
  <si>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</si>
  <si>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</si>
  <si>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</si>
  <si>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</si>
  <si>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</si>
  <si>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</si>
  <si>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</si>
  <si>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</si>
  <si>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</si>
  <si>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</si>
  <si>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</si>
  <si>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</si>
  <si>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</si>
  <si>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</si>
  <si>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</si>
  <si>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</si>
  <si>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</si>
  <si>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</si>
  <si>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</si>
  <si>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</si>
  <si>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</si>
  <si>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</si>
  <si>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</si>
  <si>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</si>
  <si>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</si>
  <si>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</si>
  <si>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</si>
  <si>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</si>
  <si>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</si>
  <si>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</si>
  <si>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</si>
  <si>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</si>
  <si>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</si>
  <si>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</si>
  <si>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</si>
  <si>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</si>
  <si>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</si>
  <si>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</si>
  <si>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</si>
  <si>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</si>
  <si>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</si>
  <si>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</si>
  <si>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</si>
  <si>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</si>
  <si>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</si>
  <si>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</si>
  <si>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</si>
  <si>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</si>
  <si>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</si>
  <si>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</si>
  <si>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</si>
  <si>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</si>
  <si>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</si>
  <si>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</si>
  <si>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</si>
  <si>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</si>
  <si>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</si>
  <si>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</si>
  <si>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</si>
  <si>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</si>
  <si>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</si>
  <si>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</si>
  <si>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</si>
  <si>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</si>
  <si>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</si>
  <si>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</si>
  <si>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</si>
  <si>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</si>
  <si>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</si>
  <si>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</si>
  <si>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</si>
  <si>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</si>
  <si>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</si>
  <si>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</si>
  <si>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</si>
  <si>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</si>
  <si>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</si>
  <si>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</si>
  <si>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</si>
  <si>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</si>
  <si>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</si>
  <si>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</si>
  <si>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</si>
  <si>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</si>
  <si>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</si>
  <si>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</si>
  <si>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</si>
  <si>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</si>
  <si>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</si>
  <si>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</si>
  <si>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</si>
  <si>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</si>
  <si>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</si>
  <si>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</si>
  <si>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</si>
  <si>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</si>
  <si>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</si>
  <si>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</si>
  <si>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</si>
  <si>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</si>
  <si>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</si>
  <si>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</si>
  <si>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</si>
  <si>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</si>
  <si>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</si>
  <si>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</si>
  <si>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</si>
  <si>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</si>
  <si>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</si>
  <si>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</si>
  <si>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</si>
  <si>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</si>
  <si>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</si>
  <si>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</si>
  <si>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</si>
  <si>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</si>
  <si>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</si>
  <si>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</si>
  <si>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</si>
  <si>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</si>
  <si>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</si>
  <si>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</si>
  <si>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</si>
  <si>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</si>
  <si>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</si>
  <si>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</si>
  <si>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</si>
  <si>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</si>
  <si>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</si>
  <si>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</si>
  <si>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</si>
  <si>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</si>
  <si>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</si>
  <si>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</si>
  <si>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</si>
  <si>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</si>
  <si>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</si>
  <si>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</si>
  <si>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</si>
  <si>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</si>
  <si>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</si>
  <si>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</si>
  <si>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</si>
  <si>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</si>
  <si>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</si>
  <si>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</si>
  <si>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</si>
  <si>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</si>
  <si>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</si>
  <si>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</si>
  <si>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</si>
  <si>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</si>
  <si>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</si>
  <si>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</si>
  <si>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</si>
  <si>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</si>
  <si>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</si>
  <si>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</si>
  <si>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</si>
  <si>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</si>
  <si>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</si>
  <si>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</si>
  <si>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</si>
  <si>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</si>
  <si>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</si>
  <si>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</si>
  <si>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</si>
  <si>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</si>
  <si>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</si>
  <si>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</si>
  <si>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</si>
  <si>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</si>
  <si>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</si>
  <si>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</si>
  <si>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</si>
  <si>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</si>
  <si>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</si>
  <si>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</si>
  <si>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</si>
  <si>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</si>
  <si>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</si>
  <si>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</si>
  <si>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</si>
  <si>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</si>
  <si>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</si>
  <si>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</si>
  <si>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</si>
  <si>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</si>
  <si>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</si>
  <si>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</si>
  <si>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</si>
  <si>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</si>
  <si>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</si>
  <si>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</si>
  <si>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</si>
  <si>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</si>
  <si>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</si>
  <si>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</si>
  <si>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</si>
  <si>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</si>
  <si>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</si>
  <si>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</si>
  <si>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</si>
  <si>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</si>
  <si>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</si>
  <si>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</si>
  <si>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</si>
  <si>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</si>
  <si>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</si>
  <si>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</si>
  <si>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</si>
  <si>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</si>
  <si>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</si>
  <si>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</si>
  <si>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</si>
  <si>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</si>
  <si>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</si>
  <si>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</si>
  <si>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</si>
  <si>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</si>
  <si>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</si>
  <si>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</si>
  <si>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</si>
  <si>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</si>
  <si>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</si>
  <si>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</si>
  <si>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</si>
  <si>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</si>
  <si>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</si>
  <si>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</si>
  <si>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</si>
  <si>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</si>
  <si>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</si>
  <si>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</si>
  <si>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</si>
  <si>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</si>
  <si>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</si>
  <si>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</si>
  <si>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</si>
  <si>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</si>
  <si>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</si>
  <si>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</si>
  <si>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</si>
  <si>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</si>
  <si>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</si>
  <si>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</si>
  <si>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</si>
  <si>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</si>
  <si>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</si>
  <si>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</si>
  <si>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</si>
  <si>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</si>
  <si>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</si>
  <si>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</si>
  <si>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</si>
  <si>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</si>
  <si>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</si>
  <si>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</si>
  <si>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</si>
  <si>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</si>
  <si>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</si>
  <si>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</si>
  <si>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</si>
  <si>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</si>
  <si>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</si>
  <si>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</si>
  <si>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</si>
  <si>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</si>
  <si>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</si>
  <si>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</si>
  <si>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</si>
  <si>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</si>
  <si>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</si>
  <si>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</si>
  <si>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</si>
  <si>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</si>
  <si>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</si>
  <si>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</si>
  <si>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</si>
  <si>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</si>
  <si>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</si>
  <si>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</si>
  <si>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</si>
  <si>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</si>
  <si>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</si>
  <si>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</si>
  <si>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</si>
  <si>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</si>
  <si>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</si>
  <si>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</si>
  <si>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</si>
  <si>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</si>
  <si>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</si>
  <si>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</si>
  <si>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</si>
  <si>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</si>
  <si>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</si>
  <si>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</si>
  <si>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</si>
  <si>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</si>
  <si>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</si>
  <si>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</si>
  <si>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</si>
  <si>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</si>
  <si>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</si>
  <si>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</si>
  <si>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</si>
  <si>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</si>
  <si>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</si>
  <si>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</si>
  <si>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</si>
  <si>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</si>
  <si>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</si>
  <si>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</si>
  <si>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</si>
  <si>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</si>
  <si>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</si>
  <si>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</si>
  <si>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</si>
  <si>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</si>
  <si>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</si>
  <si>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</si>
  <si>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</si>
  <si>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</si>
  <si>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</si>
  <si>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</si>
  <si>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</si>
  <si>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</si>
  <si>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</si>
  <si>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</si>
  <si>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</si>
  <si>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</si>
  <si>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</si>
  <si>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</si>
  <si>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</si>
  <si>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</si>
  <si>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</si>
  <si>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</si>
  <si>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</si>
  <si>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</si>
  <si>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</si>
  <si>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</si>
  <si>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</si>
  <si>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</si>
  <si>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</si>
  <si>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</si>
  <si>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</si>
  <si>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</si>
  <si>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</si>
  <si>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</si>
  <si>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</si>
  <si>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</si>
  <si>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</si>
  <si>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</si>
  <si>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</si>
  <si>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</si>
  <si>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</si>
  <si>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</si>
  <si>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</si>
  <si>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</si>
  <si>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</si>
  <si>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</si>
  <si>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</si>
  <si>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</si>
  <si>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</si>
  <si>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</si>
  <si>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</si>
  <si>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</si>
  <si>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</si>
  <si>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</si>
  <si>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</si>
  <si>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</si>
  <si>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</si>
  <si>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</si>
  <si>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</si>
  <si>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</si>
  <si>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</si>
  <si>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</si>
  <si>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</si>
  <si>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</si>
  <si>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</si>
  <si>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</si>
  <si>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</si>
  <si>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</si>
  <si>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</si>
  <si>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</si>
  <si>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</si>
  <si>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</si>
  <si>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</si>
  <si>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</si>
  <si>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</si>
  <si>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</si>
  <si>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</si>
  <si>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</si>
  <si>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</si>
  <si>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</si>
  <si>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</si>
  <si>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</si>
  <si>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</si>
  <si>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</si>
  <si>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</si>
  <si>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</si>
  <si>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</si>
  <si>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</si>
  <si>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</si>
  <si>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</si>
  <si>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</si>
  <si>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</si>
  <si>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</si>
  <si>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</si>
  <si>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</si>
  <si>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</si>
  <si>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</si>
  <si>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</si>
  <si>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</si>
  <si>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</si>
  <si>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</si>
  <si>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</si>
  <si>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</si>
  <si>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</si>
  <si>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</si>
  <si>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</si>
  <si>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</si>
  <si>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</si>
  <si>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</si>
  <si>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</si>
  <si>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</si>
  <si>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</si>
  <si>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</si>
  <si>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</si>
  <si>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</si>
  <si>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</si>
  <si>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</si>
  <si>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</si>
  <si>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</si>
  <si>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</si>
  <si>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</si>
  <si>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</si>
  <si>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</si>
  <si>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</si>
  <si>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</si>
  <si>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</si>
  <si>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</si>
  <si>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</si>
  <si>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</si>
  <si>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</si>
  <si>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</si>
  <si>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</si>
  <si>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</si>
  <si>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</si>
  <si>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</si>
  <si>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</si>
  <si>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</si>
  <si>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</si>
  <si>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</si>
  <si>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</si>
  <si>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</si>
  <si>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</si>
  <si>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</si>
  <si>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</si>
  <si>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</si>
  <si>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</si>
  <si>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</si>
  <si>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</si>
  <si>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</si>
  <si>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</si>
  <si>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</si>
  <si>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</si>
  <si>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</si>
  <si>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</si>
  <si>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</si>
  <si>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</si>
  <si>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</si>
  <si>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</si>
  <si>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</si>
  <si>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</si>
  <si>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</si>
  <si>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</si>
  <si>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</si>
  <si>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</si>
  <si>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</si>
  <si>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</si>
  <si>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</si>
  <si>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</si>
  <si>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</si>
  <si>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</si>
  <si>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</si>
  <si>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</si>
  <si>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</si>
  <si>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</si>
  <si>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</si>
  <si>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</si>
  <si>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</si>
  <si>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</si>
  <si>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</si>
  <si>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</si>
  <si>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</si>
  <si>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</si>
  <si>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</si>
  <si>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</si>
  <si>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</si>
  <si>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</si>
  <si>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</si>
  <si>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</si>
  <si>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</si>
  <si>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</si>
  <si>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</si>
  <si>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</si>
  <si>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</si>
  <si>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</si>
  <si>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</si>
  <si>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</si>
  <si>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</si>
  <si>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</si>
  <si>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</si>
  <si>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</si>
  <si>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</si>
  <si>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</si>
  <si>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</si>
  <si>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</si>
  <si>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</si>
  <si>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</si>
  <si>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</si>
  <si>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</si>
  <si>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</si>
  <si>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</si>
  <si>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</si>
  <si>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</si>
  <si>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</si>
  <si>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</si>
  <si>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</si>
  <si>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</si>
  <si>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</si>
  <si>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</si>
  <si>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</si>
  <si>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</si>
  <si>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</si>
  <si>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</si>
  <si>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</si>
  <si>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</si>
  <si>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</si>
  <si>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</si>
  <si>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</si>
  <si>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</si>
  <si>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</si>
  <si>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</si>
  <si>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</si>
  <si>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</si>
  <si>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</si>
  <si>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</si>
  <si>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</si>
  <si>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</si>
  <si>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</si>
  <si>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</si>
  <si>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</si>
  <si>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</si>
  <si>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</si>
  <si>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</si>
  <si>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</si>
  <si>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</si>
  <si>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</si>
  <si>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</si>
  <si>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</si>
  <si>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</si>
  <si>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</si>
  <si>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</si>
  <si>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</si>
  <si>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</si>
  <si>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</si>
  <si>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</si>
  <si>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</si>
  <si>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</si>
  <si>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</si>
  <si>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</si>
  <si>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</si>
  <si>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</si>
  <si>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</si>
  <si>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</si>
  <si>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</si>
  <si>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</si>
  <si>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</si>
  <si>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</si>
  <si>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</si>
  <si>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</si>
  <si>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</si>
  <si>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</si>
  <si>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</si>
  <si>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</si>
  <si>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</si>
  <si>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</si>
  <si>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</si>
  <si>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</si>
  <si>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</si>
  <si>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</si>
  <si>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</si>
  <si>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</si>
  <si>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</si>
  <si>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</si>
  <si>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</si>
  <si>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</si>
  <si>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</si>
  <si>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</si>
  <si>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</si>
  <si>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</si>
  <si>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</si>
  <si>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</si>
  <si>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</si>
  <si>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</si>
  <si>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</si>
  <si>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</si>
  <si>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</si>
  <si>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</si>
  <si>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</si>
  <si>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</si>
  <si>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</si>
  <si>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</si>
  <si>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</si>
  <si>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</si>
  <si>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</si>
  <si>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</si>
  <si>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</si>
  <si>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</si>
  <si>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</si>
  <si>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</si>
  <si>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</si>
  <si>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</si>
  <si>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</si>
  <si>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</si>
  <si>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</si>
  <si>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</si>
  <si>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</si>
  <si>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</si>
  <si>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</si>
  <si>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</si>
  <si>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</si>
  <si>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</si>
  <si>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</si>
  <si>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</si>
  <si>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</si>
  <si>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</si>
  <si>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</si>
  <si>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</si>
  <si>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</si>
  <si>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</si>
  <si>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</si>
  <si>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</si>
  <si>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</si>
  <si>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</si>
  <si>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</si>
  <si>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</si>
  <si>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</si>
  <si>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</si>
  <si>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</si>
  <si>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</si>
  <si>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</si>
  <si>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</si>
  <si>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</si>
  <si>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</si>
  <si>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</si>
  <si>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</si>
  <si>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</si>
  <si>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</si>
  <si>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</si>
  <si>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</si>
  <si>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</si>
  <si>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</si>
  <si>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</si>
  <si>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</si>
  <si>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</si>
  <si>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</si>
  <si>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</si>
  <si>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</si>
  <si>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</si>
  <si>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</si>
  <si>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</si>
  <si>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</si>
  <si>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</si>
  <si>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</si>
  <si>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</si>
  <si>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</si>
  <si>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</si>
  <si>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</si>
  <si>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</si>
  <si>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</si>
  <si>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</si>
  <si>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</si>
  <si>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</si>
  <si>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</si>
  <si>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</si>
  <si>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</si>
  <si>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</si>
  <si>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</si>
  <si>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</si>
  <si>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</si>
  <si>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</si>
  <si>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</si>
  <si>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</si>
  <si>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</si>
  <si>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</si>
  <si>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</si>
  <si>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</si>
  <si>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</si>
  <si>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</si>
  <si>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</si>
  <si>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</si>
  <si>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</si>
  <si>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</si>
  <si>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</si>
  <si>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</si>
  <si>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</si>
  <si>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</si>
  <si>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</si>
  <si>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</si>
  <si>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</si>
  <si>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</si>
  <si>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</si>
  <si>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</si>
  <si>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</si>
  <si>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</si>
  <si>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</si>
  <si>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</si>
  <si>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</si>
  <si>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</si>
  <si>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</si>
  <si>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</si>
  <si>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</si>
  <si>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</si>
  <si>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</si>
  <si>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</si>
  <si>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</si>
  <si>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</si>
  <si>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</si>
  <si>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</si>
  <si>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</si>
  <si>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</si>
  <si>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</si>
  <si>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</si>
  <si>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</si>
  <si>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</si>
  <si>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</si>
  <si>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</si>
  <si>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</si>
  <si>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</si>
  <si>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</si>
  <si>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</si>
  <si>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</si>
  <si>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</si>
  <si>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</si>
  <si>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</si>
  <si>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</si>
  <si>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</si>
  <si>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</si>
  <si>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</si>
  <si>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</si>
  <si>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</si>
  <si>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</si>
  <si>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</si>
  <si>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</si>
  <si>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</si>
  <si>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</si>
  <si>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</si>
  <si>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</si>
  <si>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</si>
  <si>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</si>
  <si>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</si>
  <si>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</si>
  <si>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</si>
  <si>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</si>
  <si>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</si>
  <si>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</si>
  <si>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</si>
  <si>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</si>
  <si>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</si>
  <si>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</si>
  <si>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</si>
  <si>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</si>
  <si>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</si>
  <si>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</si>
  <si>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</si>
  <si>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</si>
  <si>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</si>
  <si>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</si>
  <si>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</si>
  <si>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</si>
  <si>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</si>
  <si>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</si>
  <si>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</si>
  <si>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</si>
  <si>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</si>
  <si>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</si>
  <si>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</si>
  <si>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</si>
  <si>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</si>
  <si>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</si>
  <si>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</si>
  <si>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</si>
  <si>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</si>
  <si>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</si>
  <si>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</si>
  <si>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</si>
  <si>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</si>
  <si>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</si>
  <si>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</si>
  <si>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</si>
  <si>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</si>
  <si>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</si>
  <si>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</si>
  <si>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</si>
  <si>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</si>
  <si>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</si>
  <si>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</si>
  <si>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</si>
  <si>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</si>
  <si>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</si>
  <si>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</si>
  <si>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</si>
  <si>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</si>
  <si>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</si>
  <si>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</si>
  <si>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</si>
  <si>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</si>
  <si>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</si>
  <si>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</si>
  <si>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</si>
  <si>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</si>
  <si>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</si>
  <si>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</si>
  <si>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</si>
  <si>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</si>
  <si>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</si>
  <si>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</si>
  <si>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</si>
  <si>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</si>
  <si>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</si>
  <si>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</si>
  <si>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</si>
  <si>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</si>
  <si>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</si>
  <si>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</si>
  <si>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</si>
  <si>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</si>
  <si>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</si>
  <si>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</si>
  <si>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</si>
  <si>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</si>
  <si>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</si>
  <si>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</si>
  <si>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</si>
  <si>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</si>
  <si>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</si>
  <si>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</si>
  <si>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</si>
  <si>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</si>
  <si>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</si>
  <si>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</si>
  <si>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</si>
  <si>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</si>
  <si>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</si>
  <si>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</si>
  <si>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</si>
  <si>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</si>
  <si>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</si>
  <si>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</si>
  <si>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</si>
  <si>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</si>
  <si>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</si>
  <si>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</si>
  <si>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</si>
  <si>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</si>
  <si>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</si>
  <si>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</si>
  <si>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</si>
  <si>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</si>
  <si>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</si>
  <si>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</si>
  <si>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</si>
  <si>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</si>
  <si>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</si>
  <si>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</si>
  <si>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</si>
  <si>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</si>
  <si>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</si>
  <si>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</si>
  <si>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</si>
  <si>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</si>
  <si>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</si>
  <si>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</si>
  <si>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</si>
  <si>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</si>
  <si>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</si>
  <si>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</si>
  <si>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</si>
  <si>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</si>
  <si>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</si>
  <si>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</si>
  <si>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</si>
  <si>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</si>
  <si>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</si>
  <si>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</si>
  <si>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</si>
  <si>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</si>
  <si>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</si>
  <si>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</si>
  <si>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</si>
  <si>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</si>
  <si>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</si>
  <si>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</si>
  <si>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</si>
  <si>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</si>
  <si>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</si>
  <si>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</si>
  <si>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</si>
  <si>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</si>
  <si>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</si>
  <si>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</si>
  <si>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</si>
  <si>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</si>
  <si>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</si>
  <si>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</si>
  <si>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</si>
  <si>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</si>
  <si>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</si>
  <si>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</si>
  <si>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</si>
  <si>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</si>
  <si>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</si>
  <si>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</si>
  <si>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</si>
  <si>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</si>
  <si>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</si>
  <si>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</si>
  <si>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</si>
  <si>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</si>
  <si>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</si>
  <si>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</si>
  <si>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</si>
  <si>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</si>
  <si>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</si>
  <si>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</si>
  <si>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</si>
  <si>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</si>
  <si>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</si>
  <si>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</si>
  <si>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</si>
  <si>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</si>
  <si>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</si>
  <si>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</si>
  <si>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</si>
  <si>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</si>
  <si>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</si>
  <si>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</si>
  <si>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</si>
  <si>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</si>
  <si>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</si>
  <si>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</si>
  <si>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</si>
  <si>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</si>
  <si>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</si>
  <si>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</si>
  <si>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</si>
  <si>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</si>
  <si>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</si>
  <si>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</si>
  <si>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</si>
  <si>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</si>
  <si>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</si>
  <si>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</si>
  <si>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</si>
  <si>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</si>
  <si>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</si>
  <si>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</si>
  <si>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</si>
  <si>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</si>
  <si>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</si>
  <si>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</si>
  <si>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</si>
  <si>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</si>
  <si>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</si>
  <si>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</si>
  <si>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</si>
  <si>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</si>
  <si>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</si>
  <si>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</si>
  <si>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</si>
  <si>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</si>
  <si>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</si>
  <si>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</si>
  <si>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</si>
  <si>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</si>
  <si>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</si>
  <si>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</si>
  <si>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</si>
  <si>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</si>
  <si>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</si>
  <si>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</si>
  <si>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</si>
  <si>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</si>
  <si>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</si>
  <si>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</si>
  <si>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</si>
  <si>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</si>
  <si>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</si>
  <si>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</si>
  <si>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</si>
  <si>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</si>
  <si>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</si>
  <si>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</si>
  <si>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</si>
  <si>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</si>
  <si>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</si>
  <si>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</si>
  <si>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</si>
  <si>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</si>
  <si>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</si>
  <si>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</si>
  <si>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</si>
  <si>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</si>
  <si>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</si>
  <si>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</si>
  <si>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</si>
  <si>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</si>
  <si>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</si>
  <si>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</si>
  <si>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</si>
  <si>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</si>
  <si>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</si>
  <si>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</si>
  <si>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</si>
  <si>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</si>
  <si>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</si>
  <si>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</si>
  <si>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</si>
  <si>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</si>
  <si>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</si>
  <si>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</si>
  <si>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</si>
  <si>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</si>
  <si>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</si>
  <si>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</si>
  <si>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</si>
  <si>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</si>
  <si>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</si>
  <si>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</si>
  <si>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</si>
  <si>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</si>
  <si>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</si>
  <si>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</si>
  <si>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</si>
  <si>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</si>
  <si>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</si>
  <si>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</si>
  <si>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</si>
  <si>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</si>
  <si>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</si>
  <si>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</si>
  <si>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</si>
  <si>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</si>
  <si>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</si>
  <si>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</si>
  <si>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</si>
  <si>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</si>
  <si>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</si>
  <si>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</si>
  <si>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</si>
  <si>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</si>
  <si>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</si>
  <si>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</si>
  <si>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</si>
  <si>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</si>
  <si>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</si>
  <si>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</si>
  <si>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</si>
  <si>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</si>
  <si>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</si>
  <si>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</si>
  <si>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</si>
  <si>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</si>
  <si>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</si>
  <si>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</si>
  <si>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</si>
  <si>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</si>
  <si>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</si>
  <si>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</si>
  <si>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</si>
  <si>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</si>
  <si>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</si>
  <si>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</si>
  <si>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</si>
  <si>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</si>
  <si>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</si>
  <si>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</si>
  <si>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</si>
  <si>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</si>
  <si>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</si>
  <si>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</si>
  <si>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</si>
  <si>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</si>
  <si>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</si>
  <si>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</si>
  <si>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</si>
  <si>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</si>
  <si>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</si>
  <si>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</si>
  <si>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</si>
  <si>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</si>
  <si>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</si>
  <si>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</si>
  <si>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</si>
  <si>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</si>
  <si>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</si>
  <si>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</si>
  <si>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</si>
  <si>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</si>
  <si>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</si>
  <si>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</si>
  <si>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</si>
  <si>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</si>
  <si>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</si>
  <si>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</si>
  <si>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</si>
  <si>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</si>
  <si>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</si>
  <si>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</si>
  <si>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</si>
  <si>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</si>
  <si>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</si>
  <si>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</si>
  <si>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</si>
  <si>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</si>
  <si>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</si>
  <si>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</si>
  <si>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</si>
  <si>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</si>
  <si>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</si>
  <si>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</si>
  <si>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</si>
  <si>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</si>
  <si>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</si>
  <si>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</si>
  <si>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</si>
  <si>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</si>
  <si>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</si>
  <si>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</si>
  <si>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</si>
  <si>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</si>
  <si>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</si>
  <si>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</si>
  <si>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</si>
  <si>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</si>
  <si>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</si>
  <si>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</si>
  <si>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</si>
  <si>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</si>
  <si>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</si>
  <si>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</si>
  <si>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</si>
  <si>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</si>
  <si>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</si>
  <si>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</si>
  <si>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</si>
  <si>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</si>
  <si>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</si>
  <si>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</si>
  <si>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</si>
  <si>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</si>
  <si>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</si>
  <si>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</si>
  <si>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</si>
  <si>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</si>
  <si>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</si>
  <si>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</si>
  <si>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</si>
  <si>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</si>
  <si>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</si>
  <si>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</si>
  <si>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</si>
  <si>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</si>
  <si>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</si>
  <si>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</si>
  <si>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</si>
  <si>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</si>
  <si>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</si>
  <si>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</si>
  <si>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</si>
  <si>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</si>
  <si>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</si>
  <si>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</si>
  <si>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</si>
  <si>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</si>
  <si>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</si>
  <si>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</si>
  <si>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</si>
  <si>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</si>
  <si>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</si>
  <si>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</si>
  <si>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</si>
  <si>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</si>
  <si>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</si>
  <si>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</si>
  <si>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</si>
  <si>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</si>
  <si>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</si>
  <si>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</si>
  <si>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</si>
  <si>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</si>
  <si>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</si>
  <si>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</si>
  <si>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</si>
  <si>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</si>
  <si>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</si>
  <si>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</si>
  <si>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</si>
  <si>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</si>
  <si>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</si>
  <si>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</si>
  <si>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</si>
  <si>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</si>
  <si>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</si>
  <si>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</si>
  <si>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</si>
  <si>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</si>
  <si>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</si>
  <si>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</si>
  <si>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</si>
  <si>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</si>
  <si>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</si>
  <si>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</si>
  <si>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</si>
  <si>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</si>
  <si>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</si>
  <si>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</si>
  <si>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</si>
  <si>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</si>
  <si>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</si>
  <si>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</si>
  <si>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</si>
  <si>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</si>
  <si>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</si>
  <si>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</si>
  <si>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</si>
  <si>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</si>
  <si>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</si>
  <si>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</si>
  <si>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</si>
  <si>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</si>
  <si>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</si>
  <si>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</si>
  <si>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</si>
  <si>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</si>
  <si>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</si>
  <si>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</si>
  <si>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</si>
  <si>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</si>
  <si>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</si>
  <si>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</si>
  <si>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</si>
  <si>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</si>
  <si>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</si>
  <si>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</si>
  <si>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</si>
  <si>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</si>
  <si>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</si>
  <si>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</si>
  <si>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</si>
  <si>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</si>
  <si>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</si>
  <si>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</si>
  <si>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</si>
  <si>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</si>
  <si>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</si>
  <si>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</si>
  <si>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</si>
  <si>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</si>
  <si>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</si>
  <si>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</si>
  <si>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</si>
  <si>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</si>
  <si>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</si>
  <si>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</si>
  <si>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</si>
  <si>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</si>
  <si>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</si>
  <si>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</si>
  <si>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</si>
  <si>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</si>
  <si>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</si>
  <si>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</si>
  <si>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</si>
  <si>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</si>
  <si>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</si>
  <si>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</si>
  <si>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</si>
  <si>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</si>
  <si>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</si>
  <si>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</si>
  <si>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</si>
  <si>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</si>
  <si>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</si>
  <si>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</si>
  <si>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</si>
  <si>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</si>
  <si>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</si>
  <si>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</si>
  <si>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</si>
  <si>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</si>
  <si>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</si>
  <si>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</si>
  <si>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</si>
  <si>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</si>
  <si>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</si>
  <si>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</si>
  <si>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</si>
  <si>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</si>
  <si>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</si>
  <si>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</si>
  <si>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</si>
  <si>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</si>
  <si>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</si>
  <si>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</si>
  <si>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</si>
  <si>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</si>
  <si>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</si>
  <si>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</si>
  <si>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</si>
  <si>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</si>
  <si>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</si>
  <si>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</si>
  <si>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</si>
  <si>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</si>
  <si>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</si>
  <si>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</si>
  <si>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</si>
  <si>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</si>
  <si>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</si>
  <si>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</si>
  <si>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</si>
  <si>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</si>
  <si>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</si>
  <si>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</si>
  <si>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</si>
  <si>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</si>
  <si>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</si>
  <si>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</si>
  <si>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</si>
  <si>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</si>
  <si>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</si>
  <si>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</si>
  <si>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</si>
  <si>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</si>
  <si>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</si>
  <si>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</si>
  <si>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</si>
  <si>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</si>
  <si>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</si>
  <si>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</si>
  <si>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</si>
  <si>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</si>
  <si>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</si>
  <si>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</si>
  <si>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</si>
  <si>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</si>
  <si>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</si>
  <si>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</si>
  <si>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</si>
  <si>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</si>
  <si>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</si>
  <si>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</si>
  <si>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</si>
  <si>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</si>
  <si>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</si>
  <si>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</si>
  <si>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</si>
  <si>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</si>
  <si>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</si>
  <si>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</si>
  <si>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</si>
  <si>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</si>
  <si>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</si>
  <si>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</si>
  <si>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</si>
  <si>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</si>
  <si>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</si>
  <si>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</si>
  <si>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</si>
  <si>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</si>
  <si>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</si>
  <si>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</si>
  <si>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</si>
  <si>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</si>
  <si>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</si>
  <si>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</si>
  <si>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</si>
  <si>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</si>
  <si>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</si>
  <si>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</si>
  <si>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</si>
  <si>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</si>
  <si>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</si>
  <si>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</si>
  <si>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</si>
  <si>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</si>
  <si>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</si>
  <si>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</si>
  <si>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</si>
  <si>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</si>
  <si>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</si>
  <si>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</si>
  <si>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</si>
  <si>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</si>
  <si>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</si>
  <si>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</si>
  <si>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</si>
  <si>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</si>
  <si>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</si>
  <si>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</si>
  <si>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</si>
  <si>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</si>
  <si>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</si>
  <si>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</si>
  <si>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</si>
  <si>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</si>
  <si>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</si>
  <si>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</si>
  <si>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</si>
  <si>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</si>
  <si>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</si>
  <si>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</si>
  <si>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</si>
  <si>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</si>
  <si>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</si>
  <si>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</si>
  <si>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</si>
  <si>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</si>
  <si>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</si>
  <si>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</si>
  <si>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</si>
  <si>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</si>
  <si>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</si>
  <si>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</si>
  <si>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</si>
  <si>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</si>
  <si>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</si>
  <si>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</si>
  <si>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</si>
  <si>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</si>
  <si>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</si>
  <si>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</si>
  <si>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</si>
  <si>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</si>
  <si>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</si>
  <si>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</si>
  <si>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</si>
  <si>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</si>
  <si>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</si>
  <si>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</si>
  <si>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</si>
  <si>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</si>
  <si>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</si>
  <si>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</si>
  <si>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</si>
  <si>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</si>
  <si>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</si>
  <si>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</si>
  <si>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</si>
  <si>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</si>
  <si>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</si>
  <si>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</si>
  <si>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</si>
  <si>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</si>
  <si>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</si>
  <si>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</si>
  <si>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</si>
  <si>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</si>
  <si>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</si>
  <si>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</si>
  <si>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</si>
  <si>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</si>
  <si>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</si>
  <si>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</si>
  <si>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</si>
  <si>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</si>
  <si>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</si>
  <si>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</si>
  <si>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</si>
  <si>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</si>
  <si>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</si>
  <si>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</si>
  <si>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</si>
  <si>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</si>
  <si>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</si>
  <si>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</si>
  <si>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</si>
  <si>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</si>
  <si>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</si>
  <si>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</si>
  <si>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</si>
  <si>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</si>
  <si>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</si>
  <si>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</si>
  <si>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</si>
  <si>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</si>
  <si>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</si>
  <si>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</si>
  <si>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</si>
  <si>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</si>
  <si>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</si>
  <si>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</si>
  <si>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</si>
  <si>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</si>
  <si>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</si>
  <si>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</si>
  <si>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</si>
  <si>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</si>
  <si>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</si>
  <si>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</si>
  <si>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</si>
  <si>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</si>
  <si>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</si>
  <si>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</si>
  <si>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</si>
  <si>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</si>
  <si>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</si>
  <si>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</si>
  <si>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</si>
  <si>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</si>
  <si>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</si>
  <si>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</si>
  <si>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</si>
  <si>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</si>
  <si>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</si>
  <si>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</si>
  <si>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</si>
  <si>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</si>
  <si>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</si>
  <si>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</si>
  <si>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</si>
  <si>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</si>
  <si>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</si>
  <si>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</si>
  <si>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</si>
  <si>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</si>
  <si>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</si>
  <si>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</si>
  <si>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</si>
  <si>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</si>
  <si>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</si>
  <si>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</si>
  <si>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</si>
  <si>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</si>
  <si>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</si>
  <si>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</si>
  <si>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</si>
  <si>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</si>
  <si>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</si>
  <si>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</si>
  <si>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</si>
  <si>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</si>
  <si>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</si>
  <si>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</si>
  <si>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</si>
  <si>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</si>
  <si>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</si>
  <si>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</si>
  <si>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</si>
  <si>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</si>
  <si>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</si>
  <si>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</si>
  <si>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</si>
  <si>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</si>
  <si>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</si>
  <si>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</si>
  <si>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</si>
  <si>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</si>
  <si>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</si>
  <si>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</si>
  <si>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</si>
  <si>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</si>
  <si>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</si>
  <si>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</si>
  <si>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</si>
  <si>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</si>
  <si>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</si>
  <si>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</si>
  <si>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</si>
  <si>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</si>
  <si>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</si>
  <si>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</si>
  <si>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</si>
  <si>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</si>
  <si>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</si>
  <si>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</si>
  <si>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</si>
  <si>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</si>
  <si>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</si>
  <si>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</si>
  <si>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</si>
  <si>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</si>
  <si>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</si>
  <si>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</si>
  <si>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</si>
  <si>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</si>
  <si>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</si>
  <si>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</si>
  <si>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</si>
  <si>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</si>
  <si>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</si>
  <si>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</si>
  <si>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</si>
  <si>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</si>
  <si>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</si>
  <si>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</si>
  <si>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</si>
  <si>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</si>
  <si>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</si>
  <si>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</si>
  <si>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</si>
  <si>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</si>
  <si>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</si>
  <si>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</si>
  <si>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</si>
  <si>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</si>
  <si>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</si>
  <si>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</si>
  <si>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</si>
  <si>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</si>
  <si>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</si>
  <si>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</si>
  <si>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</si>
  <si>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</si>
  <si>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</si>
  <si>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</si>
  <si>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</si>
  <si>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</si>
  <si>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</si>
  <si>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</si>
  <si>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</si>
  <si>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</si>
  <si>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</si>
  <si>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</si>
  <si>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</si>
  <si>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</si>
  <si>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</si>
  <si>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</si>
  <si>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</si>
  <si>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</si>
  <si>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</si>
  <si>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</si>
  <si>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</si>
  <si>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</si>
  <si>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</si>
  <si>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</si>
  <si>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</si>
  <si>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</si>
  <si>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</si>
  <si>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</si>
  <si>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</si>
  <si>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</si>
  <si>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</si>
  <si>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</si>
  <si>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</si>
  <si>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</si>
  <si>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</si>
  <si>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</si>
  <si>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</si>
  <si>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</si>
  <si>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</si>
  <si>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</si>
  <si>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</si>
  <si>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</si>
  <si>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</si>
  <si>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</si>
  <si>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</si>
  <si>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</si>
  <si>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</si>
  <si>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</si>
  <si>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</si>
  <si>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</si>
  <si>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</si>
  <si>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</si>
  <si>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</si>
  <si>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</si>
  <si>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</si>
  <si>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</si>
  <si>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</si>
  <si>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</si>
  <si>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</si>
  <si>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</si>
  <si>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</si>
  <si>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</si>
  <si>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</si>
  <si>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</si>
  <si>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</si>
  <si>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</si>
  <si>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</si>
  <si>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</si>
  <si>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</si>
  <si>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</si>
  <si>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</si>
  <si>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</si>
  <si>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</si>
  <si>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</si>
  <si>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</si>
  <si>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</si>
  <si>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</si>
  <si>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</si>
  <si>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</si>
  <si>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</si>
  <si>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</si>
  <si>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</si>
  <si>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</si>
  <si>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</si>
  <si>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</si>
  <si>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</si>
  <si>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</si>
  <si>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</si>
  <si>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</si>
  <si>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</si>
  <si>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</si>
  <si>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</si>
  <si>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</si>
  <si>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</si>
  <si>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</si>
  <si>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</si>
  <si>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</si>
  <si>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</si>
  <si>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</si>
  <si>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</si>
  <si>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</si>
  <si>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</si>
  <si>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</si>
  <si>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</si>
  <si>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</si>
  <si>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</si>
  <si>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</si>
  <si>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</si>
  <si>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</si>
  <si>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</si>
  <si>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</si>
  <si>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</si>
  <si>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</si>
  <si>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</si>
  <si>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</si>
  <si>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</si>
  <si>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</si>
  <si>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</si>
  <si>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</si>
  <si>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</si>
  <si>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</si>
  <si>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</si>
  <si>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</si>
  <si>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</si>
  <si>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</si>
  <si>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</si>
  <si>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</si>
  <si>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</si>
  <si>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</si>
  <si>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</si>
  <si>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</si>
  <si>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</si>
  <si>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</si>
  <si>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</si>
  <si>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</si>
  <si>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</si>
  <si>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</si>
  <si>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</si>
  <si>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</si>
  <si>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</si>
  <si>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</si>
  <si>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</si>
  <si>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</si>
  <si>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</si>
  <si>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</si>
  <si>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</si>
  <si>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</si>
  <si>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</si>
  <si>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</si>
  <si>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</si>
  <si>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</si>
  <si>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</si>
  <si>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</si>
  <si>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</si>
  <si>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</si>
  <si>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</si>
  <si>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</si>
  <si>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</si>
  <si>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</si>
  <si>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</si>
  <si>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</si>
  <si>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</si>
  <si>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</si>
  <si>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</si>
  <si>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</si>
  <si>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</si>
  <si>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</si>
  <si>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</si>
  <si>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</si>
  <si>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</si>
  <si>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</si>
  <si>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</si>
  <si>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</si>
  <si>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</si>
  <si>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</si>
  <si>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</si>
  <si>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</si>
  <si>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</si>
  <si>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</si>
  <si>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</si>
  <si>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</si>
  <si>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</si>
  <si>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</si>
  <si>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</si>
  <si>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</si>
  <si>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</si>
  <si>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</si>
  <si>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</si>
  <si>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</si>
  <si>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</si>
  <si>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</si>
  <si>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</si>
  <si>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</si>
  <si>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</si>
  <si>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</si>
  <si>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</si>
  <si>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</si>
  <si>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</si>
  <si>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</si>
  <si>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</si>
  <si>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</si>
  <si>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</si>
  <si>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</si>
  <si>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</si>
  <si>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</si>
  <si>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</si>
  <si>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</si>
  <si>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</si>
  <si>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</si>
  <si>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</si>
  <si>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</si>
  <si>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</si>
  <si>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</si>
  <si>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</si>
  <si>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</si>
  <si>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</si>
  <si>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</si>
  <si>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</si>
  <si>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</si>
  <si>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</si>
  <si>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</si>
  <si>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</si>
  <si>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</si>
  <si>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</si>
  <si>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</si>
  <si>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</si>
  <si>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</si>
  <si>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</si>
  <si>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</si>
  <si>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</si>
  <si>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</si>
  <si>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</si>
  <si>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</si>
  <si>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</si>
  <si>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</si>
  <si>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</si>
  <si>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</si>
  <si>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</si>
  <si>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</si>
  <si>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</si>
  <si>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</si>
  <si>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</si>
  <si>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</si>
  <si>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</si>
  <si>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</si>
  <si>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</si>
  <si>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</si>
  <si>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</si>
  <si>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</si>
  <si>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</si>
  <si>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</si>
  <si>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</si>
  <si>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</si>
  <si>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</si>
  <si>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</si>
  <si>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</si>
  <si>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</si>
  <si>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</si>
  <si>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</si>
  <si>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</si>
  <si>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</si>
  <si>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</si>
  <si>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</si>
  <si>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</si>
  <si>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</si>
  <si>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</si>
  <si>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</si>
  <si>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</si>
  <si>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</si>
  <si>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</si>
  <si>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</si>
  <si>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</si>
  <si>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</si>
  <si>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</si>
  <si>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</si>
  <si>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</si>
  <si>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</si>
  <si>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</si>
  <si>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</si>
  <si>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</si>
  <si>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</si>
  <si>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</si>
  <si>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</si>
  <si>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</si>
  <si>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</si>
  <si>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</si>
  <si>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</si>
  <si>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</si>
  <si>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</si>
  <si>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</si>
  <si>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</si>
  <si>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</si>
  <si>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</si>
  <si>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</si>
  <si>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</si>
  <si>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</si>
  <si>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</si>
  <si>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</si>
  <si>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</si>
  <si>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</si>
  <si>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</si>
  <si>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</si>
  <si>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</si>
  <si>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</si>
  <si>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</si>
  <si>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</si>
  <si>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</si>
  <si>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</si>
  <si>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</si>
  <si>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</si>
  <si>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</si>
  <si>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</si>
  <si>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</si>
  <si>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</si>
  <si>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</si>
  <si>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</si>
  <si>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</si>
  <si>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</si>
  <si>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</si>
  <si>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</si>
  <si>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</si>
  <si>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</si>
  <si>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</si>
  <si>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</si>
  <si>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</si>
  <si>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</si>
  <si>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</si>
  <si>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</si>
  <si>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</si>
  <si>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</si>
  <si>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</si>
  <si>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</si>
  <si>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</si>
  <si>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</si>
  <si>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</si>
  <si>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</si>
  <si>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</si>
  <si>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</si>
  <si>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</si>
  <si>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</si>
  <si>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</si>
  <si>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</si>
  <si>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</si>
  <si>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</si>
  <si>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</si>
  <si>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</si>
  <si>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</si>
  <si>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</si>
  <si>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</si>
  <si>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</si>
  <si>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</si>
  <si>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</si>
  <si>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</si>
  <si>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</si>
  <si>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</si>
  <si>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</si>
  <si>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</si>
  <si>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</si>
  <si>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</si>
  <si>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</si>
  <si>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</si>
  <si>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</si>
  <si>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</si>
  <si>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</si>
  <si>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</si>
  <si>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</si>
  <si>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</si>
  <si>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</si>
  <si>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</si>
  <si>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</si>
  <si>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</si>
  <si>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</si>
  <si>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</si>
  <si>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</si>
  <si>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</si>
  <si>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</si>
  <si>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</si>
  <si>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</si>
  <si>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</si>
  <si>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</si>
  <si>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</si>
  <si>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</si>
  <si>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</si>
  <si>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</si>
  <si>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</si>
  <si>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</si>
  <si>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</si>
  <si>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</si>
  <si>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</si>
  <si>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</si>
  <si>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</si>
  <si>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</si>
  <si>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</si>
  <si>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</si>
  <si>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</si>
  <si>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</si>
  <si>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</si>
  <si>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</si>
  <si>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</si>
  <si>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</si>
  <si>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</si>
  <si>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</si>
  <si>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</si>
  <si>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</si>
  <si>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</si>
  <si>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</si>
  <si>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</si>
  <si>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</si>
  <si>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</si>
  <si>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</si>
  <si>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</si>
  <si>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</si>
  <si>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</si>
  <si>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</si>
  <si>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</si>
  <si>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</si>
  <si>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</si>
  <si>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</si>
  <si>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</si>
  <si>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</si>
  <si>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</si>
  <si>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</si>
  <si>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</si>
  <si>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</si>
  <si>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</si>
  <si>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</si>
  <si>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</si>
  <si>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</si>
  <si>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</si>
  <si>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</si>
  <si>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</si>
  <si>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</si>
  <si>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</si>
  <si>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</si>
  <si>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</si>
  <si>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</si>
  <si>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</si>
  <si>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</si>
  <si>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</si>
  <si>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</si>
  <si>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</si>
  <si>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</si>
  <si>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</si>
  <si>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</si>
  <si>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</si>
  <si>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</si>
  <si>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</si>
  <si>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</si>
  <si>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</si>
  <si>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</si>
  <si>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</si>
  <si>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</si>
  <si>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</si>
  <si>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</si>
  <si>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</si>
  <si>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</si>
  <si>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</si>
  <si>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</si>
  <si>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</si>
  <si>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</si>
  <si>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</si>
  <si>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</si>
  <si>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</si>
  <si>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</si>
  <si>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</si>
  <si>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</si>
  <si>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</si>
  <si>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</si>
  <si>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</si>
  <si>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</si>
  <si>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</si>
  <si>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</si>
  <si>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</si>
  <si>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</si>
  <si>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</si>
  <si>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</si>
  <si>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</si>
  <si>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</si>
  <si>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</si>
  <si>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</si>
  <si>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</si>
  <si>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</si>
  <si>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</si>
  <si>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</si>
  <si>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</si>
  <si>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</si>
  <si>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</si>
  <si>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</si>
  <si>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</si>
  <si>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</si>
  <si>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</si>
  <si>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</si>
  <si>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</si>
  <si>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</si>
  <si>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</si>
  <si>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</si>
  <si>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</si>
  <si>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</si>
  <si>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</si>
  <si>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</si>
  <si>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</si>
  <si>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</si>
  <si>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</si>
  <si>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</si>
  <si>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</si>
  <si>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</si>
  <si>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</si>
  <si>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</si>
  <si>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</si>
  <si>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</si>
  <si>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</si>
  <si>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</si>
  <si>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</si>
  <si>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</si>
  <si>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</si>
  <si>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</si>
  <si>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</si>
  <si>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</si>
  <si>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</si>
  <si>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</si>
  <si>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</si>
  <si>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</si>
  <si>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</si>
  <si>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</si>
  <si>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</si>
  <si>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</si>
  <si>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</si>
  <si>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</si>
  <si>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</si>
  <si>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</si>
  <si>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</si>
  <si>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</si>
  <si>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</si>
  <si>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</si>
  <si>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</si>
  <si>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</si>
  <si>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</si>
  <si>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</si>
  <si>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</si>
  <si>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</si>
  <si>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</si>
  <si>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</si>
  <si>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</si>
  <si>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</si>
  <si>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</si>
  <si>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</si>
  <si>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</si>
  <si>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</si>
  <si>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</si>
  <si>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</si>
  <si>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</si>
  <si>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</si>
  <si>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</si>
  <si>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</si>
  <si>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</si>
  <si>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</si>
  <si>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</si>
  <si>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</si>
  <si>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</si>
  <si>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</si>
  <si>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</si>
  <si>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</si>
  <si>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</si>
  <si>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</si>
  <si>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</si>
  <si>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</si>
  <si>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</si>
  <si>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</si>
  <si>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</si>
  <si>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</si>
  <si>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</si>
  <si>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</si>
  <si>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</si>
  <si>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</si>
  <si>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</si>
  <si>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</si>
  <si>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</si>
  <si>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</si>
  <si>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</si>
  <si>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</si>
  <si>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</si>
  <si>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</si>
  <si>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</si>
  <si>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</si>
  <si>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</si>
  <si>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</si>
  <si>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</si>
  <si>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</si>
  <si>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</si>
  <si>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</si>
  <si>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</si>
  <si>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</si>
  <si>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</si>
  <si>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</si>
  <si>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</si>
  <si>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</si>
  <si>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</si>
  <si>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</si>
  <si>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</si>
  <si>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</si>
  <si>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</si>
  <si>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</si>
  <si>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</si>
  <si>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</si>
  <si>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</si>
  <si>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</si>
  <si>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</si>
  <si>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</si>
  <si>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</si>
  <si>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</si>
  <si>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</si>
  <si>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</si>
  <si>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</si>
  <si>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</si>
  <si>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</si>
  <si>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</si>
  <si>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</si>
  <si>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</si>
  <si>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</si>
  <si>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</si>
  <si>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</si>
  <si>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</si>
  <si>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</si>
  <si>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</si>
  <si>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</si>
  <si>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</si>
  <si>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</si>
  <si>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</si>
  <si>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</si>
  <si>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</si>
  <si>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</si>
  <si>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</si>
  <si>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</si>
  <si>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</si>
  <si>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</si>
  <si>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</si>
  <si>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</si>
  <si>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</si>
  <si>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</si>
  <si>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</si>
  <si>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</si>
  <si>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</si>
  <si>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</si>
  <si>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</si>
  <si>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</si>
  <si>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</si>
  <si>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</si>
  <si>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</si>
  <si>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</si>
  <si>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</si>
  <si>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</si>
  <si>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</si>
  <si>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</si>
  <si>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</si>
  <si>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</si>
  <si>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</si>
  <si>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</si>
  <si>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</si>
  <si>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</si>
  <si>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</si>
  <si>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</si>
  <si>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</si>
  <si>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</si>
  <si>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</si>
  <si>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</si>
  <si>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</si>
  <si>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</si>
  <si>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</si>
  <si>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</si>
  <si>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</si>
  <si>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</si>
  <si>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</si>
  <si>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</si>
  <si>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</si>
  <si>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</si>
  <si>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</si>
  <si>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</si>
  <si>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</si>
  <si>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</si>
  <si>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</si>
  <si>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</si>
  <si>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</si>
  <si>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</si>
  <si>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</si>
  <si>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</si>
  <si>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</si>
  <si>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</si>
  <si>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</si>
  <si>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</si>
  <si>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</si>
  <si>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</si>
  <si>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</si>
  <si>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</si>
  <si>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</si>
  <si>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</si>
  <si>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</si>
  <si>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</si>
  <si>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</si>
  <si>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</si>
  <si>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</si>
  <si>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</si>
  <si>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</si>
  <si>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</si>
  <si>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</si>
  <si>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</si>
  <si>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</si>
  <si>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</si>
  <si>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</si>
  <si>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</si>
  <si>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</si>
  <si>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</si>
  <si>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</si>
  <si>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</si>
  <si>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</si>
  <si>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</si>
  <si>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</si>
  <si>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</si>
  <si>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</si>
  <si>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</si>
  <si>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</si>
  <si>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</si>
  <si>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</si>
  <si>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</si>
  <si>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</si>
  <si>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</si>
  <si>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</si>
  <si>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</si>
  <si>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</si>
  <si>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</si>
  <si>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</si>
  <si>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</si>
  <si>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</si>
  <si>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</si>
  <si>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</si>
  <si>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</si>
  <si>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</si>
  <si>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</si>
  <si>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</si>
  <si>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</si>
  <si>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</si>
  <si>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</si>
  <si>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</si>
  <si>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</si>
  <si>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</si>
  <si>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</si>
  <si>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</si>
  <si>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</si>
  <si>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</si>
  <si>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</si>
  <si>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</si>
  <si>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</si>
  <si>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</si>
  <si>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</si>
  <si>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</si>
  <si>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</si>
  <si>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</si>
  <si>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</si>
  <si>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</si>
  <si>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</si>
  <si>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</si>
  <si>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</si>
  <si>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</si>
  <si>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</si>
  <si>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</si>
  <si>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</si>
  <si>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</si>
  <si>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</si>
  <si>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</si>
  <si>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</si>
  <si>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</si>
  <si>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</si>
  <si>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</si>
  <si>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</si>
  <si>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</si>
  <si>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</si>
  <si>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</si>
  <si>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</si>
  <si>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</si>
  <si>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</si>
  <si>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</si>
  <si>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</si>
  <si>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</si>
  <si>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</si>
  <si>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</si>
  <si>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</si>
  <si>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</si>
  <si>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</si>
  <si>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</si>
  <si>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</si>
  <si>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</si>
  <si>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</si>
  <si>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</si>
  <si>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</si>
  <si>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</si>
  <si>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</si>
  <si>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</si>
  <si>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</si>
  <si>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</si>
  <si>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</si>
  <si>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</si>
  <si>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</si>
  <si>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</si>
  <si>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</si>
  <si>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</si>
  <si>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</si>
  <si>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</si>
  <si>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</si>
  <si>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</si>
  <si>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</si>
  <si>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</si>
  <si>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</si>
  <si>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</si>
  <si>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</si>
  <si>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</si>
  <si>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</si>
  <si>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</si>
  <si>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</si>
  <si>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</si>
  <si>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</si>
  <si>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</si>
  <si>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</si>
  <si>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</si>
  <si>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</si>
  <si>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</si>
  <si>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</si>
  <si>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</si>
  <si>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</si>
  <si>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</si>
  <si>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</si>
  <si>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</si>
  <si>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</si>
  <si>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</si>
  <si>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</si>
  <si>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</si>
  <si>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</si>
  <si>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</si>
  <si>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</si>
  <si>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</si>
  <si>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</si>
  <si>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</si>
  <si>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</si>
  <si>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</si>
  <si>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</si>
  <si>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</si>
  <si>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</si>
  <si>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</si>
  <si>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</si>
  <si>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</si>
  <si>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</si>
  <si>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</si>
  <si>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</si>
  <si>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</si>
  <si>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</si>
  <si>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</si>
  <si>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</si>
  <si>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</si>
  <si>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</si>
  <si>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</si>
  <si>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</si>
  <si>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</si>
  <si>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</si>
  <si>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</si>
  <si>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</si>
  <si>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</si>
  <si>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</si>
  <si>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</si>
  <si>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</si>
  <si>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</si>
  <si>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</si>
  <si>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</si>
  <si>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</si>
  <si>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</si>
  <si>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</si>
  <si>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</si>
  <si>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</si>
  <si>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</si>
  <si>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</si>
  <si>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</si>
  <si>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</si>
  <si>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</si>
  <si>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</si>
  <si>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</si>
  <si>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</si>
  <si>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</si>
  <si>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</si>
  <si>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</si>
  <si>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</si>
  <si>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</si>
  <si>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</si>
  <si>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</si>
  <si>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</si>
  <si>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</si>
  <si>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</si>
  <si>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</si>
  <si>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</si>
  <si>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</si>
  <si>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</si>
  <si>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</si>
  <si>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</si>
  <si>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</si>
  <si>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</si>
  <si>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</si>
  <si>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</si>
  <si>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</si>
  <si>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</si>
  <si>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</si>
  <si>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</si>
  <si>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</si>
  <si>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</si>
  <si>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</si>
  <si>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</si>
  <si>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</si>
  <si>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</si>
  <si>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</si>
  <si>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</si>
  <si>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</si>
  <si>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</si>
  <si>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</si>
  <si>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</si>
  <si>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</si>
  <si>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</si>
  <si>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</si>
  <si>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</si>
  <si>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</si>
  <si>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</si>
  <si>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</si>
  <si>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</si>
  <si>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</si>
  <si>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</si>
  <si>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</si>
  <si>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</si>
  <si>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</si>
  <si>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</si>
  <si>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</si>
  <si>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</si>
  <si>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</si>
  <si>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</si>
  <si>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</si>
  <si>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</si>
  <si>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</si>
  <si>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</si>
  <si>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</si>
  <si>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</si>
  <si>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</si>
  <si>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</si>
  <si>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</si>
  <si>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</si>
  <si>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</si>
  <si>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</si>
  <si>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</si>
  <si>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</si>
  <si>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</si>
  <si>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</si>
  <si>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</si>
  <si>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</si>
  <si>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</si>
  <si>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</si>
  <si>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</si>
  <si>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</si>
  <si>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</si>
  <si>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</si>
  <si>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</si>
  <si>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</si>
  <si>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</si>
  <si>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</si>
  <si>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</si>
  <si>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</si>
  <si>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</si>
  <si>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</si>
  <si>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</si>
  <si>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</si>
  <si>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</si>
  <si>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</si>
  <si>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</si>
  <si>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</si>
  <si>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</si>
  <si>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</si>
  <si>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</si>
  <si>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</si>
  <si>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</si>
  <si>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</si>
  <si>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</si>
  <si>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</si>
  <si>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</si>
  <si>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</si>
  <si>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</si>
  <si>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</si>
  <si>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</si>
  <si>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</si>
  <si>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</si>
  <si>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</si>
  <si>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</si>
  <si>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</si>
  <si>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</si>
  <si>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</si>
  <si>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</si>
  <si>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</si>
  <si>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</si>
  <si>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</si>
  <si>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</si>
  <si>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</si>
  <si>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</si>
  <si>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</si>
  <si>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</si>
  <si>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</si>
  <si>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</si>
  <si>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</si>
  <si>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</si>
  <si>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</si>
  <si>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</si>
  <si>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</si>
  <si>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</si>
  <si>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</si>
  <si>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</si>
  <si>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</si>
  <si>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</si>
  <si>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</si>
  <si>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</si>
  <si>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</si>
  <si>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</si>
  <si>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</si>
  <si>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</si>
  <si>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</si>
  <si>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</si>
  <si>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</si>
  <si>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</si>
  <si>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</si>
  <si>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</si>
  <si>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</si>
  <si>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</si>
  <si>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</si>
  <si>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</si>
  <si>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</si>
  <si>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</si>
  <si>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</si>
  <si>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</si>
  <si>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</si>
  <si>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</si>
  <si>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</si>
  <si>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</si>
  <si>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</si>
  <si>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</si>
  <si>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</si>
  <si>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</si>
  <si>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</si>
  <si>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</si>
  <si>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</si>
  <si>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</si>
  <si>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</si>
  <si>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</si>
  <si>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</si>
  <si>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</si>
  <si>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</si>
  <si>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</si>
  <si>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</si>
  <si>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</si>
  <si>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</si>
  <si>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</si>
  <si>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</si>
  <si>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</si>
  <si>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</si>
  <si>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</si>
  <si>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</si>
  <si>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</si>
  <si>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</si>
  <si>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</si>
  <si>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</si>
  <si>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</si>
  <si>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</si>
  <si>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</si>
  <si>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</si>
  <si>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</si>
  <si>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</si>
  <si>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</si>
  <si>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</si>
  <si>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</si>
  <si>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</si>
  <si>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</si>
  <si>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</si>
  <si>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</si>
  <si>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</si>
  <si>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</si>
  <si>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</si>
  <si>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</si>
  <si>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</si>
  <si>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</si>
  <si>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</si>
  <si>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</si>
  <si>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</si>
  <si>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</si>
  <si>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</si>
  <si>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</si>
  <si>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</si>
  <si>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</si>
  <si>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</si>
  <si>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</si>
  <si>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</si>
  <si>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</si>
  <si>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</si>
  <si>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</si>
  <si>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</si>
  <si>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</si>
  <si>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</si>
  <si>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</si>
  <si>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</si>
  <si>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</si>
  <si>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</si>
  <si>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</si>
  <si>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</si>
  <si>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</si>
  <si>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</si>
  <si>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</si>
  <si>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</si>
  <si>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</si>
  <si>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</si>
  <si>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</si>
  <si>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</si>
  <si>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</si>
  <si>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</si>
  <si>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</si>
  <si>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</si>
  <si>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</si>
  <si>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</si>
  <si>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</si>
  <si>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</si>
  <si>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</si>
  <si>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</si>
  <si>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</si>
  <si>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</si>
  <si>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</si>
  <si>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</si>
  <si>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</si>
  <si>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</si>
  <si>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</si>
  <si>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</si>
  <si>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</si>
  <si>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</si>
  <si>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</si>
  <si>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</si>
  <si>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</si>
  <si>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</si>
  <si>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</si>
  <si>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</si>
  <si>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</si>
  <si>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</si>
  <si>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</si>
  <si>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</si>
  <si>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</si>
  <si>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</si>
  <si>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</si>
  <si>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</si>
  <si>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</si>
  <si>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</si>
  <si>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</si>
  <si>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</si>
  <si>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</si>
  <si>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</si>
  <si>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</si>
  <si>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</si>
  <si>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</si>
  <si>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</si>
  <si>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</si>
  <si>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</si>
  <si>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</si>
  <si>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</si>
  <si>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</si>
  <si>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</si>
  <si>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</si>
  <si>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</si>
  <si>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</si>
  <si>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</si>
  <si>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</si>
  <si>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</si>
  <si>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</si>
  <si>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</si>
  <si>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</si>
  <si>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</si>
  <si>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</si>
  <si>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</si>
  <si>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</si>
  <si>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</si>
  <si>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</si>
  <si>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</si>
  <si>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</si>
  <si>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</si>
  <si>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</si>
  <si>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</si>
  <si>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</si>
  <si>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</si>
  <si>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</si>
  <si>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</si>
  <si>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</si>
  <si>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</si>
  <si>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</si>
  <si>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</si>
  <si>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</si>
  <si>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</si>
  <si>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</si>
  <si>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</si>
  <si>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</si>
  <si>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</si>
  <si>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</si>
  <si>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</si>
  <si>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</si>
  <si>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</si>
  <si>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</si>
  <si>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</si>
  <si>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</si>
  <si>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</si>
  <si>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</si>
  <si>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</si>
  <si>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</si>
  <si>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</si>
  <si>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</si>
  <si>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</si>
  <si>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</si>
  <si>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</si>
  <si>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</si>
  <si>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</si>
  <si>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</si>
  <si>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</si>
  <si>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</si>
  <si>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</si>
  <si>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</si>
  <si>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</si>
  <si>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</si>
  <si>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</si>
  <si>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</si>
  <si>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</si>
  <si>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</si>
  <si>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</si>
  <si>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</si>
  <si>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</si>
  <si>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</si>
  <si>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</si>
  <si>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</si>
  <si>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</si>
  <si>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</si>
  <si>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</si>
  <si>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</si>
  <si>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</si>
  <si>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</si>
  <si>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</si>
  <si>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</si>
  <si>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</si>
  <si>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</si>
  <si>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</si>
  <si>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</si>
  <si>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</si>
  <si>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</si>
  <si>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</si>
  <si>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</si>
  <si>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</si>
  <si>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</si>
  <si>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</si>
  <si>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</si>
  <si>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</si>
  <si>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</si>
  <si>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</si>
  <si>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</si>
  <si>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</si>
  <si>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</si>
  <si>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</si>
  <si>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</si>
  <si>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</si>
  <si>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</si>
  <si>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</si>
  <si>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</si>
  <si>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</si>
  <si>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</si>
  <si>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</si>
  <si>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</si>
  <si>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</si>
  <si>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</si>
  <si>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</si>
  <si>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</si>
  <si>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</si>
  <si>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</si>
  <si>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</si>
  <si>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</si>
  <si>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</si>
  <si>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</si>
  <si>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</si>
  <si>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</si>
  <si>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</si>
  <si>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</si>
  <si>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</si>
  <si>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</si>
  <si>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</si>
  <si>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</si>
  <si>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</si>
  <si>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</si>
  <si>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</si>
  <si>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</si>
  <si>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</si>
  <si>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</si>
  <si>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</si>
  <si>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</si>
  <si>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</si>
  <si>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</si>
  <si>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</si>
  <si>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</si>
  <si>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</si>
  <si>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</si>
  <si>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</si>
  <si>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</si>
  <si>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</si>
  <si>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</si>
  <si>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</si>
  <si>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</si>
  <si>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</si>
  <si>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</si>
  <si>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</si>
  <si>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</si>
  <si>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</si>
  <si>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</si>
  <si>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</si>
  <si>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</si>
  <si>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</si>
  <si>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</si>
  <si>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</si>
  <si>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</si>
  <si>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</si>
  <si>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</si>
  <si>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</si>
  <si>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</si>
  <si>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</si>
  <si>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</si>
  <si>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</si>
  <si>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</si>
  <si>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</si>
  <si>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</si>
  <si>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</si>
  <si>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</si>
  <si>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</si>
  <si>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</si>
  <si>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</si>
  <si>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</si>
  <si>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</si>
  <si>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</si>
  <si>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</si>
  <si>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</si>
  <si>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</si>
  <si>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</si>
  <si>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</si>
  <si>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</si>
  <si>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</si>
  <si>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</si>
  <si>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</si>
  <si>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</si>
  <si>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</si>
  <si>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</si>
  <si>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</si>
  <si>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</si>
  <si>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</si>
  <si>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</si>
  <si>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</si>
  <si>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</si>
  <si>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</si>
  <si>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</si>
  <si>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</si>
  <si>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</si>
  <si>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</si>
  <si>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</si>
  <si>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</si>
  <si>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</si>
  <si>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</si>
  <si>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</si>
  <si>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</si>
  <si>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</si>
  <si>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</si>
  <si>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</si>
  <si>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</si>
  <si>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</si>
  <si>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</si>
  <si>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</si>
  <si>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</si>
  <si>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</si>
  <si>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</si>
  <si>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</si>
  <si>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</si>
  <si>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</si>
  <si>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</si>
  <si>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</si>
  <si>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</si>
  <si>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</si>
  <si>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</si>
  <si>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</si>
  <si>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</si>
  <si>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</si>
  <si>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</si>
  <si>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</si>
  <si>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</si>
  <si>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</si>
  <si>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</si>
  <si>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</si>
  <si>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</si>
  <si>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</si>
  <si>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</si>
  <si>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</si>
  <si>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</si>
  <si>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</si>
  <si>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</si>
  <si>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</si>
  <si>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</si>
  <si>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</si>
  <si>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</si>
  <si>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</si>
  <si>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</si>
  <si>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</si>
  <si>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</si>
  <si>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</si>
  <si>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</si>
  <si>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</si>
  <si>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</si>
  <si>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</si>
  <si>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</si>
  <si>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</si>
  <si>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</si>
  <si>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</si>
  <si>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</si>
  <si>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</si>
  <si>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</si>
  <si>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</si>
  <si>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</si>
  <si>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</si>
  <si>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</si>
  <si>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</si>
  <si>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</si>
  <si>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</si>
  <si>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</si>
  <si>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</si>
  <si>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</si>
  <si>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</si>
  <si>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</si>
  <si>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</si>
  <si>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</si>
  <si>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</si>
  <si>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</si>
  <si>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</si>
  <si>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</si>
  <si>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</si>
  <si>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</si>
  <si>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</si>
  <si>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</si>
  <si>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</si>
  <si>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</si>
  <si>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</si>
  <si>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</si>
  <si>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</si>
  <si>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</si>
  <si>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</si>
  <si>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</si>
  <si>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</si>
  <si>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</si>
  <si>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</si>
  <si>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</si>
  <si>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</si>
  <si>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</si>
  <si>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</si>
  <si>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</si>
  <si>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</si>
  <si>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</si>
  <si>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</si>
  <si>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</si>
  <si>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</si>
  <si>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</si>
  <si>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</si>
  <si>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</si>
  <si>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</si>
  <si>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</si>
  <si>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</si>
  <si>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</si>
  <si>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</si>
  <si>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</si>
  <si>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</si>
  <si>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</si>
  <si>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</si>
  <si>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</si>
  <si>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</si>
  <si>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</si>
  <si>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</si>
  <si>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</si>
  <si>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</si>
  <si>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</si>
  <si>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</si>
  <si>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</si>
  <si>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</si>
  <si>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</si>
  <si>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</si>
  <si>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</si>
  <si>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</si>
  <si>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</si>
  <si>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</si>
  <si>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</si>
  <si>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</si>
  <si>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</si>
  <si>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</si>
  <si>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</si>
  <si>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</si>
  <si>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</si>
  <si>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</si>
  <si>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</si>
  <si>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</si>
  <si>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</si>
  <si>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</si>
  <si>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</si>
  <si>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</si>
  <si>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</si>
  <si>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</si>
  <si>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</si>
  <si>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</si>
  <si>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</si>
  <si>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</si>
  <si>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</si>
  <si>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</si>
  <si>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</si>
  <si>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</si>
  <si>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</si>
  <si>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</si>
  <si>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</si>
  <si>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</si>
  <si>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</si>
  <si>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</si>
  <si>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</si>
  <si>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</si>
  <si>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</si>
  <si>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</si>
  <si>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</si>
  <si>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</si>
  <si>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</si>
  <si>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</si>
  <si>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</si>
  <si>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</si>
  <si>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</si>
  <si>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</si>
  <si>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</si>
  <si>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</si>
  <si>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</si>
  <si>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</si>
  <si>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</si>
  <si>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</si>
  <si>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</si>
  <si>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</si>
  <si>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</si>
  <si>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</si>
  <si>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</si>
  <si>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</si>
  <si>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</si>
  <si>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</si>
  <si>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</si>
  <si>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</si>
  <si>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</si>
  <si>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</si>
  <si>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</si>
  <si>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</si>
  <si>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</si>
  <si>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</si>
  <si>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</si>
  <si>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</si>
  <si>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</si>
  <si>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</si>
  <si>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</si>
  <si>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</si>
  <si>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</si>
  <si>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</si>
  <si>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</si>
  <si>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</si>
  <si>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</si>
  <si>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</si>
  <si>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</si>
  <si>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</si>
  <si>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</si>
  <si>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</si>
  <si>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</si>
  <si>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</si>
  <si>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</si>
  <si>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</si>
  <si>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</si>
  <si>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</si>
  <si>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</si>
  <si>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</si>
  <si>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</si>
  <si>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</si>
  <si>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</si>
  <si>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</si>
  <si>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</si>
  <si>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</si>
  <si>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</si>
  <si>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</si>
  <si>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</si>
  <si>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</si>
  <si>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</si>
  <si>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</si>
  <si>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</si>
  <si>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</si>
  <si>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</si>
  <si>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</si>
  <si>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</si>
  <si>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</si>
  <si>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</si>
  <si>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</si>
  <si>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</si>
  <si>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</si>
  <si>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</si>
  <si>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</si>
  <si>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</si>
  <si>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</si>
  <si>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</si>
  <si>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</si>
  <si>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</si>
  <si>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</si>
  <si>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</si>
  <si>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</si>
  <si>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</si>
  <si>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</si>
  <si>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</si>
  <si>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</si>
  <si>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</si>
  <si>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</si>
  <si>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</si>
  <si>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</si>
  <si>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</si>
  <si>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</si>
  <si>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</si>
  <si>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</si>
  <si>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</si>
  <si>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</si>
  <si>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</si>
  <si>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</si>
  <si>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</si>
  <si>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</si>
  <si>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</si>
  <si>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</si>
  <si>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</si>
  <si>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</si>
  <si>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</si>
  <si>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</si>
  <si>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</si>
  <si>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</si>
  <si>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</si>
  <si>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</si>
  <si>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</si>
  <si>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</si>
  <si>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</si>
  <si>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</si>
  <si>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</si>
  <si>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</si>
  <si>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</si>
  <si>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</si>
  <si>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</si>
  <si>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</si>
  <si>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</si>
  <si>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</si>
  <si>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</si>
  <si>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</si>
  <si>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</si>
  <si>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</si>
  <si>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</si>
  <si>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</si>
  <si>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</si>
  <si>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</si>
  <si>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</si>
  <si>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</si>
  <si>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</si>
  <si>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</si>
  <si>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</si>
  <si>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</si>
  <si>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</si>
  <si>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</si>
  <si>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</si>
  <si>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</si>
  <si>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</si>
  <si>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</si>
  <si>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</si>
  <si>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</si>
  <si>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</si>
  <si>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</si>
  <si>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</si>
  <si>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</si>
  <si>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</si>
  <si>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</si>
  <si>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</si>
  <si>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</si>
  <si>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</si>
  <si>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</si>
  <si>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</si>
  <si>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</si>
  <si>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</si>
  <si>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</si>
  <si>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</si>
  <si>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</si>
  <si>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</si>
  <si>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</si>
  <si>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</si>
  <si>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</si>
  <si>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</si>
  <si>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</si>
  <si>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</si>
  <si>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</si>
  <si>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</si>
  <si>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</si>
  <si>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</si>
  <si>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</si>
  <si>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</si>
  <si>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</si>
  <si>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</si>
  <si>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</si>
  <si>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</si>
  <si>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</si>
  <si>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</si>
  <si>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</si>
  <si>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</si>
  <si>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</si>
  <si>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</si>
  <si>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</si>
  <si>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</si>
  <si>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</si>
  <si>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</si>
  <si>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</si>
  <si>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</si>
  <si>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</si>
  <si>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</si>
  <si>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</si>
  <si>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</si>
  <si>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</si>
  <si>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</si>
  <si>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</si>
  <si>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</si>
  <si>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</si>
  <si>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</si>
  <si>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</si>
  <si>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</si>
  <si>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</si>
  <si>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</si>
  <si>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</si>
  <si>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</si>
  <si>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</si>
  <si>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</si>
  <si>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</si>
  <si>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</si>
  <si>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</si>
  <si>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</si>
  <si>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</si>
  <si>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</si>
  <si>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</si>
  <si>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</si>
  <si>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</si>
  <si>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</si>
  <si>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</si>
  <si>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</si>
  <si>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</si>
  <si>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</si>
  <si>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</si>
  <si>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</si>
  <si>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</si>
  <si>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</si>
  <si>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</si>
  <si>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</si>
  <si>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</si>
  <si>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</si>
  <si>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</si>
  <si>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</si>
  <si>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</si>
  <si>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</si>
  <si>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</si>
  <si>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</si>
  <si>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</si>
  <si>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</si>
  <si>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</si>
  <si>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</si>
  <si>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</si>
  <si>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</si>
  <si>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</si>
  <si>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</si>
  <si>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</si>
  <si>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</si>
  <si>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</si>
  <si>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</si>
  <si>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</si>
  <si>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</si>
  <si>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</si>
  <si>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</si>
  <si>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</si>
  <si>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</si>
  <si>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</si>
  <si>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</si>
  <si>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</si>
  <si>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</si>
  <si>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</si>
  <si>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</si>
  <si>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</si>
  <si>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</si>
  <si>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</si>
  <si>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</si>
  <si>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</si>
  <si>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</si>
  <si>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</si>
  <si>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</si>
  <si>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</si>
  <si>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</si>
  <si>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</si>
  <si>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</si>
  <si>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</si>
  <si>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</si>
  <si>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</si>
  <si>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</si>
  <si>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</si>
  <si>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</si>
  <si>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</si>
  <si>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</si>
  <si>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</si>
  <si>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</si>
  <si>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</si>
  <si>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</si>
  <si>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</si>
  <si>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</si>
  <si>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</si>
  <si>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</si>
  <si>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</si>
  <si>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</si>
  <si>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</si>
  <si>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</si>
  <si>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</si>
  <si>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</si>
  <si>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</si>
  <si>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</si>
  <si>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</si>
  <si>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</si>
  <si>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</si>
  <si>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</si>
  <si>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</si>
  <si>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</si>
  <si>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</si>
  <si>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</si>
  <si>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</si>
  <si>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</si>
  <si>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</si>
  <si>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</si>
  <si>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</si>
  <si>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</si>
  <si>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</si>
  <si>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</si>
  <si>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</si>
  <si>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</si>
  <si>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</si>
  <si>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</si>
  <si>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</si>
  <si>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</si>
  <si>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</si>
  <si>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</si>
  <si>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</si>
  <si>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</si>
  <si>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</si>
  <si>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</si>
  <si>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</si>
  <si>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</si>
  <si>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</si>
  <si>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</si>
  <si>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</si>
  <si>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</si>
  <si>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</si>
  <si>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</si>
  <si>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</si>
  <si>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</si>
  <si>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</si>
  <si>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</si>
  <si>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</si>
  <si>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</si>
  <si>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</si>
  <si>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</si>
  <si>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</si>
  <si>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</si>
  <si>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</si>
  <si>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</si>
  <si>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</si>
  <si>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</si>
  <si>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</si>
  <si>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</si>
  <si>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</si>
  <si>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</si>
  <si>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</si>
  <si>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</si>
  <si>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</si>
  <si>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</si>
  <si>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</si>
  <si>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</si>
  <si>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</si>
  <si>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</si>
  <si>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</si>
  <si>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</si>
  <si>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</si>
  <si>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</si>
  <si>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</si>
  <si>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</si>
  <si>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</si>
  <si>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</si>
  <si>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</si>
  <si>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</si>
  <si>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</si>
  <si>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</si>
  <si>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</si>
  <si>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</si>
  <si>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</si>
  <si>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</si>
  <si>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</si>
  <si>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</si>
  <si>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</si>
  <si>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</si>
  <si>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</si>
  <si>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</si>
  <si>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</si>
  <si>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</si>
  <si>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</si>
  <si>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</si>
  <si>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</si>
  <si>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</si>
  <si>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</si>
  <si>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</si>
  <si>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</si>
  <si>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</si>
  <si>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</si>
  <si>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</si>
  <si>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</si>
  <si>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</si>
  <si>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</si>
  <si>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</si>
  <si>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</si>
  <si>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</si>
  <si>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</si>
  <si>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</si>
  <si>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</si>
  <si>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</si>
  <si>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</si>
  <si>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</si>
  <si>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</si>
  <si>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</si>
  <si>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</si>
  <si>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</si>
  <si>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</si>
  <si>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</si>
  <si>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</si>
  <si>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</si>
  <si>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</si>
  <si>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</si>
  <si>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</si>
  <si>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</si>
  <si>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</si>
  <si>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</si>
  <si>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</si>
  <si>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</si>
  <si>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</si>
  <si>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</si>
  <si>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</si>
  <si>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</si>
  <si>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</si>
  <si>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</si>
  <si>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</si>
  <si>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</si>
  <si>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</si>
  <si>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</si>
  <si>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</si>
  <si>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</si>
  <si>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</si>
  <si>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</si>
  <si>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</si>
  <si>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</si>
  <si>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</si>
  <si>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</si>
  <si>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</si>
  <si>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</si>
  <si>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</si>
  <si>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</si>
  <si>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</si>
  <si>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</si>
  <si>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</si>
  <si>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</si>
  <si>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</si>
  <si>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</si>
  <si>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</si>
  <si>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</si>
  <si>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</si>
  <si>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</si>
  <si>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</si>
  <si>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</si>
  <si>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</si>
  <si>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</si>
  <si>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</si>
  <si>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</si>
  <si>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</si>
  <si>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</si>
  <si>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</si>
  <si>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</si>
  <si>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</si>
  <si>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</si>
  <si>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</si>
  <si>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</si>
  <si>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</si>
  <si>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</si>
  <si>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</si>
  <si>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</si>
  <si>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</si>
  <si>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</si>
  <si>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</si>
  <si>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</si>
  <si>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</si>
  <si>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</si>
  <si>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</si>
  <si>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</si>
  <si>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</si>
  <si>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</si>
  <si>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</si>
  <si>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</si>
  <si>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</si>
  <si>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</si>
  <si>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</si>
  <si>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</si>
  <si>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</si>
  <si>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</si>
  <si>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</si>
  <si>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</si>
  <si>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</si>
  <si>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</si>
  <si>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</si>
  <si>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</si>
  <si>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</si>
  <si>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</si>
  <si>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</si>
  <si>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</si>
  <si>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</si>
  <si>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</si>
  <si>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</si>
  <si>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</si>
  <si>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</si>
  <si>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</si>
  <si>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</si>
  <si>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</si>
  <si>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</si>
  <si>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</si>
  <si>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</si>
  <si>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</si>
  <si>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</si>
  <si>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</si>
  <si>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</si>
  <si>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</si>
  <si>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</si>
  <si>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</si>
  <si>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</si>
  <si>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</si>
  <si>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</si>
  <si>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</si>
  <si>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</si>
  <si>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</si>
  <si>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</si>
  <si>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</si>
  <si>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</si>
  <si>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</si>
  <si>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</si>
  <si>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</si>
  <si>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</si>
  <si>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</si>
  <si>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</si>
  <si>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</si>
  <si>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</si>
  <si>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</si>
  <si>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</si>
  <si>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</si>
  <si>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</si>
  <si>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</si>
  <si>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</si>
  <si>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</si>
  <si>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</si>
  <si>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</si>
  <si>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</si>
  <si>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</si>
  <si>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</si>
  <si>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</si>
  <si>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</si>
  <si>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</si>
  <si>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</si>
  <si>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</si>
  <si>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</si>
  <si>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</si>
  <si>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</si>
  <si>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</si>
  <si>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</si>
  <si>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</si>
  <si>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</si>
  <si>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</si>
  <si>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</si>
  <si>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</si>
  <si>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</si>
  <si>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</si>
  <si>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</si>
  <si>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</si>
  <si>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</si>
  <si>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</si>
  <si>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</si>
  <si>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</si>
  <si>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</si>
  <si>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</si>
  <si>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</si>
  <si>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</si>
  <si>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</si>
  <si>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</si>
  <si>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</si>
  <si>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</si>
  <si>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</si>
  <si>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</si>
  <si>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</si>
  <si>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</si>
  <si>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</si>
  <si>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</si>
  <si>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</si>
  <si>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</si>
  <si>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</si>
  <si>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</si>
  <si>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</si>
  <si>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</si>
  <si>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</si>
  <si>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</si>
  <si>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</si>
  <si>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</si>
  <si>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</si>
  <si>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</si>
  <si>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</si>
  <si>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</si>
  <si>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</si>
  <si>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</si>
  <si>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</si>
  <si>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</si>
  <si>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</si>
  <si>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</si>
  <si>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</si>
  <si>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</si>
  <si>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</si>
  <si>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</si>
  <si>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</si>
  <si>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</si>
  <si>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</si>
  <si>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</si>
  <si>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</si>
  <si>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</si>
  <si>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</si>
  <si>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</si>
  <si>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</si>
  <si>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</si>
  <si>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</si>
  <si>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</si>
  <si>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</si>
  <si>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</si>
  <si>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</si>
  <si>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</si>
  <si>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</si>
  <si>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</si>
  <si>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</si>
  <si>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</si>
  <si>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</si>
  <si>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</si>
  <si>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</si>
  <si>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</si>
  <si>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</si>
  <si>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</si>
  <si>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</si>
  <si>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</si>
  <si>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</si>
  <si>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</si>
  <si>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</si>
  <si>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</si>
  <si>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</si>
  <si>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</si>
  <si>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</si>
  <si>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</si>
  <si>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</si>
  <si>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</si>
  <si>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</si>
  <si>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</si>
  <si>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</si>
  <si>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</si>
  <si>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</si>
  <si>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</si>
  <si>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</si>
  <si>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</si>
  <si>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</si>
  <si>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</si>
  <si>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</si>
  <si>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</si>
  <si>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</si>
  <si>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</si>
  <si>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</si>
  <si>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</si>
  <si>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</si>
  <si>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</si>
  <si>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</si>
  <si>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</si>
  <si>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</si>
  <si>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</si>
  <si>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</si>
  <si>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</si>
  <si>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</si>
  <si>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</si>
  <si>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</si>
  <si>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</si>
  <si>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</si>
  <si>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</si>
  <si>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</si>
  <si>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</si>
  <si>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</si>
  <si>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</si>
  <si>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</si>
  <si>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</si>
  <si>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</si>
  <si>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</si>
  <si>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</si>
  <si>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</si>
  <si>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</si>
  <si>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</si>
  <si>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</si>
  <si>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</si>
  <si>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</si>
  <si>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</si>
  <si>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</si>
  <si>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</si>
  <si>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</si>
  <si>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</si>
  <si>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</si>
  <si>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</si>
  <si>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</si>
  <si>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</si>
  <si>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</si>
  <si>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</si>
  <si>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</si>
  <si>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</si>
  <si>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</si>
  <si>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</si>
  <si>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</si>
  <si>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</si>
  <si>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</si>
  <si>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</si>
  <si>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</si>
  <si>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</si>
  <si>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</si>
  <si>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</si>
  <si>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</si>
  <si>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</si>
  <si>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</si>
  <si>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</si>
  <si>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</si>
  <si>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</si>
  <si>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</si>
  <si>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</si>
  <si>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</si>
  <si>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</si>
  <si>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</si>
  <si>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</si>
  <si>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</si>
  <si>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</si>
  <si>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</si>
  <si>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</si>
  <si>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</si>
  <si>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</si>
  <si>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</si>
  <si>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</si>
  <si>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</si>
  <si>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</si>
  <si>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</si>
  <si>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</si>
  <si>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</si>
  <si>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</si>
  <si>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</si>
  <si>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</si>
  <si>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</si>
  <si>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</si>
  <si>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</si>
  <si>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</si>
  <si>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</si>
  <si>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</si>
  <si>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</si>
  <si>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</si>
  <si>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</si>
  <si>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</si>
  <si>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</si>
  <si>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</si>
  <si>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</si>
  <si>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</si>
  <si>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</si>
  <si>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</si>
  <si>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</si>
  <si>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</si>
  <si>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</si>
  <si>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</si>
  <si>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</si>
  <si>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</si>
  <si>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</si>
  <si>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</si>
  <si>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</si>
  <si>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</si>
  <si>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</si>
  <si>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</si>
  <si>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</si>
  <si>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</si>
  <si>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</si>
  <si>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</si>
  <si>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</si>
  <si>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</si>
  <si>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</si>
  <si>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</si>
  <si>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</si>
  <si>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</si>
  <si>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</si>
  <si>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</si>
  <si>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</si>
  <si>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</si>
  <si>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</si>
  <si>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</si>
  <si>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</si>
  <si>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</si>
  <si>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</si>
  <si>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</si>
  <si>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</si>
  <si>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</si>
  <si>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</si>
  <si>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</si>
  <si>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</si>
  <si>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</si>
  <si>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</si>
  <si>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</si>
  <si>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</si>
  <si>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</si>
  <si>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</si>
  <si>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</si>
  <si>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</si>
  <si>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</si>
  <si>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</si>
  <si>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</si>
  <si>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</si>
  <si>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</si>
  <si>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</si>
  <si>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</si>
  <si>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</si>
  <si>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</si>
  <si>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</si>
  <si>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</si>
  <si>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</si>
  <si>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</si>
  <si>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</si>
  <si>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</si>
  <si>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</si>
  <si>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</si>
  <si>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</si>
  <si>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</si>
  <si>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</si>
  <si>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</si>
  <si>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</si>
  <si>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</si>
  <si>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</si>
  <si>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</si>
  <si>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</si>
  <si>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</si>
  <si>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</si>
  <si>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</si>
  <si>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</si>
  <si>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</si>
  <si>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</si>
  <si>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</si>
  <si>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</si>
  <si>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</si>
  <si>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</si>
  <si>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</si>
  <si>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</si>
  <si>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</si>
  <si>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</si>
  <si>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</si>
  <si>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</si>
  <si>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</si>
  <si>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</si>
  <si>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</si>
  <si>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</si>
  <si>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</si>
  <si>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</si>
  <si>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</si>
  <si>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</si>
  <si>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</si>
  <si>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</si>
  <si>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</si>
  <si>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</si>
  <si>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</si>
  <si>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</si>
  <si>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</si>
  <si>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</si>
  <si>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</si>
  <si>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</si>
  <si>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</si>
  <si>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</si>
  <si>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</si>
  <si>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</si>
  <si>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</si>
  <si>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</si>
  <si>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</si>
  <si>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</si>
  <si>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</si>
  <si>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</si>
  <si>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</si>
  <si>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</si>
  <si>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</si>
  <si>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</si>
  <si>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</si>
  <si>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</si>
  <si>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</si>
  <si>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</si>
  <si>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</si>
  <si>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</si>
  <si>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</si>
  <si>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</si>
  <si>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</si>
  <si>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</si>
  <si>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</si>
  <si>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</si>
  <si>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</si>
  <si>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</si>
  <si>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</si>
  <si>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</si>
  <si>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</si>
  <si>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</si>
  <si>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</si>
  <si>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</si>
  <si>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</si>
  <si>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</si>
  <si>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</si>
  <si>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</si>
  <si>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</si>
  <si>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</si>
  <si>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</si>
  <si>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</si>
  <si>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</si>
  <si>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</si>
  <si>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</si>
  <si>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</si>
  <si>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</si>
  <si>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</si>
  <si>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</si>
  <si>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</si>
  <si>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</si>
  <si>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</si>
  <si>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</si>
  <si>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</si>
  <si>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</si>
  <si>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</si>
  <si>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</si>
  <si>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</si>
  <si>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</si>
  <si>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</si>
  <si>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</si>
  <si>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</si>
  <si>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</si>
  <si>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</si>
  <si>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</si>
  <si>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</si>
  <si>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</si>
  <si>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</si>
  <si>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</si>
  <si>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</si>
  <si>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</si>
  <si>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</si>
  <si>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</si>
  <si>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</si>
  <si>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</si>
  <si>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</si>
  <si>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</si>
  <si>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</si>
  <si>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</si>
  <si>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</si>
  <si>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</si>
  <si>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</si>
  <si>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</si>
  <si>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</si>
  <si>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</si>
  <si>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</si>
  <si>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</si>
  <si>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</si>
  <si>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</si>
  <si>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</si>
  <si>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</si>
  <si>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</si>
  <si>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</si>
  <si>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</si>
  <si>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</si>
  <si>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</si>
  <si>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</si>
  <si>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</si>
  <si>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</si>
  <si>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</si>
  <si>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</si>
  <si>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</si>
  <si>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</si>
  <si>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</si>
  <si>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</si>
  <si>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</si>
  <si>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</si>
  <si>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</si>
  <si>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</si>
  <si>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</si>
  <si>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</si>
  <si>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</si>
  <si>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</si>
  <si>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</si>
  <si>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</si>
  <si>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</si>
  <si>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</si>
  <si>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</si>
  <si>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</si>
  <si>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</si>
  <si>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</si>
  <si>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</si>
  <si>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</si>
  <si>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</si>
  <si>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</si>
  <si>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</si>
  <si>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</si>
  <si>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</si>
  <si>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</si>
  <si>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</si>
  <si>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</si>
  <si>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</si>
  <si>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</si>
  <si>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</si>
  <si>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</si>
  <si>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</si>
  <si>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</si>
  <si>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</si>
  <si>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</si>
  <si>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</si>
  <si>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</si>
  <si>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</si>
  <si>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</si>
  <si>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</si>
  <si>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</si>
  <si>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</si>
  <si>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</si>
  <si>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</si>
  <si>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</si>
  <si>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</si>
  <si>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</si>
  <si>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</si>
  <si>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</si>
  <si>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</si>
  <si>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</si>
  <si>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</si>
  <si>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</si>
  <si>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</si>
  <si>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</si>
  <si>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</si>
  <si>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</si>
  <si>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</si>
  <si>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</si>
  <si>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</si>
  <si>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</si>
  <si>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</si>
  <si>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</si>
  <si>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</si>
  <si>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</si>
  <si>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</si>
  <si>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</si>
  <si>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</si>
  <si>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</si>
  <si>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</si>
  <si>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</si>
  <si>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</si>
  <si>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</si>
  <si>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</si>
  <si>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</si>
  <si>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</si>
  <si>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</si>
  <si>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</si>
  <si>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</si>
  <si>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</si>
  <si>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</si>
  <si>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</si>
  <si>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</si>
  <si>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</si>
  <si>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</si>
  <si>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</si>
  <si>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</si>
  <si>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</si>
  <si>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</si>
  <si>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</si>
  <si>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</si>
  <si>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</si>
  <si>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</si>
  <si>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</si>
  <si>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</si>
  <si>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</si>
  <si>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</si>
  <si>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</si>
  <si>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</si>
  <si>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</si>
  <si>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</si>
  <si>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</si>
  <si>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</si>
  <si>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</si>
  <si>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</si>
  <si>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</si>
  <si>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</si>
  <si>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</si>
  <si>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</si>
  <si>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</si>
  <si>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</si>
  <si>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</si>
  <si>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</si>
  <si>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</si>
  <si>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</si>
  <si>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</si>
  <si>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</si>
  <si>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</si>
  <si>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</si>
  <si>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</si>
  <si>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</si>
  <si>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</si>
  <si>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</si>
  <si>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</si>
  <si>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</si>
  <si>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</si>
  <si>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</si>
  <si>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</si>
  <si>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</si>
  <si>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</si>
  <si>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</si>
  <si>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</si>
  <si>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</si>
  <si>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</si>
  <si>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</si>
  <si>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</si>
  <si>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</si>
  <si>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</si>
  <si>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</si>
  <si>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</si>
  <si>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</si>
  <si>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</si>
  <si>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</si>
  <si>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</si>
  <si>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</si>
  <si>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</si>
  <si>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</si>
  <si>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</si>
  <si>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</si>
  <si>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</si>
  <si>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</si>
  <si>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</si>
  <si>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</si>
  <si>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</si>
  <si>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</si>
  <si>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</si>
  <si>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</si>
  <si>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</si>
  <si>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</si>
  <si>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</si>
  <si>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</si>
  <si>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</si>
  <si>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</si>
  <si>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</si>
  <si>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</si>
  <si>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</si>
  <si>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</si>
  <si>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</si>
  <si>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</si>
  <si>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</si>
  <si>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</si>
  <si>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</si>
  <si>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</si>
  <si>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</si>
  <si>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</si>
  <si>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</si>
  <si>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</si>
  <si>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</si>
  <si>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</si>
  <si>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</si>
  <si>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</si>
  <si>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</si>
  <si>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</si>
  <si>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</si>
  <si>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</si>
  <si>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</si>
  <si>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</si>
  <si>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</si>
  <si>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</si>
  <si>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</si>
  <si>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</si>
  <si>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</si>
  <si>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</si>
  <si>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</si>
  <si>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</si>
  <si>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</si>
  <si>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</si>
  <si>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</si>
  <si>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</si>
  <si>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</si>
  <si>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</si>
  <si>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</si>
  <si>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</si>
  <si>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</si>
  <si>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</si>
  <si>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</si>
  <si>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</si>
  <si>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</si>
  <si>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</si>
  <si>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</si>
  <si>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</si>
  <si>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</si>
  <si>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</si>
  <si>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</si>
  <si>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</si>
  <si>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</si>
  <si>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</si>
  <si>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</si>
  <si>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</si>
  <si>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</si>
  <si>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</si>
  <si>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</si>
  <si>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</si>
  <si>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</si>
  <si>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</si>
  <si>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</si>
  <si>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</si>
  <si>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</si>
  <si>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</si>
  <si>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</si>
  <si>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</si>
  <si>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</si>
  <si>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</si>
  <si>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</si>
  <si>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</si>
  <si>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</si>
  <si>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</si>
  <si>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</si>
  <si>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</si>
  <si>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</si>
  <si>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</si>
  <si>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</si>
  <si>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</si>
  <si>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</si>
  <si>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</si>
  <si>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</si>
  <si>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</si>
  <si>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</si>
  <si>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</si>
  <si>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</si>
  <si>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</si>
  <si>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</si>
  <si>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</si>
  <si>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</si>
  <si>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</si>
  <si>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</si>
  <si>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</si>
  <si>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</si>
  <si>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</si>
  <si>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</si>
  <si>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</si>
  <si>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</si>
  <si>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</si>
  <si>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</si>
  <si>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</si>
  <si>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</si>
  <si>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</si>
  <si>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</si>
  <si>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</si>
  <si>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</si>
  <si>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</si>
  <si>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</si>
  <si>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</si>
  <si>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</si>
  <si>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</si>
  <si>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</si>
  <si>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</si>
  <si>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</si>
  <si>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</si>
  <si>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</si>
  <si>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</si>
  <si>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</si>
  <si>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</si>
  <si>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</si>
  <si>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</si>
  <si>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</si>
  <si>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</si>
  <si>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</si>
  <si>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</si>
  <si>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</si>
  <si>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</si>
  <si>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</si>
  <si>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</si>
  <si>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</si>
  <si>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</si>
  <si>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</si>
  <si>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</si>
  <si>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</si>
  <si>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</si>
  <si>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</si>
  <si>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</si>
  <si>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</si>
  <si>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</si>
  <si>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</si>
  <si>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</si>
  <si>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</si>
  <si>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</si>
  <si>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</si>
  <si>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</si>
  <si>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</si>
  <si>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</si>
  <si>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</si>
  <si>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</si>
  <si>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</si>
  <si>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</si>
  <si>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</si>
  <si>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</si>
  <si>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</si>
  <si>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</si>
  <si>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</si>
  <si>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</si>
  <si>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</si>
  <si>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</si>
  <si>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</si>
  <si>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</si>
  <si>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</si>
  <si>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</si>
  <si>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</si>
  <si>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</si>
  <si>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</si>
  <si>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</si>
  <si>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</si>
  <si>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</si>
  <si>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</si>
  <si>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</si>
  <si>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</si>
  <si>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</si>
  <si>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</si>
  <si>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</si>
  <si>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</si>
  <si>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</si>
  <si>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</si>
  <si>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</si>
  <si>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</si>
  <si>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</si>
  <si>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</si>
  <si>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</si>
  <si>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</si>
  <si>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</si>
  <si>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</si>
  <si>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</si>
  <si>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</si>
  <si>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</si>
  <si>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</si>
  <si>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</si>
  <si>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</si>
  <si>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</si>
  <si>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</si>
  <si>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</si>
  <si>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</si>
  <si>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</si>
  <si>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</si>
  <si>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</si>
  <si>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</si>
  <si>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</si>
  <si>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</si>
  <si>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</si>
  <si>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</si>
  <si>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</si>
  <si>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</si>
  <si>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</si>
  <si>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</si>
  <si>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</si>
  <si>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</si>
  <si>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</si>
  <si>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</si>
  <si>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</si>
  <si>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</si>
  <si>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</si>
  <si>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</si>
  <si>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</si>
  <si>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</si>
  <si>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</si>
  <si>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</si>
  <si>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</si>
  <si>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</si>
  <si>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</si>
  <si>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</si>
  <si>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</si>
  <si>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</si>
  <si>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</si>
  <si>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</si>
  <si>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</si>
  <si>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</si>
  <si>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</si>
  <si>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</si>
  <si>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</si>
  <si>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</si>
  <si>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</si>
  <si>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</si>
  <si>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</si>
  <si>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</si>
  <si>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</si>
  <si>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</si>
  <si>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</si>
  <si>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</si>
  <si>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</si>
  <si>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</si>
  <si>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</si>
  <si>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</si>
  <si>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</si>
  <si>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</si>
  <si>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</si>
  <si>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</si>
  <si>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</si>
  <si>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</si>
  <si>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</si>
  <si>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</si>
  <si>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</si>
  <si>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</si>
  <si>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</si>
  <si>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</si>
  <si>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</si>
  <si>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</si>
  <si>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</si>
  <si>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</si>
  <si>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</si>
  <si>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</si>
  <si>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</si>
  <si>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</si>
  <si>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</si>
  <si>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</si>
  <si>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</si>
  <si>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</si>
  <si>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</si>
  <si>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</si>
  <si>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</si>
  <si>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</si>
  <si>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</si>
  <si>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</si>
  <si>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</si>
  <si>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</si>
  <si>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</si>
  <si>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</si>
  <si>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</si>
  <si>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</si>
  <si>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</si>
  <si>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</si>
  <si>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</si>
  <si>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</si>
  <si>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</si>
  <si>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</si>
  <si>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</si>
  <si>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</si>
  <si>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</si>
  <si>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</si>
  <si>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</si>
  <si>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</si>
  <si>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</si>
  <si>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</si>
  <si>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</si>
  <si>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</si>
  <si>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</si>
  <si>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</si>
  <si>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</si>
  <si>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</si>
  <si>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</si>
  <si>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</si>
  <si>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</si>
  <si>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</si>
  <si>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</si>
  <si>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</si>
  <si>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</si>
  <si>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</si>
  <si>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</si>
  <si>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</si>
  <si>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</si>
  <si>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</si>
  <si>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</si>
  <si>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</si>
  <si>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</si>
  <si>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</si>
  <si>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</si>
  <si>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</si>
  <si>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</si>
  <si>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</si>
  <si>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</si>
  <si>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</si>
  <si>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</si>
  <si>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</si>
  <si>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</si>
  <si>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</si>
  <si>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</si>
  <si>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</si>
  <si>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</si>
  <si>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</si>
  <si>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</si>
  <si>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</si>
  <si>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</si>
  <si>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</si>
  <si>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</si>
  <si>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</si>
  <si>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</si>
  <si>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</si>
  <si>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</si>
  <si>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</si>
  <si>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</si>
  <si>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</si>
  <si>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</si>
  <si>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</si>
  <si>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</si>
  <si>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</si>
  <si>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</si>
  <si>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</si>
  <si>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</si>
  <si>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</si>
  <si>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</si>
  <si>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</si>
  <si>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</si>
  <si>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</si>
  <si>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</si>
  <si>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</si>
  <si>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</si>
  <si>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</si>
  <si>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</si>
  <si>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</si>
  <si>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</si>
  <si>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</si>
  <si>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</si>
  <si>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</si>
  <si>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</si>
  <si>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</si>
  <si>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</si>
  <si>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</si>
  <si>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</si>
  <si>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</si>
  <si>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</si>
  <si>
    <t>開局一座島</t>
    <phoneticPr fontId="2" type="noConversion"/>
  </si>
  <si>
    <t>真三國無雙・霸</t>
    <phoneticPr fontId="2" type="noConversion"/>
  </si>
  <si>
    <t>賽爾號：巔峰之戰</t>
    <phoneticPr fontId="2" type="noConversion"/>
  </si>
  <si>
    <t>METAL SLUG RUSH</t>
    <phoneticPr fontId="2" type="noConversion"/>
  </si>
  <si>
    <t>Astro Arena：恆星激鬥 PvP</t>
    <phoneticPr fontId="2" type="noConversion"/>
  </si>
  <si>
    <t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t>
    <phoneticPr fontId="2" type="noConversion"/>
  </si>
  <si>
    <t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t>
    <phoneticPr fontId="2" type="noConversion"/>
  </si>
  <si>
    <t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t>
    <phoneticPr fontId="2" type="noConversion"/>
  </si>
  <si>
    <t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t>
    <phoneticPr fontId="2" type="noConversion"/>
  </si>
  <si>
    <t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t>
    <phoneticPr fontId="2" type="noConversion"/>
  </si>
  <si>
    <t>https://apps.apple.com/tw/app/%E9%96%8B%E5%B1%80%E4%B8%80%E5%BA%A7%E5%B3%B6/id6762115994</t>
  </si>
  <si>
    <t>https://play.google.com/store/apps/details?id=com.supernova.kj.gp</t>
  </si>
  <si>
    <t>https://apps.apple.com/tw/app/%E7%9C%9F%E4%B8%89%E5%9C%8B%E7%84%A1%E9%9B%99-%E9%9C%B8/id6757413794</t>
  </si>
  <si>
    <t>https://play.google.com/store/apps/details?id=com.emagroups.zs</t>
  </si>
  <si>
    <t>https://apps.apple.com/tw/app/%E8%B3%BD%E7%88%BE%E8%99%9F-%E5%B7%94%E5%B3%B0%E4%B9%8B%E6%88%B0/id6758373798</t>
  </si>
  <si>
    <t>https://play.google.com/store/apps/details?id=tw.com.taomee.seerdf</t>
  </si>
  <si>
    <t>https://apps.apple.com/tw/app/metal-slug-rush/id6775727338</t>
  </si>
  <si>
    <t>https://play.google.com/store/apps/details?id=com.ringgames.msm</t>
  </si>
  <si>
    <t>https://astroarena.krafton.com/en</t>
  </si>
  <si>
    <t>https://kjyzd.super-nova.tw/</t>
  </si>
  <si>
    <t>https://www.61.com.tw/seermain/pre_register?aid=1070531</t>
  </si>
  <si>
    <t>https://www.facebook.com/MemeSlugAttack</t>
  </si>
  <si>
    <t>https://apps.apple.com/tw/app/astro-arena-%E6%81%86%E6%98%9F%E6%BF%80%E9%AC%A5-pvp/id6473492526</t>
  </si>
  <si>
    <t>https://play.google.com/store/apps/details?id=com.pubg.uropa</t>
  </si>
  <si>
    <t>https://www.facebook.com/6161seer/</t>
  </si>
  <si>
    <t>https://www.facebook.com/IslandHeroes.zh</t>
  </si>
</sst>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printerSettings" Target="../printerSettings/printerSettings1.bin"/><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29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92"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29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294"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9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296" Type="http://schemas.openxmlformats.org/officeDocument/2006/relationships/printerSettings" Target="../printerSettings/printerSettings2.bin"/><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2"/>
  <sheetViews>
    <sheetView tabSelected="1" zoomScale="85" zoomScaleNormal="85" workbookViewId="0">
      <pane xSplit="1" ySplit="1" topLeftCell="B542" activePane="bottomRight" state="frozen"/>
      <selection pane="topRight" activeCell="B1" sqref="B1"/>
      <selection pane="bottomLeft" activeCell="A2" sqref="A2"/>
      <selection pane="bottomRight" activeCell="C551" sqref="C551"/>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thickBot="1">
      <c r="A551" s="114" t="s">
        <v>9441</v>
      </c>
      <c r="C551" s="8" t="s">
        <v>9466</v>
      </c>
      <c r="D551" s="9" t="s">
        <v>9460</v>
      </c>
      <c r="E551" s="9" t="s">
        <v>9451</v>
      </c>
      <c r="F551" s="8" t="str">
        <f t="shared" si="20"/>
        <v>gift-codes.html?game=開局一座島</v>
      </c>
      <c r="G551" s="9" t="s">
        <v>9452</v>
      </c>
      <c r="H551" s="9" t="str">
        <f t="shared" si="21"/>
        <v>https://www.ssbuy.tw/game-detail.html?game=開局一座島</v>
      </c>
      <c r="I551" s="10" t="s">
        <v>9446</v>
      </c>
      <c r="J551" s="16" t="s">
        <v>5418</v>
      </c>
      <c r="K551" s="39" t="s">
        <v>5446</v>
      </c>
      <c r="L551" s="1" t="s">
        <v>5939</v>
      </c>
      <c r="M551" s="26">
        <v>2816</v>
      </c>
      <c r="N551" s="1" t="s">
        <v>5940</v>
      </c>
      <c r="O551" s="26">
        <v>1460</v>
      </c>
      <c r="P551" s="1" t="s">
        <v>5941</v>
      </c>
      <c r="Q551" s="26">
        <v>863</v>
      </c>
      <c r="R551" s="1" t="s">
        <v>5942</v>
      </c>
      <c r="S551" s="26">
        <v>759</v>
      </c>
      <c r="T551" s="1" t="s">
        <v>5943</v>
      </c>
      <c r="U551" s="26">
        <v>584</v>
      </c>
      <c r="V551" s="1" t="s">
        <v>5944</v>
      </c>
      <c r="W551" s="26">
        <v>427</v>
      </c>
      <c r="X551" s="1" t="s">
        <v>5945</v>
      </c>
      <c r="Y551" s="26">
        <v>288</v>
      </c>
      <c r="Z551" s="1" t="s">
        <v>5946</v>
      </c>
      <c r="AA551" s="26">
        <v>148</v>
      </c>
      <c r="AB551" s="1" t="s">
        <v>5947</v>
      </c>
      <c r="AC551" s="26">
        <v>29</v>
      </c>
    </row>
    <row r="552" spans="1:29" ht="28.5" customHeight="1" thickBot="1">
      <c r="A552" s="114" t="s">
        <v>9442</v>
      </c>
      <c r="E552" s="9" t="s">
        <v>9453</v>
      </c>
      <c r="F552" s="8" t="str">
        <f t="shared" si="20"/>
        <v>gift-codes.html?game=真三國無雙・霸</v>
      </c>
      <c r="G552" s="9" t="s">
        <v>9454</v>
      </c>
      <c r="H552" s="9" t="str">
        <f t="shared" si="21"/>
        <v>https://www.ssbuy.tw/game-detail.html?game=真三國無雙・霸</v>
      </c>
      <c r="I552" s="10" t="s">
        <v>9447</v>
      </c>
      <c r="J552" s="16" t="s">
        <v>5418</v>
      </c>
      <c r="K552" s="39" t="s">
        <v>5446</v>
      </c>
      <c r="L552" s="1" t="s">
        <v>5939</v>
      </c>
      <c r="M552" s="26">
        <v>2816</v>
      </c>
      <c r="N552" s="1" t="s">
        <v>5940</v>
      </c>
      <c r="O552" s="26">
        <v>1460</v>
      </c>
      <c r="P552" s="1" t="s">
        <v>5941</v>
      </c>
      <c r="Q552" s="26">
        <v>863</v>
      </c>
      <c r="R552" s="1" t="s">
        <v>5942</v>
      </c>
      <c r="S552" s="26">
        <v>759</v>
      </c>
      <c r="T552" s="1" t="s">
        <v>5943</v>
      </c>
      <c r="U552" s="26">
        <v>584</v>
      </c>
      <c r="V552" s="1" t="s">
        <v>5944</v>
      </c>
      <c r="W552" s="26">
        <v>427</v>
      </c>
      <c r="X552" s="1" t="s">
        <v>5945</v>
      </c>
      <c r="Y552" s="26">
        <v>288</v>
      </c>
      <c r="Z552" s="1" t="s">
        <v>5946</v>
      </c>
      <c r="AA552" s="26">
        <v>148</v>
      </c>
      <c r="AB552" s="1" t="s">
        <v>5947</v>
      </c>
      <c r="AC552" s="26">
        <v>29</v>
      </c>
    </row>
    <row r="553" spans="1:29" ht="28.5" customHeight="1" thickBot="1">
      <c r="A553" s="114" t="s">
        <v>9443</v>
      </c>
      <c r="C553" s="8" t="s">
        <v>9465</v>
      </c>
      <c r="D553" s="9" t="s">
        <v>9461</v>
      </c>
      <c r="E553" s="9" t="s">
        <v>9455</v>
      </c>
      <c r="F553" s="8" t="str">
        <f t="shared" si="20"/>
        <v>gift-codes.html?game=賽爾號：巔峰之戰</v>
      </c>
      <c r="G553" s="9" t="s">
        <v>9456</v>
      </c>
      <c r="H553" s="9" t="str">
        <f t="shared" si="21"/>
        <v>https://www.ssbuy.tw/game-detail.html?game=賽爾號：巔峰之戰</v>
      </c>
      <c r="I553" s="10" t="s">
        <v>9448</v>
      </c>
      <c r="J553" s="16" t="s">
        <v>5418</v>
      </c>
      <c r="K553" s="39" t="s">
        <v>5446</v>
      </c>
      <c r="L553" s="1" t="s">
        <v>5939</v>
      </c>
      <c r="M553" s="26">
        <v>2816</v>
      </c>
      <c r="N553" s="1" t="s">
        <v>5940</v>
      </c>
      <c r="O553" s="26">
        <v>1460</v>
      </c>
      <c r="P553" s="1" t="s">
        <v>5941</v>
      </c>
      <c r="Q553" s="26">
        <v>863</v>
      </c>
      <c r="R553" s="1" t="s">
        <v>5942</v>
      </c>
      <c r="S553" s="26">
        <v>759</v>
      </c>
      <c r="T553" s="1" t="s">
        <v>5943</v>
      </c>
      <c r="U553" s="26">
        <v>584</v>
      </c>
      <c r="V553" s="1" t="s">
        <v>5944</v>
      </c>
      <c r="W553" s="26">
        <v>427</v>
      </c>
      <c r="X553" s="1" t="s">
        <v>5945</v>
      </c>
      <c r="Y553" s="26">
        <v>288</v>
      </c>
      <c r="Z553" s="1" t="s">
        <v>5946</v>
      </c>
      <c r="AA553" s="26">
        <v>148</v>
      </c>
      <c r="AB553" s="1" t="s">
        <v>5947</v>
      </c>
      <c r="AC553" s="26">
        <v>29</v>
      </c>
    </row>
    <row r="554" spans="1:29" ht="28.5" customHeight="1" thickBot="1">
      <c r="A554" s="114" t="s">
        <v>9445</v>
      </c>
      <c r="D554" s="9" t="s">
        <v>9459</v>
      </c>
      <c r="E554" s="9" t="s">
        <v>9463</v>
      </c>
      <c r="F554" s="8" t="str">
        <f>IF(A554="", "", "gift-codes.html?game=" &amp; A554)</f>
        <v>gift-codes.html?game=Astro Arena：恆星激鬥 PvP</v>
      </c>
      <c r="G554" s="9" t="s">
        <v>9464</v>
      </c>
      <c r="H554" s="9" t="str">
        <f t="shared" ref="H554:H612" si="22">IF(A554="", "", "https://www.ssbuy.tw/game-detail.html?game="&amp;A554)</f>
        <v>https://www.ssbuy.tw/game-detail.html?game=Astro Arena：恆星激鬥 PvP</v>
      </c>
      <c r="I554" s="10" t="s">
        <v>9449</v>
      </c>
      <c r="J554" s="16" t="s">
        <v>5418</v>
      </c>
      <c r="K554" s="39" t="s">
        <v>5446</v>
      </c>
      <c r="L554" s="111" t="s">
        <v>46</v>
      </c>
      <c r="M554" s="112">
        <v>2559</v>
      </c>
      <c r="N554" s="111" t="s">
        <v>1677</v>
      </c>
      <c r="O554" s="112">
        <v>1287</v>
      </c>
      <c r="P554" s="111" t="s">
        <v>151</v>
      </c>
      <c r="Q554" s="112">
        <v>863</v>
      </c>
      <c r="R554" s="111" t="s">
        <v>152</v>
      </c>
      <c r="S554" s="112">
        <v>584</v>
      </c>
      <c r="T554" s="111" t="s">
        <v>153</v>
      </c>
      <c r="U554" s="112">
        <v>427</v>
      </c>
      <c r="V554" s="111" t="s">
        <v>6549</v>
      </c>
      <c r="W554" s="112">
        <v>279</v>
      </c>
      <c r="X554" s="111" t="s">
        <v>6550</v>
      </c>
      <c r="Y554" s="112">
        <v>131</v>
      </c>
      <c r="Z554" s="111" t="s">
        <v>8447</v>
      </c>
      <c r="AA554" s="112">
        <v>87</v>
      </c>
      <c r="AB554" s="111" t="s">
        <v>6553</v>
      </c>
      <c r="AC554" s="112">
        <v>29</v>
      </c>
    </row>
    <row r="555" spans="1:29" ht="28.5" customHeight="1" thickBot="1">
      <c r="A555" s="114" t="s">
        <v>9444</v>
      </c>
      <c r="C555" s="8" t="s">
        <v>9462</v>
      </c>
      <c r="E555" s="9" t="s">
        <v>9457</v>
      </c>
      <c r="F555" s="8" t="str">
        <f>IF(A555="", "", "gift-codes.html?game=" &amp; A555)</f>
        <v>gift-codes.html?game=METAL SLUG RUSH</v>
      </c>
      <c r="G555" s="9" t="s">
        <v>9458</v>
      </c>
      <c r="H555" s="9" t="str">
        <f t="shared" si="22"/>
        <v>https://www.ssbuy.tw/game-detail.html?game=METAL SLUG RUSH</v>
      </c>
      <c r="I555" s="10" t="s">
        <v>9450</v>
      </c>
      <c r="J555" s="16" t="s">
        <v>5418</v>
      </c>
      <c r="K555" s="39" t="s">
        <v>5446</v>
      </c>
      <c r="L555" s="111" t="s">
        <v>46</v>
      </c>
      <c r="M555" s="112">
        <v>2559</v>
      </c>
      <c r="N555" s="111" t="s">
        <v>1677</v>
      </c>
      <c r="O555" s="112">
        <v>1287</v>
      </c>
      <c r="P555" s="111" t="s">
        <v>151</v>
      </c>
      <c r="Q555" s="112">
        <v>863</v>
      </c>
      <c r="R555" s="111" t="s">
        <v>152</v>
      </c>
      <c r="S555" s="112">
        <v>584</v>
      </c>
      <c r="T555" s="111" t="s">
        <v>153</v>
      </c>
      <c r="U555" s="112">
        <v>427</v>
      </c>
      <c r="V555" s="111" t="s">
        <v>6549</v>
      </c>
      <c r="W555" s="112">
        <v>279</v>
      </c>
      <c r="X555" s="111" t="s">
        <v>6550</v>
      </c>
      <c r="Y555" s="112">
        <v>131</v>
      </c>
      <c r="Z555" s="111" t="s">
        <v>8447</v>
      </c>
      <c r="AA555" s="112">
        <v>87</v>
      </c>
      <c r="AB555" s="111" t="s">
        <v>6553</v>
      </c>
      <c r="AC555" s="112">
        <v>29</v>
      </c>
    </row>
    <row r="556" spans="1:29" ht="28.5" customHeight="1">
      <c r="F556" s="8" t="str">
        <f>IF(A556="", "", "gift-codes.html?game=" &amp; A556)</f>
        <v/>
      </c>
      <c r="H556" s="9" t="str">
        <f t="shared" si="22"/>
        <v/>
      </c>
    </row>
    <row r="557" spans="1:29" ht="28.5" customHeight="1">
      <c r="H557" s="9" t="str">
        <f t="shared" si="22"/>
        <v/>
      </c>
    </row>
    <row r="558" spans="1:29" ht="28.5" customHeight="1">
      <c r="H558" s="9" t="str">
        <f t="shared" si="22"/>
        <v/>
      </c>
    </row>
    <row r="559" spans="1:29" ht="28.5" customHeight="1">
      <c r="H559" s="9" t="str">
        <f t="shared" si="22"/>
        <v/>
      </c>
    </row>
    <row r="560" spans="1:29"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s>
  <pageMargins left="0.7" right="0.7" top="0.75" bottom="0.75" header="0.3" footer="0.3"/>
  <pageSetup paperSize="9" orientation="portrait" r:id="rId34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1"/>
  <sheetViews>
    <sheetView zoomScale="85" zoomScaleNormal="85" workbookViewId="0">
      <pane xSplit="1" ySplit="1" topLeftCell="B541" activePane="bottomRight" state="frozen"/>
      <selection pane="topRight" activeCell="B1" sqref="B1"/>
      <selection pane="bottomLeft" activeCell="A2" sqref="A2"/>
      <selection pane="bottomRight" activeCell="A554" sqref="A554"/>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8.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8.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8.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8.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8.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8.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8.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8.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8.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8.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5232</v>
      </c>
      <c r="K540" s="100" t="s">
        <v>5495</v>
      </c>
      <c r="L540" s="51" t="s">
        <v>5496</v>
      </c>
    </row>
    <row r="541" spans="1:47" ht="28.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8.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8.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5232</v>
      </c>
      <c r="K543" s="100" t="s">
        <v>5495</v>
      </c>
      <c r="L543" s="51" t="s">
        <v>5496</v>
      </c>
    </row>
    <row r="544" spans="1:47" ht="28.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17" ht="28.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17" ht="28.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17" ht="28.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17" ht="28.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5232</v>
      </c>
      <c r="K548" s="100" t="s">
        <v>5495</v>
      </c>
      <c r="L548" s="51" t="s">
        <v>5496</v>
      </c>
    </row>
    <row r="549" spans="1:17" ht="28.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17" ht="28.5" customHeight="1">
      <c r="A550" s="67" t="str">
        <f>IF(games!A550="", "", games!A550)</f>
        <v>鬥破蒼穹M：少年崛起</v>
      </c>
      <c r="C550" s="51" t="str">
        <f t="shared" si="22"/>
        <v>giftcodesbanner/鬥破蒼穹M：少年崛起-禮包碼.jpg</v>
      </c>
      <c r="D550" s="51" t="str">
        <f t="shared" si="23"/>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row>
    <row r="551" spans="1:17" ht="28.5" customHeight="1">
      <c r="A551" s="67" t="str">
        <f>IF(games!A551="", "", games!A551)</f>
        <v>開局一座島</v>
      </c>
      <c r="C551" s="51" t="str">
        <f t="shared" si="22"/>
        <v>giftcodesbanner/開局一座島-禮包碼.jpg</v>
      </c>
      <c r="D551" s="51" t="str">
        <f t="shared" si="23"/>
        <v>https://www.ssbuy.tw/gift-codes.html?game=開局一座島</v>
      </c>
      <c r="E551" s="91" t="str">
        <f>IF(games!I551&lt;&gt;"", games!I551, "")</f>
        <v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v>
      </c>
      <c r="F551" s="92" t="s">
        <v>5232</v>
      </c>
      <c r="K551" s="100" t="s">
        <v>5495</v>
      </c>
      <c r="L551" s="51" t="s">
        <v>5496</v>
      </c>
    </row>
    <row r="552" spans="1:17" ht="28.5" customHeight="1">
      <c r="A552" s="67" t="str">
        <f>IF(games!A552="", "", games!A552)</f>
        <v>真三國無雙・霸</v>
      </c>
      <c r="C552" s="51" t="str">
        <f t="shared" si="22"/>
        <v>giftcodesbanner/真三國無雙・霸-禮包碼.jpg</v>
      </c>
      <c r="D552" s="51" t="str">
        <f t="shared" si="23"/>
        <v>https://www.ssbuy.tw/gift-codes.html?game=真三國無雙・霸</v>
      </c>
      <c r="E552" s="91" t="str">
        <f>IF(games!I552&lt;&gt;"", games!I552, "")</f>
        <v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v>
      </c>
      <c r="F552" s="92" t="s">
        <v>5232</v>
      </c>
      <c r="K552" s="100" t="s">
        <v>5495</v>
      </c>
      <c r="L552" s="51" t="s">
        <v>5496</v>
      </c>
    </row>
    <row r="553" spans="1:17" ht="28.5" customHeight="1">
      <c r="A553" s="67" t="str">
        <f>IF(games!A553="", "", games!A553)</f>
        <v>賽爾號：巔峰之戰</v>
      </c>
      <c r="C553" s="51" t="str">
        <f t="shared" si="22"/>
        <v>giftcodesbanner/賽爾號：巔峰之戰-禮包碼.jpg</v>
      </c>
      <c r="D553" s="51" t="str">
        <f t="shared" si="23"/>
        <v>https://www.ssbuy.tw/gift-codes.html?game=賽爾號：巔峰之戰</v>
      </c>
      <c r="E553" s="91" t="str">
        <f>IF(games!I553&lt;&gt;"", games!I553, "")</f>
        <v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v>
      </c>
      <c r="F553" s="92" t="s">
        <v>5232</v>
      </c>
      <c r="K553" s="100" t="s">
        <v>5495</v>
      </c>
      <c r="L553" s="51" t="s">
        <v>5496</v>
      </c>
    </row>
    <row r="554" spans="1:17" ht="28.5" customHeight="1">
      <c r="A554" s="67" t="str">
        <f>IF(games!A554="", "", games!A554)</f>
        <v>Astro Arena：恆星激鬥 PvP</v>
      </c>
      <c r="C554" s="51" t="str">
        <f t="shared" si="22"/>
        <v>giftcodesbanner/Astro Arena：恆星激鬥 PvP-禮包碼.jpg</v>
      </c>
      <c r="D554" s="51" t="str">
        <f t="shared" si="23"/>
        <v>https://www.ssbuy.tw/gift-codes.html?game=Astro Arena：恆星激鬥 PvP</v>
      </c>
      <c r="E554" s="91" t="str">
        <f>IF(games!I554&lt;&gt;"", games!I554, "")</f>
        <v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v>
      </c>
      <c r="F554" s="92" t="s">
        <v>5232</v>
      </c>
      <c r="K554" s="100" t="s">
        <v>5495</v>
      </c>
      <c r="L554" s="51" t="s">
        <v>5496</v>
      </c>
    </row>
    <row r="555" spans="1:17" ht="28.5" customHeight="1">
      <c r="A555" s="67" t="str">
        <f>IF(games!A555="", "", games!A555)</f>
        <v>METAL SLUG RUSH</v>
      </c>
      <c r="C555" s="51" t="str">
        <f t="shared" si="22"/>
        <v>giftcodesbanner/METAL SLUG RUSH-禮包碼.jpg</v>
      </c>
      <c r="D555" s="51" t="str">
        <f t="shared" si="23"/>
        <v>https://www.ssbuy.tw/gift-codes.html?game=METAL SLUG RUSH</v>
      </c>
      <c r="E555" s="91" t="str">
        <f>IF(games!I555&lt;&gt;"", games!I555, "")</f>
        <v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v>
      </c>
      <c r="F555" s="92" t="s">
        <v>5232</v>
      </c>
      <c r="K555" s="100" t="s">
        <v>5495</v>
      </c>
      <c r="L555" s="51" t="s">
        <v>5496</v>
      </c>
    </row>
    <row r="556" spans="1:17" ht="28.5" customHeight="1">
      <c r="A556" s="67" t="str">
        <f>IF(games!A556="", "", games!A556)</f>
        <v/>
      </c>
      <c r="C556" s="51" t="str">
        <f t="shared" si="22"/>
        <v/>
      </c>
      <c r="D556" s="51" t="str">
        <f t="shared" si="23"/>
        <v/>
      </c>
      <c r="E556" s="91" t="str">
        <f>IF(games!I556&lt;&gt;"", games!I556, "")</f>
        <v/>
      </c>
    </row>
    <row r="557" spans="1:17" ht="28.5" customHeight="1">
      <c r="A557" s="67" t="str">
        <f>IF(games!A557="", "", games!A557)</f>
        <v/>
      </c>
      <c r="C557" s="51" t="str">
        <f t="shared" si="22"/>
        <v/>
      </c>
      <c r="D557" s="51" t="str">
        <f t="shared" si="23"/>
        <v/>
      </c>
      <c r="E557" s="91" t="str">
        <f>IF(games!I557&lt;&gt;"", games!I557, "")</f>
        <v/>
      </c>
    </row>
    <row r="558" spans="1:17" ht="28.5" customHeight="1">
      <c r="A558" s="67" t="str">
        <f>IF(games!A558="", "", games!A558)</f>
        <v/>
      </c>
      <c r="C558" s="51" t="str">
        <f t="shared" si="22"/>
        <v/>
      </c>
      <c r="D558" s="51" t="str">
        <f t="shared" si="23"/>
        <v/>
      </c>
      <c r="E558" s="91" t="str">
        <f>IF(games!I558&lt;&gt;"", games!I558, "")</f>
        <v/>
      </c>
    </row>
    <row r="559" spans="1:17" ht="28.5" customHeight="1">
      <c r="A559" s="67" t="str">
        <f>IF(games!A559="", "", games!A559)</f>
        <v/>
      </c>
      <c r="C559" s="51" t="str">
        <f t="shared" si="22"/>
        <v/>
      </c>
      <c r="D559" s="51" t="str">
        <f t="shared" si="23"/>
        <v/>
      </c>
      <c r="E559" s="91" t="str">
        <f>IF(games!I559&lt;&gt;"", games!I559, "")</f>
        <v/>
      </c>
    </row>
    <row r="560" spans="1:17"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row>
    <row r="581" spans="1:5">
      <c r="A581" s="67" t="str">
        <f>IF(games!A581="", "", games!A581)</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 ref="K551" r:id="rId291"/>
    <hyperlink ref="K552" r:id="rId292"/>
    <hyperlink ref="K553" r:id="rId293"/>
    <hyperlink ref="K554" r:id="rId294"/>
    <hyperlink ref="K555" r:id="rId295"/>
  </hyperlinks>
  <pageMargins left="0.7" right="0.7" top="0.75" bottom="0.75" header="0.3" footer="0.3"/>
  <pageSetup paperSize="9" orientation="portrait" r:id="rId29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2026-07-28T10:51:20Z</dcterms:modified>
</cp:coreProperties>
</file>