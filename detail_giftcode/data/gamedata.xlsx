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<sst xmlns="http://schemas.openxmlformats.org/spreadsheetml/2006/main" count="9863" uniqueCount="6722">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</sst>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9"/>
  <sheetViews>
    <sheetView zoomScaleNormal="100" workbookViewId="0">
      <pane xSplit="1" ySplit="1" topLeftCell="Q355" activePane="bottomRight" state="frozen"/>
      <selection pane="topRight" activeCell="B1" sqref="B1"/>
      <selection pane="bottomLeft" activeCell="A2" sqref="A2"/>
      <selection pane="bottomRight" activeCell="AH360" sqref="AH360"/>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8" si="14">IF(A312="", "", "gift-codes.html?game=" &amp; A312)</f>
        <v>gift-codes.html?game=英雄來搞鬼</v>
      </c>
      <c r="G312" s="40" t="s">
        <v>5728</v>
      </c>
      <c r="H312" s="10" t="str">
        <f t="shared" ref="H312:H368"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6585</v>
      </c>
      <c r="Y356" s="26">
        <v>394</v>
      </c>
      <c r="Z356" s="1" t="s">
        <v>6486</v>
      </c>
      <c r="AA356" s="26">
        <v>321</v>
      </c>
      <c r="AB356" s="1" t="s">
        <v>6586</v>
      </c>
      <c r="AC356" s="26">
        <v>278</v>
      </c>
      <c r="AD356" s="1" t="s">
        <v>6587</v>
      </c>
      <c r="AE356" s="26">
        <v>115</v>
      </c>
    </row>
    <row r="357" spans="1:35" ht="22.5" customHeight="1" thickBot="1">
      <c r="A357" s="26" t="s">
        <v>6597</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6588</v>
      </c>
      <c r="M357" s="26">
        <v>1361</v>
      </c>
      <c r="N357" s="1" t="s">
        <v>6589</v>
      </c>
      <c r="O357" s="26">
        <v>907</v>
      </c>
      <c r="P357" s="1" t="s">
        <v>6590</v>
      </c>
      <c r="Q357" s="26">
        <v>453</v>
      </c>
      <c r="R357" s="1" t="s">
        <v>6591</v>
      </c>
      <c r="S357" s="26">
        <v>302</v>
      </c>
      <c r="T357" s="1" t="s">
        <v>6592</v>
      </c>
      <c r="U357" s="26">
        <v>158</v>
      </c>
      <c r="V357" s="1" t="s">
        <v>6593</v>
      </c>
      <c r="W357" s="26">
        <v>97</v>
      </c>
      <c r="X357" s="1" t="s">
        <v>6594</v>
      </c>
      <c r="Y357" s="26">
        <v>65</v>
      </c>
      <c r="Z357" s="1" t="s">
        <v>6595</v>
      </c>
      <c r="AA357" s="26">
        <v>49</v>
      </c>
      <c r="AB357" s="1" t="s">
        <v>6596</v>
      </c>
      <c r="AC357" s="26">
        <v>32</v>
      </c>
    </row>
    <row r="358" spans="1:35" ht="22.5" customHeight="1" thickBot="1">
      <c r="A358" s="39" t="s">
        <v>6628</v>
      </c>
      <c r="C358" s="9" t="s">
        <v>6607</v>
      </c>
      <c r="D358" s="10" t="s">
        <v>6607</v>
      </c>
      <c r="E358" s="10" t="s">
        <v>6606</v>
      </c>
      <c r="F358" s="9" t="str">
        <f t="shared" si="14"/>
        <v>gift-codes.html?game=堡壘傳說：蒸汽龐克</v>
      </c>
      <c r="G358" s="10" t="s">
        <v>6605</v>
      </c>
      <c r="H358" s="10" t="str">
        <f t="shared" si="15"/>
        <v>https://www.ssbuy.tw/game-detail.html?game=堡壘傳說：蒸汽龐克</v>
      </c>
      <c r="I358" s="11" t="s">
        <v>6634</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6678</v>
      </c>
      <c r="AE358" s="26">
        <v>483</v>
      </c>
      <c r="AF358" s="1" t="s">
        <v>6679</v>
      </c>
      <c r="AG358" s="26">
        <v>483</v>
      </c>
    </row>
    <row r="359" spans="1:35" ht="22.5" customHeight="1" thickBot="1">
      <c r="A359" s="39" t="s">
        <v>6629</v>
      </c>
      <c r="C359" s="9" t="s">
        <v>6608</v>
      </c>
      <c r="D359" s="10" t="s">
        <v>6614</v>
      </c>
      <c r="E359" s="10" t="s">
        <v>6615</v>
      </c>
      <c r="F359" s="9" t="str">
        <f t="shared" si="14"/>
        <v>gift-codes.html?game=指尖棋兵</v>
      </c>
      <c r="G359" s="10" t="s">
        <v>6613</v>
      </c>
      <c r="H359" s="10" t="str">
        <f t="shared" si="15"/>
        <v>https://www.ssbuy.tw/game-detail.html?game=指尖棋兵</v>
      </c>
      <c r="I359" s="11" t="s">
        <v>6635</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6712</v>
      </c>
      <c r="AE359" s="10">
        <v>459</v>
      </c>
      <c r="AF359" s="10" t="s">
        <v>6713</v>
      </c>
      <c r="AG359" s="10">
        <v>166</v>
      </c>
      <c r="AH359" s="10" t="s">
        <v>6714</v>
      </c>
      <c r="AI359" s="10">
        <v>309</v>
      </c>
    </row>
    <row r="360" spans="1:35" ht="22.5" customHeight="1" thickBot="1">
      <c r="A360" s="39" t="s">
        <v>6630</v>
      </c>
      <c r="C360" s="9" t="s">
        <v>6609</v>
      </c>
      <c r="D360" s="10" t="s">
        <v>6617</v>
      </c>
      <c r="E360" s="10" t="s">
        <v>6618</v>
      </c>
      <c r="F360" s="9" t="str">
        <f t="shared" si="14"/>
        <v>gift-codes.html?game=錫葛尼斯：紅月再臨</v>
      </c>
      <c r="G360" s="10" t="s">
        <v>6616</v>
      </c>
      <c r="H360" s="10" t="str">
        <f t="shared" si="15"/>
        <v>https://www.ssbuy.tw/game-detail.html?game=錫葛尼斯：紅月再臨</v>
      </c>
      <c r="I360" s="11" t="s">
        <v>6636</v>
      </c>
      <c r="J360" s="2" t="s">
        <v>5422</v>
      </c>
      <c r="K360" s="43" t="s">
        <v>5450</v>
      </c>
      <c r="L360" s="1" t="s">
        <v>4033</v>
      </c>
      <c r="M360" s="26">
        <v>2996</v>
      </c>
      <c r="N360" s="1" t="s">
        <v>6715</v>
      </c>
      <c r="O360" s="26">
        <v>1568</v>
      </c>
      <c r="P360" s="1" t="s">
        <v>6716</v>
      </c>
      <c r="Q360" s="26">
        <v>1447</v>
      </c>
      <c r="R360" s="1" t="s">
        <v>24</v>
      </c>
      <c r="S360" s="26">
        <v>927</v>
      </c>
      <c r="T360" s="1" t="s">
        <v>6717</v>
      </c>
      <c r="U360" s="26">
        <v>627</v>
      </c>
      <c r="V360" s="1" t="s">
        <v>15</v>
      </c>
      <c r="W360" s="26">
        <v>459</v>
      </c>
      <c r="X360" s="1" t="s">
        <v>1326</v>
      </c>
      <c r="Y360" s="26">
        <v>309</v>
      </c>
      <c r="Z360" s="1" t="s">
        <v>6718</v>
      </c>
      <c r="AA360" s="26">
        <v>166</v>
      </c>
      <c r="AB360" s="1" t="s">
        <v>4759</v>
      </c>
      <c r="AC360" s="26">
        <v>98</v>
      </c>
      <c r="AD360" s="1" t="s">
        <v>6719</v>
      </c>
      <c r="AE360" s="26">
        <v>33</v>
      </c>
      <c r="AF360" s="10" t="s">
        <v>6720</v>
      </c>
      <c r="AG360" s="10">
        <v>309</v>
      </c>
    </row>
    <row r="361" spans="1:35" ht="22.5" customHeight="1" thickBot="1">
      <c r="A361" s="39" t="s">
        <v>6631</v>
      </c>
      <c r="C361" s="9" t="s">
        <v>6610</v>
      </c>
      <c r="D361" s="10" t="s">
        <v>6619</v>
      </c>
      <c r="E361" s="10" t="s">
        <v>6621</v>
      </c>
      <c r="F361" s="9" t="str">
        <f t="shared" si="14"/>
        <v>gift-codes.html?game=魔女與龍：光暗篇章</v>
      </c>
      <c r="G361" s="10" t="s">
        <v>6620</v>
      </c>
      <c r="H361" s="10" t="str">
        <f t="shared" si="15"/>
        <v>https://www.ssbuy.tw/game-detail.html?game=魔女與龍：光暗篇章</v>
      </c>
      <c r="I361" s="11" t="s">
        <v>6637</v>
      </c>
      <c r="J361" s="40" t="s">
        <v>5422</v>
      </c>
      <c r="K361" s="43" t="s">
        <v>5450</v>
      </c>
      <c r="L361" s="1" t="s">
        <v>6681</v>
      </c>
      <c r="M361" s="26">
        <v>3028</v>
      </c>
      <c r="N361" s="1" t="s">
        <v>6682</v>
      </c>
      <c r="O361" s="26">
        <v>1585</v>
      </c>
      <c r="P361" s="1" t="s">
        <v>6683</v>
      </c>
      <c r="Q361" s="26">
        <v>947</v>
      </c>
      <c r="R361" s="1" t="s">
        <v>6684</v>
      </c>
      <c r="S361" s="26">
        <v>634</v>
      </c>
      <c r="T361" s="1" t="s">
        <v>6685</v>
      </c>
      <c r="U361" s="26">
        <v>464</v>
      </c>
      <c r="V361" s="1" t="s">
        <v>6686</v>
      </c>
      <c r="W361" s="26">
        <v>312</v>
      </c>
      <c r="X361" s="1" t="s">
        <v>6687</v>
      </c>
      <c r="Y361" s="26">
        <v>188</v>
      </c>
      <c r="Z361" s="1" t="s">
        <v>6688</v>
      </c>
      <c r="AA361" s="26">
        <v>168</v>
      </c>
      <c r="AB361" s="1" t="s">
        <v>6689</v>
      </c>
      <c r="AC361" s="26">
        <v>33</v>
      </c>
    </row>
    <row r="362" spans="1:35" ht="22.5" customHeight="1" thickBot="1">
      <c r="A362" s="39" t="s">
        <v>6632</v>
      </c>
      <c r="C362" s="9" t="s">
        <v>6611</v>
      </c>
      <c r="D362" s="10" t="s">
        <v>6622</v>
      </c>
      <c r="E362" s="10" t="s">
        <v>6624</v>
      </c>
      <c r="F362" s="9" t="str">
        <f t="shared" si="14"/>
        <v>gift-codes.html?game=熾熱戰姬</v>
      </c>
      <c r="G362" s="10" t="s">
        <v>6623</v>
      </c>
      <c r="H362" s="10" t="str">
        <f t="shared" si="15"/>
        <v>https://www.ssbuy.tw/game-detail.html?game=熾熱戰姬</v>
      </c>
      <c r="I362" s="11" t="s">
        <v>6638</v>
      </c>
      <c r="J362" s="40" t="s">
        <v>5422</v>
      </c>
      <c r="K362" s="43" t="s">
        <v>5450</v>
      </c>
      <c r="L362" s="1" t="s">
        <v>1660</v>
      </c>
      <c r="M362" s="26">
        <v>3028</v>
      </c>
      <c r="N362" s="1" t="s">
        <v>1661</v>
      </c>
      <c r="O362" s="26">
        <v>1585</v>
      </c>
      <c r="P362" s="1" t="s">
        <v>4135</v>
      </c>
      <c r="Q362" s="26">
        <v>1463</v>
      </c>
      <c r="R362" s="1" t="s">
        <v>1662</v>
      </c>
      <c r="S362" s="26">
        <v>937</v>
      </c>
      <c r="T362" s="1" t="s">
        <v>1663</v>
      </c>
      <c r="U362" s="26">
        <v>634</v>
      </c>
      <c r="V362" s="1" t="s">
        <v>1664</v>
      </c>
      <c r="W362" s="26">
        <v>464</v>
      </c>
      <c r="X362" s="1" t="s">
        <v>1666</v>
      </c>
      <c r="Y362" s="26">
        <v>312</v>
      </c>
      <c r="Z362" s="1" t="s">
        <v>1667</v>
      </c>
      <c r="AA362" s="26">
        <v>168</v>
      </c>
      <c r="AB362" s="1" t="s">
        <v>6680</v>
      </c>
      <c r="AC362" s="26">
        <v>99</v>
      </c>
      <c r="AD362" s="1" t="s">
        <v>1668</v>
      </c>
      <c r="AE362" s="26">
        <v>33</v>
      </c>
    </row>
    <row r="363" spans="1:35" ht="22.5" customHeight="1" thickBot="1">
      <c r="A363" s="39" t="s">
        <v>6633</v>
      </c>
      <c r="C363" s="9" t="s">
        <v>6612</v>
      </c>
      <c r="D363" s="10" t="s">
        <v>6627</v>
      </c>
      <c r="E363" s="10" t="s">
        <v>6626</v>
      </c>
      <c r="F363" s="9" t="str">
        <f t="shared" si="14"/>
        <v>gift-codes.html?game=心動小鎮</v>
      </c>
      <c r="G363" s="10" t="s">
        <v>6625</v>
      </c>
      <c r="H363" s="10" t="str">
        <f t="shared" si="15"/>
        <v>https://www.ssbuy.tw/game-detail.html?game=心動小鎮</v>
      </c>
      <c r="I363" s="11" t="s">
        <v>6639</v>
      </c>
      <c r="J363" s="40" t="s">
        <v>5422</v>
      </c>
      <c r="K363" s="43" t="s">
        <v>5450</v>
      </c>
      <c r="L363" s="1" t="s">
        <v>6690</v>
      </c>
      <c r="M363" s="26">
        <v>3028</v>
      </c>
      <c r="N363" s="1" t="s">
        <v>6691</v>
      </c>
      <c r="O363" s="26">
        <v>1538</v>
      </c>
      <c r="P363" s="1" t="s">
        <v>6692</v>
      </c>
      <c r="Q363" s="26">
        <v>937</v>
      </c>
      <c r="R363" s="1" t="s">
        <v>6693</v>
      </c>
      <c r="S363" s="26">
        <v>606</v>
      </c>
      <c r="T363" s="1" t="s">
        <v>6694</v>
      </c>
      <c r="U363" s="26">
        <v>322</v>
      </c>
      <c r="V363" s="1" t="s">
        <v>6695</v>
      </c>
      <c r="W363" s="26">
        <v>168</v>
      </c>
      <c r="X363" s="1" t="s">
        <v>6696</v>
      </c>
      <c r="Y363" s="26">
        <v>33</v>
      </c>
    </row>
    <row r="364" spans="1:35" ht="22.5" customHeight="1">
      <c r="F364" s="9" t="str">
        <f t="shared" si="14"/>
        <v/>
      </c>
      <c r="H364" s="10" t="str">
        <f t="shared" si="15"/>
        <v/>
      </c>
    </row>
    <row r="365" spans="1:35" ht="22.5" customHeight="1">
      <c r="F365" s="9" t="str">
        <f t="shared" si="14"/>
        <v/>
      </c>
      <c r="H365" s="10" t="str">
        <f t="shared" si="15"/>
        <v/>
      </c>
    </row>
    <row r="366" spans="1:35" ht="22.5" customHeight="1">
      <c r="F366" s="9" t="str">
        <f t="shared" si="14"/>
        <v/>
      </c>
      <c r="H366" s="10" t="str">
        <f t="shared" si="15"/>
        <v/>
      </c>
    </row>
    <row r="367" spans="1:35" ht="22.5" customHeight="1">
      <c r="F367" s="9" t="str">
        <f t="shared" si="14"/>
        <v/>
      </c>
      <c r="H367" s="10" t="str">
        <f t="shared" si="15"/>
        <v/>
      </c>
    </row>
    <row r="368" spans="1:35" ht="22.5" customHeight="1">
      <c r="F368" s="9" t="str">
        <f t="shared" si="14"/>
        <v/>
      </c>
      <c r="H368" s="10" t="str">
        <f t="shared" si="15"/>
        <v/>
      </c>
    </row>
    <row r="369" spans="6:8" ht="22.5" customHeight="1">
      <c r="F369" s="9" t="str">
        <f t="shared" ref="F369:F432" si="16">IF(A369="", "", "gift-codes.html?game=" &amp; A369)</f>
        <v/>
      </c>
      <c r="H369" s="10" t="str">
        <f t="shared" ref="H369:H432" si="17">IF(A369="", "", "https://www.ssbuy.tw/game-detail.html?game="&amp;A369)</f>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ref="F433:F496" si="18">IF(A433="", "", "gift-codes.html?game=" &amp; A433)</f>
        <v/>
      </c>
      <c r="H433" s="10" t="str">
        <f t="shared" ref="H433:H496" si="19">IF(A433="", "", "https://www.ssbuy.tw/game-detail.html?game="&amp;A433)</f>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ref="F497:F560" si="20">IF(A497="", "", "gift-codes.html?game=" &amp; A497)</f>
        <v/>
      </c>
      <c r="H497" s="10" t="str">
        <f t="shared" ref="H497:H560" si="21">IF(A497="", "", "https://www.ssbuy.tw/game-detail.html?game="&amp;A497)</f>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IF(A561="", "", "gift-codes.html?game=" &amp; A561)</f>
        <v/>
      </c>
      <c r="H561" s="10" t="str">
        <f t="shared" ref="H561:H619" si="22">IF(A561="", "", "https://www.ssbuy.tw/game-detail.html?game="&amp;A561)</f>
        <v/>
      </c>
    </row>
    <row r="562" spans="6:8">
      <c r="F562" s="9" t="str">
        <f>IF(A562="", "", "gift-codes.html?game=" &amp; A562)</f>
        <v/>
      </c>
      <c r="H562" s="10" t="str">
        <f t="shared" si="22"/>
        <v/>
      </c>
    </row>
    <row r="563" spans="6:8">
      <c r="F563" s="9" t="str">
        <f>IF(A563="", "", "gift-codes.html?game=" &amp; A563)</f>
        <v/>
      </c>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s>
  <pageMargins left="0.7" right="0.7" top="0.75" bottom="0.75" header="0.3" footer="0.3"/>
  <pageSetup paperSize="9" orientation="portrait" r:id="rId3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8"/>
  <sheetViews>
    <sheetView tabSelected="1" workbookViewId="0">
      <pane xSplit="1" ySplit="1" topLeftCell="K353" activePane="bottomRight" state="frozen"/>
      <selection pane="topRight" activeCell="B1" sqref="B1"/>
      <selection pane="bottomLeft" activeCell="A2" sqref="A2"/>
      <selection pane="bottomRight" activeCell="P361" sqref="P361"/>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8" si="14">IF(A312="","", "giftcodesbanner/" &amp; A312 &amp; "-禮包碼.jpg")</f>
        <v>giftcodesbanner/英雄來搞鬼-禮包碼.jpg</v>
      </c>
      <c r="D312" s="58" t="str">
        <f t="shared" ref="D312:D368"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6293</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6698</v>
      </c>
      <c r="G354" s="58" t="s">
        <v>6699</v>
      </c>
      <c r="H354" s="58" t="s">
        <v>6700</v>
      </c>
      <c r="I354" s="58"/>
      <c r="J354" s="99"/>
      <c r="K354" s="108" t="s">
        <v>6363</v>
      </c>
      <c r="L354" s="58" t="s">
        <v>5507</v>
      </c>
      <c r="M354" s="60" t="s">
        <v>6066</v>
      </c>
      <c r="N354" s="61"/>
      <c r="O354" s="60" t="s">
        <v>2056</v>
      </c>
      <c r="P354" s="61"/>
      <c r="Q354" s="60" t="s">
        <v>1841</v>
      </c>
      <c r="R354" s="61"/>
      <c r="S354" s="60" t="s">
        <v>6697</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6709</v>
      </c>
      <c r="G355" s="58" t="s">
        <v>6710</v>
      </c>
      <c r="H355" s="58" t="s">
        <v>6700</v>
      </c>
      <c r="I355" s="58"/>
      <c r="J355" s="99"/>
      <c r="K355" s="108" t="s">
        <v>6363</v>
      </c>
      <c r="L355" s="58" t="s">
        <v>5507</v>
      </c>
      <c r="M355" s="60" t="s">
        <v>6701</v>
      </c>
      <c r="N355" s="61"/>
      <c r="O355" s="60" t="s">
        <v>6702</v>
      </c>
      <c r="P355" s="61"/>
      <c r="Q355" s="60" t="s">
        <v>6703</v>
      </c>
      <c r="R355" s="61"/>
      <c r="S355" s="60" t="s">
        <v>6704</v>
      </c>
      <c r="T355" s="61"/>
      <c r="U355" s="60" t="s">
        <v>6705</v>
      </c>
      <c r="V355" s="61"/>
      <c r="W355" s="60" t="s">
        <v>6706</v>
      </c>
      <c r="X355" s="61"/>
      <c r="Y355" s="60" t="s">
        <v>6707</v>
      </c>
      <c r="Z355" s="61"/>
      <c r="AA355" s="60" t="s">
        <v>6708</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6603</v>
      </c>
      <c r="G358" s="58" t="s">
        <v>6604</v>
      </c>
      <c r="H358" s="58" t="s">
        <v>6265</v>
      </c>
      <c r="I358" s="58"/>
      <c r="J358" s="99"/>
      <c r="K358" s="108" t="s">
        <v>6363</v>
      </c>
      <c r="L358" s="58" t="s">
        <v>5507</v>
      </c>
      <c r="M358" s="60" t="s">
        <v>6641</v>
      </c>
      <c r="N358" s="61"/>
      <c r="O358" s="60" t="s">
        <v>6642</v>
      </c>
      <c r="P358" s="61"/>
      <c r="Q358" s="60" t="s">
        <v>6643</v>
      </c>
      <c r="R358" s="61"/>
      <c r="S358" s="60" t="s">
        <v>6644</v>
      </c>
      <c r="T358" s="61"/>
      <c r="U358" s="60" t="s">
        <v>6645</v>
      </c>
      <c r="V358" s="61"/>
      <c r="W358" s="60" t="s">
        <v>6646</v>
      </c>
      <c r="X358" s="61"/>
      <c r="Y358" s="60" t="s">
        <v>2141</v>
      </c>
      <c r="Z358" s="61"/>
      <c r="AA358" s="60" t="s">
        <v>6647</v>
      </c>
      <c r="AB358" s="61"/>
      <c r="AC358" s="60" t="s">
        <v>6600</v>
      </c>
      <c r="AD358" s="61"/>
      <c r="AE358" s="60" t="s">
        <v>6648</v>
      </c>
      <c r="AF358" s="61"/>
      <c r="AG358" s="60" t="s">
        <v>6649</v>
      </c>
      <c r="AH358" s="61"/>
      <c r="AI358" s="60" t="s">
        <v>6601</v>
      </c>
      <c r="AJ358" s="61"/>
      <c r="AK358" s="60" t="s">
        <v>6650</v>
      </c>
      <c r="AL358" s="61"/>
      <c r="AM358" s="60" t="s">
        <v>6598</v>
      </c>
      <c r="AN358" s="61"/>
      <c r="AO358" s="60" t="s">
        <v>6599</v>
      </c>
      <c r="AP358" s="61"/>
      <c r="AQ358" s="60" t="s">
        <v>6602</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c r="G359" s="58"/>
      <c r="H359" s="58"/>
      <c r="I359" s="58"/>
      <c r="J359" s="99"/>
      <c r="K359" s="108" t="s">
        <v>6363</v>
      </c>
      <c r="L359" s="58" t="s">
        <v>5507</v>
      </c>
      <c r="M359" s="60" t="s">
        <v>6651</v>
      </c>
      <c r="N359" s="61"/>
      <c r="O359" s="60" t="s">
        <v>2056</v>
      </c>
      <c r="P359" s="61"/>
      <c r="Q359" s="60" t="s">
        <v>6405</v>
      </c>
      <c r="R359" s="61"/>
      <c r="S359" s="60" t="s">
        <v>6652</v>
      </c>
      <c r="T359" s="61"/>
      <c r="U359" s="60" t="s">
        <v>6653</v>
      </c>
      <c r="V359" s="61"/>
      <c r="W359" s="60" t="s">
        <v>6654</v>
      </c>
      <c r="X359" s="61"/>
      <c r="Y359" s="60" t="s">
        <v>6655</v>
      </c>
      <c r="Z359" s="61"/>
      <c r="AA359" s="60" t="s">
        <v>6656</v>
      </c>
      <c r="AB359" s="61"/>
      <c r="AC359" s="60" t="s">
        <v>6657</v>
      </c>
      <c r="AD359" s="61"/>
      <c r="AE359" s="60" t="s">
        <v>6658</v>
      </c>
      <c r="AF359" s="61"/>
      <c r="AG359" s="60" t="s">
        <v>6659</v>
      </c>
      <c r="AH359" s="61"/>
      <c r="AI359" s="60" t="s">
        <v>6660</v>
      </c>
      <c r="AJ359" s="61"/>
      <c r="AK359" s="60" t="s">
        <v>6661</v>
      </c>
      <c r="AL359" s="61"/>
      <c r="AM359" s="60" t="s">
        <v>6662</v>
      </c>
      <c r="AN359" s="61"/>
      <c r="AO359" s="60" t="s">
        <v>6663</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6666</v>
      </c>
      <c r="G360" s="58" t="s">
        <v>6667</v>
      </c>
      <c r="H360" s="58" t="s">
        <v>6265</v>
      </c>
      <c r="I360" s="58"/>
      <c r="J360" s="99"/>
      <c r="K360" s="108" t="s">
        <v>6363</v>
      </c>
      <c r="L360" s="58" t="s">
        <v>5507</v>
      </c>
      <c r="M360" s="60" t="s">
        <v>6664</v>
      </c>
      <c r="N360" s="61" t="s">
        <v>6665</v>
      </c>
      <c r="O360" s="60" t="s">
        <v>6711</v>
      </c>
      <c r="P360" s="61" t="s">
        <v>6721</v>
      </c>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17"/>
      <c r="G361" s="58"/>
      <c r="H361" s="58"/>
      <c r="I361" s="58"/>
      <c r="J361" s="99"/>
      <c r="K361" s="108" t="s">
        <v>6363</v>
      </c>
      <c r="L361" s="58" t="s">
        <v>5507</v>
      </c>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17"/>
      <c r="G362" s="58"/>
      <c r="H362" s="58"/>
      <c r="I362" s="58"/>
      <c r="J362" s="99"/>
      <c r="K362" s="108" t="s">
        <v>6363</v>
      </c>
      <c r="L362" s="58" t="s">
        <v>5507</v>
      </c>
      <c r="M362" s="60" t="s">
        <v>6640</v>
      </c>
      <c r="N362" s="61" t="s">
        <v>6670</v>
      </c>
      <c r="O362" s="60" t="s">
        <v>6668</v>
      </c>
      <c r="P362" s="61" t="s">
        <v>6671</v>
      </c>
      <c r="Q362" s="60" t="s">
        <v>6669</v>
      </c>
      <c r="R362" s="61" t="s">
        <v>6672</v>
      </c>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c r="G363" s="58"/>
      <c r="H363" s="58"/>
      <c r="I363" s="58"/>
      <c r="J363" s="99"/>
      <c r="K363" s="108" t="s">
        <v>6363</v>
      </c>
      <c r="L363" s="58" t="s">
        <v>5507</v>
      </c>
      <c r="M363" s="60" t="s">
        <v>6673</v>
      </c>
      <c r="N363" s="61" t="s">
        <v>6676</v>
      </c>
      <c r="O363" s="60" t="s">
        <v>6674</v>
      </c>
      <c r="P363" s="61" t="s">
        <v>6677</v>
      </c>
      <c r="Q363" s="60" t="s">
        <v>6675</v>
      </c>
      <c r="R363" s="61" t="s">
        <v>6676</v>
      </c>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ref="C369:C427" si="16">IF(A369="","", "giftcodesbanner/" &amp; A369 &amp; "-禮包碼.jpg")</f>
        <v/>
      </c>
      <c r="D369" s="58" t="str">
        <f t="shared" ref="D369:D427" si="17">IF(A369="","", "https://www.ssbuy.tw/gift-codes.html?game="&amp;A369)</f>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92"/>
      <c r="B427" s="93"/>
      <c r="C427" s="93" t="str">
        <f t="shared" si="16"/>
        <v/>
      </c>
      <c r="D427" s="93" t="str">
        <f t="shared" si="17"/>
        <v/>
      </c>
      <c r="E427" s="110"/>
      <c r="F427" s="121"/>
      <c r="G427" s="93"/>
      <c r="H427" s="93"/>
      <c r="I427" s="93"/>
      <c r="J427" s="110"/>
      <c r="K427" s="111"/>
      <c r="L427" s="93"/>
      <c r="M427" s="94"/>
      <c r="N427" s="95"/>
      <c r="O427" s="94"/>
      <c r="P427" s="95"/>
      <c r="Q427" s="94"/>
      <c r="R427" s="95"/>
      <c r="S427" s="94"/>
      <c r="T427" s="95"/>
      <c r="U427" s="94"/>
      <c r="V427" s="95"/>
      <c r="W427" s="94"/>
      <c r="X427" s="95"/>
      <c r="Y427" s="94"/>
      <c r="Z427" s="95"/>
      <c r="AA427" s="94"/>
      <c r="AB427" s="95"/>
      <c r="AC427" s="94"/>
      <c r="AD427" s="95"/>
      <c r="AE427" s="94"/>
      <c r="AF427" s="95"/>
      <c r="AG427" s="94"/>
      <c r="AH427" s="95"/>
      <c r="AI427" s="94"/>
      <c r="AJ427" s="95"/>
      <c r="AK427" s="94"/>
      <c r="AL427" s="95"/>
      <c r="AM427" s="94"/>
      <c r="AN427" s="95"/>
      <c r="AO427" s="94"/>
      <c r="AP427" s="95"/>
      <c r="AQ427" s="94"/>
      <c r="AR427" s="95"/>
      <c r="AS427" s="94"/>
      <c r="AT427" s="95"/>
      <c r="AU427" s="94"/>
      <c r="AV427" s="95"/>
      <c r="AW427" s="94"/>
      <c r="AX427" s="95"/>
      <c r="AY427" s="94"/>
      <c r="AZ427" s="95"/>
      <c r="BA427" s="94"/>
      <c r="BB427" s="93"/>
      <c r="BC427" s="94"/>
      <c r="BD427" s="93"/>
      <c r="BE427" s="94"/>
      <c r="BF427" s="93"/>
      <c r="BG427" s="94"/>
      <c r="BH427" s="93"/>
      <c r="BI427" s="94"/>
      <c r="BJ427" s="93"/>
      <c r="BK427" s="94"/>
      <c r="BL427" s="93"/>
      <c r="BM427" s="94"/>
      <c r="BN427" s="93"/>
      <c r="BO427" s="94"/>
      <c r="BP427" s="93"/>
      <c r="BQ427" s="94"/>
      <c r="BR427" s="96"/>
    </row>
    <row r="428" spans="1:70">
      <c r="A428" s="3"/>
      <c r="B428" s="3"/>
      <c r="C428" s="3"/>
      <c r="D428" s="3"/>
      <c r="E428" s="46"/>
      <c r="F428" s="47"/>
      <c r="G428" s="3"/>
      <c r="H428" s="3"/>
      <c r="I428" s="3"/>
      <c r="J428" s="46"/>
      <c r="K428" s="48"/>
      <c r="L428" s="3"/>
      <c r="M428" s="49"/>
      <c r="N428" s="50"/>
      <c r="O428" s="49"/>
      <c r="P428" s="50"/>
      <c r="Q428" s="49"/>
      <c r="R428" s="50"/>
      <c r="S428" s="49"/>
      <c r="T428" s="50"/>
      <c r="U428" s="49"/>
      <c r="V428" s="50"/>
      <c r="W428" s="49"/>
      <c r="X428" s="50"/>
      <c r="Y428" s="49"/>
      <c r="Z428" s="50"/>
      <c r="AA428" s="49"/>
      <c r="AB428" s="50"/>
      <c r="AC428" s="49"/>
      <c r="AD428" s="50"/>
      <c r="AE428" s="49"/>
      <c r="AF428" s="50"/>
      <c r="AG428" s="49"/>
      <c r="AH428" s="50"/>
      <c r="AI428" s="49"/>
      <c r="AJ428" s="50"/>
      <c r="AK428" s="49"/>
      <c r="AL428" s="50"/>
      <c r="AM428" s="49"/>
      <c r="AN428" s="50"/>
      <c r="AO428" s="49"/>
      <c r="AP428" s="50"/>
      <c r="AQ428" s="49"/>
      <c r="AR428" s="50"/>
      <c r="AS428" s="49"/>
      <c r="AT428" s="50"/>
      <c r="AU428" s="49"/>
      <c r="AV428" s="50"/>
      <c r="AW428" s="49"/>
      <c r="AX428" s="50"/>
      <c r="AY428" s="49"/>
      <c r="AZ428" s="50"/>
      <c r="BA428" s="49"/>
      <c r="BB428" s="3"/>
      <c r="BC428" s="49"/>
      <c r="BD428" s="3"/>
      <c r="BE428" s="49"/>
      <c r="BF428" s="3"/>
      <c r="BG428" s="49"/>
      <c r="BH428" s="3"/>
      <c r="BI428" s="49"/>
      <c r="BJ428" s="3"/>
      <c r="BK428" s="49"/>
      <c r="BL428" s="3"/>
      <c r="BM428" s="49"/>
      <c r="BN428" s="3"/>
      <c r="BO428" s="49"/>
      <c r="BP428" s="3"/>
      <c r="BQ428" s="49"/>
      <c r="BR428"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s>
  <pageMargins left="0.7" right="0.7" top="0.75" bottom="0.75" header="0.3" footer="0.3"/>
  <pageSetup paperSize="9" orientation="portrait" r:id="rId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2026-01-07T14:43:21Z</dcterms:modified>
</cp:coreProperties>
</file>