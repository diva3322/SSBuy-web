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01" i="3" l="1"/>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<sst xmlns="http://schemas.openxmlformats.org/spreadsheetml/2006/main" count="5853" uniqueCount="3946">
  <si>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</si>
  <si>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</si>
  <si>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</si>
  <si>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</si>
  <si>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</si>
  <si>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</si>
  <si>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</si>
  <si>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</si>
  <si>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</si>
  <si>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</si>
  <si>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</si>
  <si>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</si>
  <si>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</si>
  <si>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</si>
  <si>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</si>
  <si>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</si>
  <si>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</si>
  <si>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</si>
  <si>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</si>
  <si>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</si>
  <si>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</si>
  <si>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</si>
  <si>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</si>
  <si>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</si>
  <si>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</si>
  <si>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</si>
  <si>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</si>
  <si>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</si>
  <si>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</si>
  <si>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</si>
  <si>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</si>
  <si>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</si>
  <si>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</si>
  <si>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</si>
  <si>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</si>
  <si>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</si>
  <si>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</si>
  <si>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</si>
  <si>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</si>
  <si>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</si>
  <si>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</si>
  <si>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</si>
  <si>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</si>
  <si>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</si>
  <si>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</si>
  <si>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</si>
  <si>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</si>
  <si>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</si>
  <si>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</si>
  <si>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</si>
  <si>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</si>
  <si>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</si>
  <si>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</si>
  <si>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</si>
  <si>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</si>
  <si>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</si>
  <si>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</si>
  <si>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</si>
  <si>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</si>
  <si>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</si>
  <si>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</si>
  <si>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</si>
  <si>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</si>
  <si>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</si>
  <si>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</si>
  <si>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</si>
  <si>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</si>
  <si>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</si>
  <si>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</si>
  <si>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</si>
  <si>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</si>
  <si>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</si>
  <si>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</si>
  <si>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</si>
  <si>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</si>
  <si>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</si>
  <si>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</si>
  <si>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</si>
  <si>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</si>
  <si>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</si>
  <si>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</si>
  <si>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</si>
  <si>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</si>
  <si>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</si>
  <si>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</si>
  <si>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</si>
  <si>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</si>
  <si>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</si>
  <si>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</si>
  <si>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</si>
  <si>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</si>
  <si>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</si>
  <si>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</si>
  <si>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</si>
  <si>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</si>
  <si>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</si>
  <si>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</si>
  <si>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</si>
  <si>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</si>
  <si>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</si>
  <si>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</si>
  <si>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</si>
  <si>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</si>
  <si>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</si>
  <si>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</si>
  <si>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</si>
  <si>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</si>
  <si>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</si>
  <si>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</si>
  <si>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</si>
  <si>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</si>
  <si>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</si>
  <si>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</si>
  <si>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</si>
  <si>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</si>
  <si>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</si>
  <si>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</si>
  <si>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</si>
  <si>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</si>
  <si>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</si>
  <si>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</si>
  <si>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</si>
  <si>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</si>
  <si>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</si>
  <si>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</si>
  <si>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</si>
  <si>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</si>
  <si>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</si>
  <si>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</si>
  <si>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</si>
  <si>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</si>
  <si>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</si>
  <si>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</si>
  <si>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</si>
  <si>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</si>
  <si>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</si>
  <si>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</si>
  <si>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</si>
  <si>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</si>
  <si>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</si>
  <si>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</si>
  <si>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</si>
  <si>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</si>
  <si>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</si>
  <si>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</si>
  <si>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</si>
  <si>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</si>
  <si>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</si>
  <si>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</si>
  <si>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</si>
  <si>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</si>
  <si>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</si>
  <si>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</si>
  <si>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</si>
  <si>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</si>
  <si>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</si>
  <si>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</si>
  <si>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</si>
  <si>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</si>
  <si>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</si>
  <si>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</si>
  <si>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</si>
  <si>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</si>
  <si>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</si>
  <si>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</si>
  <si>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</si>
  <si>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</si>
  <si>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</si>
  <si>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</si>
  <si>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</si>
  <si>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</si>
  <si>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</si>
  <si>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</si>
  <si>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</si>
  <si>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</si>
  <si>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</si>
  <si>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</si>
  <si>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</si>
  <si>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</si>
  <si>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</si>
  <si>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</si>
  <si>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</si>
  <si>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</si>
  <si>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</si>
  <si>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</si>
  <si>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</si>
  <si>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</si>
  <si>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</si>
  <si>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</si>
  <si>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</si>
  <si>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</si>
  <si>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</si>
  <si>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</si>
  <si>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</si>
  <si>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</si>
  <si>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</si>
  <si>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</si>
  <si>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</si>
  <si>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</si>
  <si>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</si>
  <si>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</si>
  <si>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</si>
  <si>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</si>
  <si>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</si>
  <si>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</si>
  <si>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</si>
  <si>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</si>
  <si>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</si>
  <si>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</si>
  <si>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</si>
  <si>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</si>
  <si>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</si>
  <si>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</si>
  <si>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</si>
  <si>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</si>
  <si>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</si>
  <si>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</si>
  <si>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</si>
  <si>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</si>
  <si>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</si>
  <si>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</si>
  <si>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</si>
  <si>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</si>
  <si>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</si>
  <si>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</si>
  <si>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</si>
  <si>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</si>
  <si>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</si>
  <si>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</si>
  <si>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</si>
  <si>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</si>
  <si>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</si>
  <si>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</si>
  <si>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</si>
  <si>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</si>
  <si>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</si>
  <si>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</si>
  <si>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</si>
  <si>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</si>
  <si>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</si>
  <si>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</si>
  <si>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</si>
  <si>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</si>
  <si>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</si>
  <si>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</si>
  <si>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</si>
  <si>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</si>
  <si>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</si>
  <si>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</si>
  <si>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</si>
  <si>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</si>
  <si>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</si>
  <si>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</si>
  <si>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</si>
  <si>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</si>
  <si>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</si>
  <si>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</si>
  <si>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</si>
  <si>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</si>
  <si>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</si>
  <si>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</si>
  <si>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</si>
  <si>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</si>
  <si>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</si>
  <si>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</si>
  <si>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</si>
  <si>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</si>
  <si>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</si>
  <si>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</si>
  <si>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</si>
  <si>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</si>
  <si>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</si>
  <si>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</si>
  <si>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</si>
  <si>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</si>
  <si>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</si>
  <si>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</si>
  <si>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</si>
  <si>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</si>
  <si>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</si>
  <si>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</si>
  <si>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</si>
  <si>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</si>
  <si>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</si>
  <si>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</si>
  <si>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</si>
  <si>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</si>
  <si>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</si>
  <si>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</si>
  <si>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</si>
  <si>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</si>
  <si>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</si>
  <si>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</si>
  <si>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</si>
  <si>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</si>
  <si>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</si>
  <si>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</si>
  <si>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</si>
  <si>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</si>
  <si>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</si>
  <si>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</si>
  <si>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</si>
  <si>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</si>
  <si>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</si>
  <si>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</si>
  <si>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</si>
  <si>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</si>
  <si>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</si>
  <si>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</si>
  <si>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</si>
  <si>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</si>
  <si>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</si>
  <si>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</si>
  <si>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</si>
  <si>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</si>
  <si>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</si>
  <si>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</si>
  <si>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</si>
  <si>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</si>
  <si>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</si>
  <si>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</si>
  <si>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</si>
  <si>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</si>
  <si>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</si>
  <si>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</si>
  <si>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</si>
  <si>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</si>
  <si>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</si>
  <si>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</si>
  <si>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</si>
  <si>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</si>
  <si>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</si>
  <si>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</si>
  <si>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</si>
  <si>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</si>
  <si>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</si>
  <si>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</si>
  <si>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</si>
  <si>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</si>
  <si>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</si>
  <si>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</si>
  <si>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</si>
  <si>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</si>
  <si>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</si>
  <si>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</si>
  <si>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</si>
  <si>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</si>
  <si>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</si>
  <si>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</si>
  <si>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</si>
  <si>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</si>
  <si>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</si>
  <si>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</si>
  <si>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</si>
  <si>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</si>
  <si>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</si>
  <si>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</si>
  <si>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</si>
  <si>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</si>
  <si>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</si>
  <si>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</si>
  <si>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</si>
  <si>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</si>
  <si>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</si>
  <si>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</si>
  <si>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</si>
  <si>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</si>
  <si>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</si>
  <si>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</si>
  <si>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</si>
  <si>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</si>
  <si>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</si>
  <si>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</si>
  <si>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</si>
  <si>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</si>
  <si>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</si>
  <si>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</si>
  <si>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</si>
  <si>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</si>
  <si>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</si>
  <si>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</si>
  <si>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</si>
  <si>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</si>
  <si>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</si>
  <si>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</si>
  <si>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</si>
  <si>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</si>
  <si>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</si>
  <si>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</si>
  <si>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</si>
  <si>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</si>
  <si>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</si>
  <si>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</si>
  <si>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</si>
  <si>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</si>
  <si>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</si>
  <si>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</si>
  <si>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</si>
  <si>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</si>
  <si>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</si>
  <si>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</si>
  <si>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</si>
  <si>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</si>
  <si>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</si>
  <si>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</si>
  <si>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</si>
  <si>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</si>
  <si>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</si>
  <si>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</si>
  <si>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</si>
  <si>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</si>
  <si>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</si>
  <si>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</si>
  <si>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</si>
  <si>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</si>
  <si>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</si>
  <si>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</si>
  <si>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</si>
  <si>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</si>
  <si>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</si>
  <si>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</si>
  <si>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</si>
  <si>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</si>
  <si>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</si>
  <si>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</si>
  <si>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</si>
  <si>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</si>
  <si>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</si>
  <si>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</si>
  <si>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</si>
  <si>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</si>
  <si>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</si>
  <si>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</si>
  <si>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</si>
  <si>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</si>
  <si>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</si>
  <si>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</si>
  <si>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</si>
  <si>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</si>
  <si>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</si>
  <si>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</si>
  <si>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</si>
  <si>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</si>
  <si>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</si>
  <si>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</si>
  <si>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</si>
  <si>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</si>
  <si>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</si>
  <si>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</si>
  <si>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</si>
  <si>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</si>
  <si>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</si>
  <si>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</si>
  <si>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</si>
  <si>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</si>
  <si>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</si>
  <si>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</si>
  <si>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</si>
  <si>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</si>
  <si>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</si>
  <si>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</si>
  <si>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</si>
  <si>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</si>
  <si>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</si>
  <si>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</si>
  <si>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</si>
  <si>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</si>
  <si>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</si>
  <si>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</si>
  <si>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</si>
  <si>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</si>
  <si>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</si>
  <si>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</si>
  <si>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</si>
  <si>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</si>
  <si>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</si>
  <si>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</si>
  <si>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</si>
  <si>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</si>
  <si>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</si>
  <si>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</si>
  <si>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</si>
  <si>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</si>
  <si>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</si>
  <si>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</si>
  <si>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</si>
  <si>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</si>
  <si>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</si>
  <si>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</si>
  <si>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</si>
  <si>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</si>
  <si>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</si>
  <si>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</si>
  <si>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</si>
  <si>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</si>
  <si>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</si>
  <si>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</si>
  <si>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</si>
  <si>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</si>
  <si>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</si>
  <si>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</si>
  <si>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</si>
  <si>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</si>
  <si>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</si>
  <si>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</si>
  <si>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</si>
  <si>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</si>
  <si>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</si>
  <si>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</si>
  <si>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</si>
  <si>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</si>
  <si>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</si>
  <si>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</si>
  <si>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</si>
  <si>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</si>
  <si>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</si>
  <si>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</si>
  <si>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</si>
  <si>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</si>
  <si>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</si>
  <si>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</si>
  <si>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</si>
  <si>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</si>
  <si>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</si>
  <si>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</si>
  <si>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</si>
  <si>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</si>
  <si>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</si>
  <si>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</si>
  <si>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</si>
  <si>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</si>
  <si>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</si>
  <si>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</si>
  <si>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</si>
  <si>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</si>
  <si>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</si>
  <si>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</si>
  <si>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</si>
  <si>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</si>
  <si>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</si>
  <si>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</si>
  <si>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</si>
  <si>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</si>
  <si>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</si>
  <si>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</si>
  <si>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</si>
  <si>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</si>
  <si>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</si>
  <si>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</si>
  <si>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</si>
  <si>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</si>
  <si>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</si>
  <si>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</si>
  <si>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</si>
  <si>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</si>
  <si>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</si>
  <si>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</si>
  <si>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</si>
  <si>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</si>
  <si>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</si>
  <si>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</si>
  <si>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</si>
  <si>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</si>
  <si>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</si>
  <si>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</si>
  <si>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</si>
  <si>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</si>
  <si>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</si>
  <si>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</si>
  <si>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</si>
  <si>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</si>
  <si>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</si>
  <si>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</si>
  <si>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</si>
  <si>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</si>
  <si>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</si>
  <si>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</si>
  <si>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</si>
  <si>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</si>
  <si>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</si>
  <si>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</si>
  <si>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</si>
  <si>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</si>
  <si>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</si>
  <si>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</si>
  <si>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</si>
  <si>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</si>
  <si>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</si>
  <si>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</si>
  <si>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</si>
  <si>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</si>
  <si>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</si>
  <si>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</si>
  <si>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</si>
  <si>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</si>
  <si>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</si>
  <si>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</si>
  <si>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</si>
  <si>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</si>
  <si>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</si>
  <si>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</si>
  <si>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</si>
  <si>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</si>
  <si>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</si>
  <si>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</si>
  <si>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</si>
  <si>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</si>
  <si>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</si>
  <si>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</si>
  <si>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</si>
  <si>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</si>
  <si>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</si>
  <si>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</si>
  <si>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</si>
  <si>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</si>
  <si>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</si>
  <si>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</si>
  <si>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</si>
  <si>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</si>
  <si>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</si>
  <si>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</si>
  <si>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</si>
  <si>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</si>
  <si>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</si>
  <si>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</si>
  <si>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</si>
  <si>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</si>
  <si>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</si>
  <si>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</si>
  <si>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</si>
  <si>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</si>
  <si>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</si>
  <si>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</si>
  <si>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</si>
  <si>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</si>
  <si>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</si>
  <si>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</si>
  <si>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</si>
  <si>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</si>
  <si>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</si>
  <si>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</si>
  <si>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</si>
  <si>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</si>
  <si>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</si>
  <si>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</si>
  <si>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</si>
  <si>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</si>
  <si>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</si>
  <si>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</si>
  <si>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</si>
  <si>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</si>
  <si>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</si>
  <si>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</si>
  <si>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</si>
  <si>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</si>
  <si>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</si>
  <si>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</si>
  <si>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</si>
  <si>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</si>
  <si>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</si>
  <si>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</si>
  <si>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</si>
  <si>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</si>
  <si>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</si>
  <si>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</si>
  <si>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</si>
  <si>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</si>
  <si>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</si>
  <si>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</si>
  <si>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</si>
  <si>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</si>
  <si>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</si>
  <si>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</si>
  <si>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</si>
  <si>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</si>
  <si>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</si>
  <si>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</si>
  <si>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</si>
  <si>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</si>
  <si>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</si>
  <si>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</si>
  <si>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</si>
  <si>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</si>
  <si>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</si>
  <si>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</si>
  <si>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</si>
  <si>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</si>
  <si>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</si>
  <si>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</si>
  <si>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</si>
  <si>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</si>
  <si>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</si>
  <si>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</si>
  <si>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</si>
  <si>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</si>
  <si>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</si>
  <si>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</si>
  <si>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</si>
  <si>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</si>
  <si>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</si>
  <si>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</si>
  <si>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</si>
  <si>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</si>
  <si>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</si>
  <si>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</si>
  <si>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</si>
  <si>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</si>
  <si>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</si>
  <si>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</si>
  <si>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</si>
  <si>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</si>
  <si>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</si>
  <si>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</si>
  <si>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</si>
  <si>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</si>
  <si>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</si>
  <si>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</si>
  <si>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</si>
  <si>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</si>
  <si>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</si>
  <si>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</si>
  <si>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</si>
  <si>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</si>
  <si>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</si>
  <si>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</si>
  <si>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</si>
  <si>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</si>
  <si>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</si>
  <si>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</si>
  <si>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</si>
  <si>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</si>
  <si>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</si>
  <si>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</si>
  <si>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</si>
  <si>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</si>
  <si>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</si>
  <si>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</si>
  <si>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</si>
  <si>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</si>
  <si>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</si>
  <si>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</si>
  <si>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</si>
  <si>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</si>
  <si>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</si>
  <si>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</si>
  <si>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</si>
  <si>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</si>
  <si>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</si>
  <si>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</si>
  <si>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</si>
  <si>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</si>
  <si>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</si>
  <si>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</si>
  <si>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</si>
  <si>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</si>
  <si>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</si>
  <si>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</si>
  <si>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</si>
  <si>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</si>
  <si>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</si>
  <si>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</si>
  <si>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</si>
  <si>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</si>
  <si>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</si>
  <si>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</si>
  <si>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</si>
  <si>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</si>
  <si>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</si>
  <si>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</si>
  <si>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</si>
  <si>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</si>
  <si>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</si>
  <si>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</si>
  <si>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</si>
  <si>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</si>
  <si>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</si>
  <si>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</si>
  <si>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</si>
  <si>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</si>
  <si>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</si>
  <si>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</si>
  <si>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</si>
  <si>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</si>
  <si>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</si>
  <si>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</si>
  <si>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</si>
  <si>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</si>
  <si>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</si>
  <si>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</si>
  <si>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</si>
  <si>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</si>
  <si>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</si>
  <si>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</si>
  <si>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</si>
  <si>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</si>
  <si>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</si>
  <si>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</si>
  <si>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</si>
  <si>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</si>
  <si>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</si>
  <si>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</si>
  <si>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</si>
  <si>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</si>
  <si>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</si>
  <si>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</si>
  <si>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</si>
  <si>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</si>
  <si>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</si>
  <si>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</si>
  <si>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</si>
  <si>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</si>
  <si>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</si>
  <si>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</si>
  <si>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</si>
  <si>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</si>
  <si>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</si>
  <si>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</si>
  <si>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</si>
  <si>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</si>
  <si>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</si>
  <si>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</si>
  <si>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</si>
  <si>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</si>
  <si>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</si>
  <si>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</si>
  <si>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</si>
  <si>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</si>
  <si>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</si>
  <si>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</si>
  <si>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</si>
  <si>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</si>
  <si>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</si>
  <si>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</si>
  <si>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</si>
  <si>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</si>
  <si>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</si>
  <si>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</si>
  <si>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</si>
  <si>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</si>
  <si>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</si>
  <si>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</si>
  <si>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</si>
  <si>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</si>
  <si>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</si>
  <si>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</si>
  <si>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</si>
  <si>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</si>
  <si>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</si>
  <si>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</si>
  <si>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</si>
  <si>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</si>
  <si>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</si>
  <si>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</si>
  <si>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</si>
  <si>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</si>
  <si>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</si>
  <si>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</si>
  <si>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</si>
  <si>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</si>
  <si>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</si>
  <si>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</si>
  <si>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</si>
  <si>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</si>
  <si>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</si>
  <si>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</si>
  <si>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</si>
  <si>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</si>
  <si>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</si>
  <si>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</si>
  <si>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</si>
  <si>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</si>
  <si>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</si>
  <si>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</si>
  <si>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</si>
  <si>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</si>
  <si>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</si>
  <si>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</si>
  <si>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</si>
  <si>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</si>
  <si>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</si>
  <si>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</si>
  <si>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</si>
  <si>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</si>
  <si>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</si>
  <si>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</si>
  <si>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</si>
  <si>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</si>
  <si>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</si>
  <si>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</si>
  <si>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</si>
  <si>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</si>
  <si>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</si>
  <si>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</si>
  <si>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</si>
  <si>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</si>
  <si>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</si>
  <si>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</si>
  <si>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</si>
  <si>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</si>
  <si>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</si>
  <si>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</si>
  <si>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</si>
  <si>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</si>
  <si>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</si>
  <si>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</si>
  <si>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</si>
  <si>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</si>
  <si>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</si>
  <si>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</si>
  <si>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</si>
  <si>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</si>
  <si>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</si>
  <si>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</si>
  <si>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</si>
  <si>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</si>
  <si>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</si>
  <si>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</si>
  <si>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</si>
  <si>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</si>
  <si>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</si>
  <si>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</si>
  <si>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</si>
  <si>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</si>
  <si>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</si>
  <si>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</si>
  <si>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</si>
  <si>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</si>
  <si>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</si>
  <si>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</si>
  <si>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</si>
  <si>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</si>
  <si>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</si>
  <si>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</si>
  <si>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</si>
  <si>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</si>
  <si>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</si>
  <si>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</si>
  <si>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</si>
  <si>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</si>
  <si>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</si>
  <si>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</si>
  <si>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</si>
  <si>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</si>
  <si>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</si>
  <si>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</si>
  <si>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</si>
  <si>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</si>
  <si>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</si>
  <si>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</si>
  <si>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</si>
  <si>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</si>
  <si>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</si>
  <si>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</si>
  <si>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</si>
  <si>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</si>
  <si>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</si>
  <si>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</si>
  <si>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</si>
  <si>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</si>
  <si>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</si>
  <si>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</si>
  <si>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</si>
  <si>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</si>
  <si>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</si>
  <si>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</si>
  <si>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</si>
  <si>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</si>
  <si>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</si>
  <si>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</si>
  <si>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</si>
  <si>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</si>
  <si>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</si>
  <si>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</si>
  <si>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</si>
  <si>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</si>
  <si>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</si>
  <si>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</si>
  <si>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</si>
  <si>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</si>
  <si>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</si>
  <si>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</si>
  <si>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</si>
  <si>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</si>
  <si>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</si>
  <si>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</si>
  <si>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</si>
  <si>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</si>
  <si>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</si>
  <si>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</si>
  <si>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</si>
  <si>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</si>
  <si>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</si>
  <si>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</si>
  <si>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</si>
  <si>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</si>
  <si>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</si>
  <si>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</si>
  <si>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</si>
  <si>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</si>
  <si>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</si>
  <si>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</si>
  <si>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</si>
  <si>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</si>
  <si>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</si>
  <si>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</si>
  <si>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</si>
  <si>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</si>
  <si>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</si>
  <si>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</si>
  <si>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</si>
  <si>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</si>
  <si>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</si>
  <si>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</si>
  <si>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</si>
  <si>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</si>
  <si>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</si>
  <si>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</si>
  <si>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</si>
  <si>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</si>
  <si>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</si>
  <si>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</si>
  <si>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</si>
  <si>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</si>
  <si>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</si>
  <si>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</si>
  <si>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</si>
  <si>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</si>
  <si>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</si>
  <si>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</si>
  <si>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</si>
  <si>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</si>
  <si>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</si>
  <si>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</si>
  <si>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</si>
  <si>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</si>
  <si>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</si>
  <si>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</si>
  <si>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</si>
  <si>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</si>
  <si>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</si>
  <si>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</si>
  <si>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</si>
  <si>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</si>
  <si>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</si>
  <si>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</si>
  <si>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</si>
  <si>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</si>
  <si>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</si>
  <si>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</si>
  <si>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</si>
  <si>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</si>
  <si>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</si>
  <si>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</si>
  <si>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</si>
  <si>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</si>
  <si>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</si>
  <si>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</si>
  <si>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</si>
  <si>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</si>
  <si>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</si>
  <si>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</si>
  <si>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</si>
  <si>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</si>
  <si>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</si>
  <si>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</si>
  <si>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</si>
  <si>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</si>
  <si>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</si>
  <si>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</si>
  <si>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</si>
  <si>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</si>
  <si>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</si>
  <si>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</si>
  <si>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</si>
  <si>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</si>
  <si>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</si>
  <si>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</si>
  <si>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</si>
  <si>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</si>
  <si>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</si>
  <si>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</si>
  <si>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</si>
  <si>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</si>
  <si>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</si>
  <si>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</si>
  <si>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</si>
  <si>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</si>
  <si>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</si>
  <si>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</si>
  <si>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</si>
  <si>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</si>
  <si>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</si>
  <si>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</si>
  <si>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</si>
  <si>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</si>
  <si>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</si>
  <si>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</si>
  <si>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</si>
  <si>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</si>
  <si>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</si>
  <si>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</si>
  <si>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</si>
  <si>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</si>
  <si>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</si>
  <si>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</si>
  <si>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</si>
  <si>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</si>
  <si>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</si>
  <si>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</si>
  <si>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</si>
  <si>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</si>
  <si>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</si>
  <si>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</si>
  <si>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</si>
  <si>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</si>
  <si>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</si>
  <si>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</si>
  <si>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</si>
  <si>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</si>
  <si>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</si>
  <si>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</si>
  <si>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</si>
  <si>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</si>
  <si>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</si>
  <si>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</si>
  <si>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</si>
  <si>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</si>
  <si>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</si>
  <si>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</si>
  <si>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</si>
  <si>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</si>
  <si>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</si>
  <si>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</si>
  <si>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</si>
  <si>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</si>
  <si>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</si>
  <si>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</si>
  <si>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</si>
  <si>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</si>
  <si>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</si>
  <si>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</si>
  <si>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</si>
  <si>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</si>
  <si>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</si>
  <si>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</si>
  <si>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</si>
  <si>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</si>
  <si>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</si>
  <si>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</si>
  <si>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</si>
  <si>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</si>
  <si>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</si>
  <si>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</si>
  <si>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</si>
  <si>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</si>
  <si>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</si>
  <si>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</si>
  <si>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</si>
  <si>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</si>
  <si>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</si>
  <si>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</si>
  <si>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</si>
  <si>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</si>
  <si>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</si>
  <si>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</si>
  <si>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</si>
  <si>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</si>
  <si>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</si>
  <si>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</si>
  <si>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</si>
  <si>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</si>
  <si>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</si>
  <si>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</si>
  <si>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</si>
  <si>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</si>
  <si>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</si>
  <si>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</si>
  <si>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</si>
  <si>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</si>
  <si>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</si>
  <si>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</si>
  <si>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</si>
  <si>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</si>
  <si>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</si>
  <si>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</si>
  <si>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</si>
  <si>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</si>
  <si>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</si>
  <si>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</si>
  <si>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</si>
  <si>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</si>
  <si>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</si>
  <si>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</si>
  <si>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</si>
  <si>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</si>
  <si>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</si>
  <si>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</si>
  <si>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</si>
  <si>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</si>
  <si>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</si>
  <si>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</si>
  <si>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</si>
  <si>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</si>
  <si>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</si>
  <si>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</si>
  <si>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</si>
  <si>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</si>
  <si>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</si>
  <si>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</si>
  <si>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</si>
  <si>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</si>
  <si>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</si>
  <si>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</si>
  <si>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</si>
  <si>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</si>
  <si>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</si>
  <si>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</si>
  <si>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</si>
  <si>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</si>
  <si>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</si>
  <si>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</si>
  <si>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</si>
  <si>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</si>
  <si>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</si>
  <si>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</si>
  <si>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</si>
  <si>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</si>
  <si>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</si>
  <si>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</si>
  <si>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</si>
  <si>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</si>
  <si>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</si>
  <si>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</si>
  <si>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</si>
  <si>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</si>
  <si>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</si>
  <si>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</si>
  <si>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</si>
  <si>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</si>
  <si>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</si>
  <si>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</si>
  <si>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</si>
  <si>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</si>
  <si>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</si>
  <si>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</si>
  <si>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</si>
  <si>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</si>
  <si>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</si>
  <si>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</si>
  <si>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</si>
  <si>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</si>
  <si>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</si>
  <si>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</si>
  <si>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</si>
  <si>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</si>
  <si>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</si>
  <si>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</si>
  <si>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</si>
  <si>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</si>
  <si>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</si>
  <si>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</si>
  <si>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</si>
  <si>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</si>
  <si>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</si>
  <si>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</si>
  <si>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</si>
  <si>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</si>
  <si>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</si>
  <si>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</si>
  <si>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</si>
  <si>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</si>
  <si>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</si>
  <si>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</si>
  <si>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</si>
  <si>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</si>
  <si>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</si>
  <si>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</si>
  <si>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</si>
  <si>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</si>
  <si>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</si>
  <si>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</si>
  <si>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</si>
  <si>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</si>
  <si>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</si>
  <si>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</si>
  <si>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</si>
  <si>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</si>
  <si>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</si>
  <si>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</si>
  <si>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</si>
  <si>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</si>
  <si>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</si>
  <si>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</si>
  <si>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</si>
  <si>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</si>
  <si>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</si>
  <si>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</si>
  <si>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</si>
  <si>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</si>
  <si>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</si>
  <si>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</si>
  <si>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</si>
  <si>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</si>
  <si>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</si>
  <si>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</si>
  <si>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</si>
  <si>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</si>
  <si>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</si>
  <si>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</si>
  <si>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</si>
  <si>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</si>
  <si>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</si>
  <si>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</si>
  <si>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</si>
  <si>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</si>
  <si>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</si>
  <si>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</si>
  <si>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</si>
  <si>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</si>
  <si>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</si>
  <si>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</si>
  <si>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</si>
  <si>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</si>
  <si>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</si>
  <si>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</si>
  <si>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</si>
  <si>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</si>
  <si>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</si>
  <si>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</si>
  <si>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</si>
  <si>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</si>
  <si>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</si>
  <si>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</si>
  <si>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</si>
  <si>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</si>
  <si>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</si>
  <si>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</si>
  <si>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</si>
  <si>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</si>
  <si>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</si>
  <si>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</si>
  <si>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</si>
  <si>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</si>
  <si>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</si>
  <si>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</si>
  <si>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</si>
  <si>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</si>
  <si>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</si>
  <si>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</si>
  <si>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</si>
  <si>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</si>
  <si>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</si>
  <si>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</si>
  <si>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</si>
  <si>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</si>
  <si>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</si>
  <si>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</si>
  <si>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</si>
  <si>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</si>
  <si>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</si>
  <si>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</si>
  <si>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</si>
  <si>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</si>
  <si>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</si>
  <si>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</si>
  <si>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</si>
  <si>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</si>
  <si>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</si>
  <si>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</si>
  <si>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</si>
  <si>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</si>
  <si>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</si>
  <si>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</si>
  <si>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</si>
  <si>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</si>
  <si>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</si>
  <si>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</si>
  <si>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</si>
  <si>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</si>
  <si>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</si>
  <si>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</si>
  <si>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</si>
  <si>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</si>
  <si>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</si>
  <si>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</si>
  <si>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</si>
  <si>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</si>
  <si>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</si>
  <si>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</si>
  <si>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</si>
  <si>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</si>
  <si>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</si>
  <si>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</si>
  <si>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</si>
  <si>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</si>
  <si>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</si>
  <si>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</si>
  <si>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</si>
  <si>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</si>
  <si>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</si>
  <si>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</si>
  <si>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</si>
  <si>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</si>
  <si>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</si>
  <si>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</si>
  <si>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</si>
  <si>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</si>
  <si>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</si>
  <si>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</si>
  <si>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</si>
  <si>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</si>
  <si>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</si>
  <si>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</si>
  <si>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</si>
  <si>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</si>
  <si>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</si>
  <si>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</si>
  <si>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</si>
  <si>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</si>
  <si>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</si>
  <si>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</si>
  <si>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</si>
  <si>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</si>
  <si>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</si>
  <si>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</si>
  <si>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</si>
  <si>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</si>
  <si>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</si>
  <si>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</si>
  <si>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</si>
  <si>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</si>
  <si>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</si>
  <si>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</si>
  <si>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</si>
  <si>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</si>
  <si>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</si>
  <si>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</si>
  <si>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</si>
  <si>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</si>
  <si>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</si>
  <si>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</si>
  <si>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</si>
  <si>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</si>
  <si>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</si>
  <si>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</si>
  <si>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</si>
  <si>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</si>
  <si>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</si>
  <si>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</si>
  <si>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</si>
  <si>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</si>
  <si>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</si>
  <si>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</si>
  <si>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</si>
  <si>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</si>
  <si>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</si>
  <si>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</si>
  <si>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</si>
  <si>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</si>
  <si>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</si>
  <si>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</si>
  <si>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</si>
  <si>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</si>
  <si>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</si>
  <si>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</si>
  <si>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</si>
  <si>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</si>
  <si>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</si>
  <si>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</si>
  <si>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</si>
  <si>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</si>
  <si>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</si>
  <si>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</si>
  <si>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</si>
  <si>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</si>
  <si>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</si>
  <si>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</si>
  <si>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</si>
  <si>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</si>
  <si>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</si>
  <si>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</si>
  <si>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</si>
  <si>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</si>
  <si>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</si>
  <si>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</si>
  <si>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</si>
  <si>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</si>
  <si>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</si>
  <si>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</si>
  <si>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</si>
  <si>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</si>
  <si>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</si>
  <si>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</si>
  <si>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</si>
  <si>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</si>
  <si>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</si>
  <si>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</si>
  <si>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</si>
  <si>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</si>
  <si>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</si>
  <si>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</si>
  <si>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</si>
  <si>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</si>
  <si>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</si>
  <si>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</si>
  <si>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</si>
  <si>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</si>
  <si>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</si>
  <si>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</si>
  <si>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</si>
  <si>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</si>
  <si>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</si>
  <si>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</si>
  <si>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</si>
  <si>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</si>
  <si>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</si>
  <si>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</si>
  <si>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</si>
  <si>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</si>
  <si>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</si>
  <si>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</si>
  <si>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</si>
  <si>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</si>
  <si>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</si>
  <si>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</si>
  <si>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</si>
  <si>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</si>
  <si>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</si>
  <si>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</si>
  <si>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</si>
  <si>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</si>
  <si>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</si>
  <si>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</si>
  <si>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</si>
  <si>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</si>
  <si>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</si>
  <si>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</si>
  <si>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</si>
  <si>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</si>
  <si>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</si>
  <si>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</si>
  <si>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</si>
  <si>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</si>
  <si>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</si>
  <si>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</si>
  <si>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</si>
  <si>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</si>
  <si>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</si>
  <si>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</si>
  <si>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</si>
  <si>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</si>
  <si>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</si>
  <si>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</si>
  <si>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</si>
  <si>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</si>
  <si>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</si>
  <si>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</si>
  <si>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</si>
  <si>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</si>
  <si>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</si>
  <si>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</si>
  <si>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</si>
  <si>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</si>
  <si>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</si>
  <si>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</si>
  <si>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</si>
  <si>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</si>
  <si>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</si>
  <si>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</si>
  <si>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</si>
  <si>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</si>
  <si>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</si>
  <si>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</si>
  <si>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</si>
  <si>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</si>
  <si>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</si>
  <si>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</si>
  <si>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</si>
  <si>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</si>
  <si>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</si>
  <si>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</si>
  <si>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</si>
  <si>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</si>
  <si>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</si>
  <si>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</si>
  <si>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</si>
  <si>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</si>
  <si>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</si>
  <si>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</si>
  <si>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</si>
  <si>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</si>
  <si>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</si>
  <si>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</si>
  <si>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</si>
  <si>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</si>
  <si>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</si>
  <si>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</si>
  <si>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</si>
  <si>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</si>
  <si>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</si>
  <si>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</si>
  <si>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</si>
  <si>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</si>
  <si>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</si>
  <si>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</si>
  <si>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</si>
  <si>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</si>
  <si>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</si>
  <si>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</si>
  <si>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</si>
  <si>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</si>
  <si>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</si>
  <si>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</si>
  <si>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</si>
  <si>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</si>
  <si>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</si>
  <si>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</si>
  <si>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</si>
  <si>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</si>
  <si>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</si>
  <si>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</si>
  <si>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</si>
  <si>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</si>
  <si>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</si>
  <si>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</si>
  <si>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</si>
  <si>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</si>
  <si>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</si>
  <si>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</si>
  <si>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</si>
  <si>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</si>
  <si>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</si>
  <si>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</si>
  <si>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</si>
  <si>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</si>
  <si>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</si>
  <si>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</si>
  <si>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</si>
  <si>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</si>
  <si>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</si>
  <si>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</si>
  <si>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</si>
  <si>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</si>
  <si>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</si>
  <si>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</si>
  <si>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</si>
  <si>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</si>
  <si>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</si>
  <si>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</si>
  <si>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</si>
  <si>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</si>
  <si>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</si>
  <si>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</si>
  <si>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</si>
  <si>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</si>
  <si>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</si>
  <si>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</si>
  <si>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</si>
  <si>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</si>
  <si>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</si>
  <si>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</si>
  <si>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</si>
  <si>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</si>
  <si>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</si>
  <si>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</si>
  <si>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</si>
  <si>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</si>
  <si>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</si>
  <si>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</si>
  <si>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</si>
  <si>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</si>
  <si>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</si>
  <si>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</si>
  <si>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</si>
  <si>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</si>
  <si>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</si>
  <si>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</si>
  <si>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</si>
  <si>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</si>
  <si>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</si>
  <si>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</si>
  <si>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</si>
  <si>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</si>
  <si>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</si>
  <si>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</si>
  <si>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</si>
  <si>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</si>
  <si>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</si>
  <si>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</si>
  <si>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</si>
  <si>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</si>
  <si>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</si>
  <si>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</si>
  <si>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</si>
  <si>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</si>
  <si>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</si>
  <si>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</si>
  <si>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</si>
  <si>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</si>
  <si>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</si>
  <si>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</si>
  <si>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</si>
  <si>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</si>
  <si>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</si>
  <si>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</si>
  <si>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</si>
  <si>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</si>
  <si>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</si>
  <si>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</si>
  <si>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</si>
  <si>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</si>
  <si>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</si>
  <si>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</si>
  <si>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</si>
  <si>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</si>
  <si>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</si>
  <si>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</si>
  <si>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</si>
  <si>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</si>
  <si>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</si>
  <si>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</si>
  <si>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</si>
  <si>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</si>
  <si>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</si>
  <si>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</si>
  <si>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</si>
  <si>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</si>
  <si>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</si>
  <si>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</si>
  <si>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</si>
  <si>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</si>
  <si>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</si>
  <si>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</si>
  <si>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</si>
  <si>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</si>
  <si>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</si>
  <si>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</si>
  <si>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</si>
  <si>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</si>
  <si>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</si>
  <si>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</si>
  <si>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</si>
  <si>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</si>
  <si>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</si>
  <si>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</si>
  <si>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</si>
  <si>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</si>
  <si>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</si>
  <si>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</si>
  <si>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</si>
  <si>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</si>
  <si>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</si>
  <si>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</si>
  <si>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</si>
  <si>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</si>
  <si>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</si>
  <si>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</si>
  <si>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</si>
  <si>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</si>
  <si>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</si>
  <si>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</si>
  <si>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</si>
  <si>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</si>
  <si>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</si>
  <si>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</si>
  <si>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</si>
  <si>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</si>
  <si>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</si>
  <si>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</si>
  <si>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</si>
  <si>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</si>
  <si>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</si>
  <si>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</si>
  <si>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</si>
  <si>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</si>
  <si>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</si>
  <si>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</si>
  <si>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</si>
  <si>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</si>
  <si>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</si>
  <si>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</si>
  <si>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</si>
  <si>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</si>
  <si>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</si>
  <si>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</si>
  <si>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</si>
  <si>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</si>
  <si>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</si>
  <si>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</si>
  <si>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</si>
  <si>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</si>
  <si>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</si>
  <si>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</si>
  <si>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</si>
  <si>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</si>
  <si>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</si>
  <si>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</si>
  <si>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</si>
  <si>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</si>
  <si>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</si>
  <si>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</si>
  <si>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</si>
  <si>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</si>
  <si>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</si>
  <si>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</si>
  <si>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</si>
  <si>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</si>
  <si>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</si>
  <si>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</si>
  <si>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</si>
  <si>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</si>
  <si>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</si>
  <si>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</si>
  <si>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</si>
  <si>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</si>
  <si>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</si>
  <si>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</si>
  <si>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</si>
  <si>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</si>
  <si>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</si>
  <si>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</si>
  <si>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</si>
  <si>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</si>
  <si>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</si>
  <si>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</si>
  <si>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</si>
  <si>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</si>
  <si>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</si>
  <si>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</si>
  <si>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</si>
  <si>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</si>
  <si>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</si>
  <si>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</si>
  <si>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</si>
  <si>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</si>
  <si>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</si>
  <si>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</si>
  <si>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</si>
  <si>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</si>
  <si>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</si>
  <si>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</si>
  <si>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</si>
  <si>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</si>
  <si>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</si>
  <si>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</si>
  <si>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</si>
  <si>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</si>
  <si>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</si>
  <si>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</si>
  <si>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</si>
  <si>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</si>
  <si>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</si>
  <si>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</si>
  <si>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</si>
  <si>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</si>
  <si>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</si>
  <si>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</si>
  <si>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</si>
  <si>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</si>
  <si>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</si>
  <si>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</si>
  <si>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</si>
  <si>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</si>
  <si>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</si>
  <si>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</si>
  <si>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</si>
  <si>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</si>
  <si>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</si>
  <si>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</si>
  <si>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</si>
  <si>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</si>
  <si>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</si>
  <si>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</si>
  <si>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</si>
  <si>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</si>
  <si>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</si>
  <si>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</si>
  <si>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</si>
  <si>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</si>
  <si>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</si>
  <si>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</si>
  <si>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</si>
  <si>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</si>
  <si>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</si>
  <si>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</si>
  <si>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</si>
  <si>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</si>
  <si>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</si>
  <si>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</si>
  <si>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</si>
  <si>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</si>
  <si>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</si>
  <si>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</si>
  <si>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</si>
  <si>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</si>
  <si>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</si>
  <si>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</si>
  <si>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</si>
  <si>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</si>
  <si>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</si>
  <si>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</si>
  <si>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</si>
  <si>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</si>
  <si>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</si>
  <si>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</si>
  <si>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</si>
  <si>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</si>
  <si>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</si>
  <si>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</si>
  <si>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</si>
  <si>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</si>
  <si>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</si>
  <si>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</si>
  <si>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</si>
  <si>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</si>
  <si>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</si>
  <si>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</si>
  <si>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</si>
  <si>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</si>
  <si>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</si>
  <si>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</si>
  <si>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</si>
  <si>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</si>
  <si>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</si>
  <si>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</si>
  <si>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</si>
  <si>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</si>
  <si>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</si>
  <si>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</si>
  <si>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</si>
  <si>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</si>
  <si>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</si>
  <si>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</si>
  <si>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</si>
  <si>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</si>
  <si>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</si>
  <si>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</si>
  <si>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</si>
  <si>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</si>
  <si>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</si>
  <si>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</si>
  <si>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</si>
  <si>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</si>
  <si>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</si>
  <si>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</si>
  <si>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</si>
  <si>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</si>
  <si>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</si>
  <si>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</si>
  <si>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</si>
  <si>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</si>
  <si>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</si>
  <si>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</si>
  <si>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</si>
  <si>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</si>
  <si>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</si>
  <si>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</si>
  <si>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</si>
  <si>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</si>
  <si>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</si>
  <si>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</si>
  <si>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</si>
  <si>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</si>
  <si>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</si>
  <si>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</si>
  <si>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</si>
  <si>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</si>
  <si>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</si>
  <si>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</si>
  <si>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</si>
  <si>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</si>
  <si>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</si>
  <si>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</si>
  <si>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</si>
  <si>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</si>
  <si>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</si>
  <si>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</si>
  <si>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</si>
  <si>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</si>
  <si>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</si>
  <si>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</si>
  <si>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</si>
  <si>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</si>
  <si>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</si>
  <si>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</si>
  <si>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</si>
  <si>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</si>
  <si>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</si>
  <si>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</si>
  <si>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</si>
  <si>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</si>
  <si>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</si>
  <si>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</si>
  <si>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</si>
  <si>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</si>
  <si>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</si>
  <si>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</si>
  <si>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</si>
  <si>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</si>
  <si>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</si>
  <si>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</si>
  <si>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</si>
  <si>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</si>
  <si>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</si>
  <si>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</si>
  <si>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</si>
  <si>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</si>
  <si>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</si>
  <si>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</si>
  <si>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</si>
  <si>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</si>
  <si>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</si>
  <si>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</si>
  <si>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</si>
  <si>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</si>
  <si>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</si>
  <si>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</si>
  <si>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</si>
  <si>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</si>
  <si>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</si>
  <si>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</si>
  <si>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</si>
  <si>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</si>
  <si>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</si>
  <si>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</si>
  <si>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</si>
  <si>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</si>
  <si>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</si>
  <si>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</si>
  <si>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</si>
  <si>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</si>
  <si>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</si>
  <si>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</si>
  <si>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</si>
  <si>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</si>
  <si>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</si>
  <si>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</si>
  <si>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</si>
  <si>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</si>
  <si>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</si>
  <si>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</si>
  <si>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</si>
  <si>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</si>
  <si>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</si>
  <si>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</si>
  <si>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</si>
  <si>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</si>
  <si>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</si>
  <si>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</si>
  <si>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</si>
  <si>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</si>
  <si>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</si>
  <si>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</si>
  <si>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</si>
  <si>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</si>
  <si>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</si>
  <si>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</si>
  <si>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</si>
  <si>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</si>
  <si>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</si>
  <si>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</si>
  <si>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</si>
  <si>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</si>
  <si>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</si>
  <si>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</si>
  <si>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</si>
  <si>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</si>
  <si>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</si>
  <si>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</si>
  <si>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</si>
  <si>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</si>
  <si>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</si>
  <si>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</si>
  <si>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</si>
  <si>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</si>
  <si>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</si>
  <si>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</si>
  <si>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</si>
  <si>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</si>
  <si>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</si>
  <si>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</si>
  <si>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</si>
  <si>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</si>
  <si>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</si>
  <si>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</si>
  <si>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</si>
  <si>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</si>
  <si>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</si>
  <si>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</si>
  <si>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</si>
  <si>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</si>
  <si>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</si>
  <si>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</si>
  <si>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</si>
  <si>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</si>
  <si>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</si>
  <si>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</si>
  <si>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</si>
  <si>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</si>
  <si>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</si>
  <si>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</si>
  <si>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</si>
  <si>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</si>
  <si>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</si>
  <si>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</si>
  <si>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</si>
  <si>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</si>
  <si>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</si>
  <si>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</si>
  <si>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</si>
  <si>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</si>
  <si>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</si>
  <si>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</si>
  <si>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</si>
  <si>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</si>
  <si>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</si>
  <si>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</si>
  <si>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</si>
  <si>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</si>
  <si>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</si>
  <si>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</si>
  <si>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</si>
  <si>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</si>
  <si>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</si>
  <si>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</si>
  <si>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</si>
  <si>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</si>
  <si>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</si>
  <si>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</si>
  <si>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</si>
  <si>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</si>
  <si>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</si>
  <si>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</si>
  <si>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</si>
  <si>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</si>
  <si>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</si>
  <si>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</si>
  <si>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</si>
  <si>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</si>
  <si>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</si>
  <si>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</si>
  <si>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</si>
  <si>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</si>
  <si>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</si>
  <si>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</si>
  <si>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</si>
  <si>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</si>
  <si>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</si>
  <si>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</si>
  <si>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</si>
  <si>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</si>
  <si>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</si>
  <si>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</si>
  <si>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</si>
  <si>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</si>
  <si>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</si>
  <si>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</si>
  <si>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</si>
  <si>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</si>
  <si>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</si>
  <si>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</si>
  <si>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</si>
  <si>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</si>
  <si>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</si>
  <si>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</si>
  <si>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</si>
  <si>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</si>
  <si>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</si>
  <si>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</si>
  <si>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</si>
  <si>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</si>
  <si>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</si>
  <si>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</si>
  <si>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</si>
  <si>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</si>
  <si>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</si>
  <si>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</si>
  <si>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</si>
  <si>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</si>
  <si>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</si>
  <si>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</si>
  <si>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</si>
  <si>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</si>
  <si>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</si>
  <si>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</si>
  <si>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</si>
  <si>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</si>
  <si>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</si>
  <si>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</si>
  <si>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</si>
  <si>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</si>
  <si>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</si>
  <si>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</si>
  <si>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</si>
  <si>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</si>
  <si>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</si>
  <si>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</si>
  <si>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</si>
  <si>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</si>
  <si>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</si>
  <si>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</si>
  <si>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</si>
  <si>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</si>
  <si>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</si>
  <si>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</si>
  <si>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</si>
  <si>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</si>
  <si>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</si>
  <si>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</si>
  <si>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</si>
  <si>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</si>
  <si>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</si>
  <si>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</si>
  <si>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</si>
  <si>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</si>
  <si>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</si>
  <si>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</si>
  <si>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</si>
  <si>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</si>
  <si>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</si>
  <si>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</si>
  <si>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</si>
  <si>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</si>
  <si>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</si>
  <si>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</si>
  <si>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</si>
  <si>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</si>
  <si>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</si>
  <si>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</si>
  <si>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</si>
  <si>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</si>
  <si>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</si>
  <si>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</si>
  <si>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</si>
  <si>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</si>
  <si>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</si>
  <si>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</si>
  <si>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</si>
  <si>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</si>
  <si>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</si>
  <si>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</si>
  <si>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</si>
  <si>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</si>
  <si>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</si>
  <si>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</si>
  <si>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</si>
  <si>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</si>
  <si>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</si>
  <si>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</si>
  <si>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</si>
  <si>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</si>
  <si>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</si>
  <si>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</si>
  <si>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</si>
  <si>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</si>
  <si>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</si>
  <si>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</si>
  <si>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</si>
  <si>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</si>
  <si>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</si>
  <si>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</si>
  <si>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</si>
  <si>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</si>
  <si>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</si>
  <si>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</si>
  <si>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</si>
  <si>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</si>
  <si>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</si>
  <si>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</si>
  <si>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</si>
  <si>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</si>
  <si>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</si>
  <si>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</si>
  <si>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</si>
  <si>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</si>
  <si>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</si>
  <si>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</si>
  <si>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</si>
  <si>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</si>
  <si>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</si>
  <si>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</si>
  <si>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</si>
  <si>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</si>
  <si>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</si>
  <si>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</si>
  <si>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</si>
  <si>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</si>
  <si>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</si>
  <si>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</si>
  <si>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</si>
  <si>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</si>
  <si>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</si>
  <si>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</si>
  <si>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</si>
  <si>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</si>
  <si>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</si>
  <si>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</si>
  <si>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</si>
  <si>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</si>
  <si>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</si>
  <si>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</si>
  <si>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</si>
  <si>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</si>
  <si>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</si>
  <si>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</si>
  <si>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</si>
  <si>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</si>
  <si>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</si>
  <si>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</si>
  <si>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</si>
  <si>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</si>
  <si>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</si>
  <si>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</si>
  <si>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</si>
  <si>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</si>
  <si>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</si>
  <si>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</si>
  <si>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</si>
  <si>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</si>
  <si>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</si>
  <si>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</si>
  <si>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</si>
  <si>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</si>
  <si>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</si>
  <si>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</si>
  <si>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</si>
  <si>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</si>
  <si>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</si>
  <si>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</si>
  <si>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</si>
  <si>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</si>
  <si>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</si>
  <si>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</si>
  <si>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</si>
  <si>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</si>
  <si>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</si>
  <si>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</si>
  <si>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</si>
  <si>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</si>
  <si>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</si>
  <si>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</si>
  <si>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</si>
  <si>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</si>
  <si>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</si>
  <si>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</si>
  <si>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</si>
  <si>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</si>
  <si>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</si>
  <si>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</si>
  <si>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</si>
  <si>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</si>
  <si>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</si>
  <si>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</si>
  <si>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</si>
  <si>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</si>
  <si>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</si>
  <si>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</si>
  <si>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</si>
  <si>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</si>
  <si>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</si>
  <si>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</si>
  <si>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</si>
  <si>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</si>
  <si>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</si>
  <si>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</si>
  <si>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</si>
  <si>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</si>
  <si>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</si>
  <si>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</si>
  <si>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</si>
  <si>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</si>
  <si>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</si>
  <si>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</si>
  <si>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</si>
  <si>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</si>
  <si>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</si>
  <si>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</si>
  <si>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</si>
  <si>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</si>
  <si>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</si>
  <si>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</si>
  <si>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</si>
  <si>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</si>
  <si>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</si>
  <si>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</si>
  <si>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</si>
  <si>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</si>
  <si>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</si>
  <si>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</si>
  <si>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</si>
  <si>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</si>
  <si>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</si>
  <si>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</si>
  <si>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</si>
  <si>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</si>
  <si>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</si>
  <si>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</si>
  <si>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</si>
  <si>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</si>
  <si>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</si>
  <si>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</si>
  <si>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</si>
  <si>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</si>
  <si>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</si>
  <si>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</si>
  <si>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</si>
  <si>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</si>
  <si>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</si>
  <si>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</si>
  <si>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</si>
  <si>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</si>
  <si>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</si>
  <si>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</si>
  <si>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</si>
  <si>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</si>
  <si>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</si>
  <si>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</si>
  <si>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</si>
  <si>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</si>
  <si>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</si>
  <si>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</si>
  <si>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</si>
  <si>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</si>
  <si>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</si>
  <si>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</si>
  <si>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</si>
  <si>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</si>
  <si>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</si>
  <si>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</si>
  <si>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</si>
  <si>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</si>
  <si>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</si>
  <si>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</si>
  <si>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</si>
  <si>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</si>
  <si>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</si>
  <si>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</si>
  <si>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</si>
  <si>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</si>
  <si>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</si>
  <si>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</si>
  <si>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</si>
  <si>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</si>
  <si>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</si>
  <si>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</si>
  <si>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</si>
  <si>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</si>
  <si>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</si>
  <si>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</si>
  <si>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</si>
  <si>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</si>
  <si>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</si>
  <si>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</si>
  <si>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</si>
  <si>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</si>
  <si>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</si>
  <si>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</si>
  <si>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</si>
  <si>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</si>
  <si>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</si>
  <si>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</si>
  <si>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</si>
  <si>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</si>
  <si>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</si>
  <si>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</si>
  <si>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</si>
  <si>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</si>
  <si>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</si>
  <si>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</si>
  <si>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</si>
  <si>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</si>
  <si>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</si>
  <si>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</si>
  <si>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</si>
  <si>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</si>
  <si>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</si>
  <si>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</si>
  <si>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</si>
  <si>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</si>
  <si>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</si>
  <si>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</si>
  <si>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</si>
  <si>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</si>
  <si>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</si>
  <si>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</si>
  <si>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</si>
  <si>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</si>
  <si>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</si>
  <si>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</si>
  <si>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</si>
  <si>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</si>
  <si>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</si>
  <si>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</si>
  <si>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</si>
  <si>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</si>
  <si>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</si>
  <si>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</si>
  <si>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</si>
  <si>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</si>
  <si>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</si>
  <si>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</si>
  <si>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</si>
  <si>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</si>
  <si>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</si>
  <si>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</si>
  <si>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</si>
  <si>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</si>
  <si>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</si>
  <si>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</si>
  <si>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</si>
  <si>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</si>
  <si>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</si>
  <si>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</si>
  <si>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</si>
  <si>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</si>
  <si>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</si>
  <si>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</si>
  <si>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</si>
  <si>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</si>
  <si>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</si>
  <si>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</si>
  <si>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</si>
  <si>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</si>
  <si>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</si>
  <si>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</si>
  <si>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</si>
  <si>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</si>
  <si>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</si>
  <si>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</si>
  <si>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</si>
  <si>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</si>
  <si>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</si>
  <si>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</si>
  <si>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</si>
  <si>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</si>
  <si>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</si>
  <si>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</si>
  <si>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</si>
  <si>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</si>
  <si>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</si>
  <si>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</si>
  <si>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</si>
  <si>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</si>
  <si>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</si>
  <si>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</si>
  <si>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</si>
  <si>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</si>
  <si>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</si>
  <si>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</si>
  <si>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</si>
  <si>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</si>
  <si>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</si>
  <si>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</si>
  <si>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</si>
  <si>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</si>
  <si>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</si>
  <si>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</si>
  <si>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</si>
  <si>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</si>
  <si>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</si>
  <si>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</si>
  <si>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</si>
  <si>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</si>
  <si>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</si>
  <si>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</si>
  <si>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</si>
  <si>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</si>
  <si>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</si>
  <si>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</si>
  <si>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</si>
  <si>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</si>
  <si>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</si>
  <si>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</si>
  <si>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</si>
  <si>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</si>
  <si>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</si>
  <si>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</si>
  <si>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</si>
  <si>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</si>
  <si>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</si>
  <si>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</si>
  <si>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</si>
  <si>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</si>
  <si>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</si>
  <si>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</si>
  <si>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</si>
  <si>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</si>
  <si>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</si>
  <si>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</si>
  <si>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</si>
  <si>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</si>
  <si>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</si>
  <si>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</si>
  <si>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</si>
  <si>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</si>
  <si>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</si>
  <si>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</si>
  <si>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</si>
  <si>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</si>
  <si>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</si>
  <si>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</si>
  <si>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</si>
  <si>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</si>
  <si>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</si>
  <si>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</si>
  <si>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</si>
  <si>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</si>
  <si>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</si>
  <si>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</si>
  <si>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</si>
  <si>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</si>
  <si>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</si>
  <si>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</si>
  <si>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</si>
  <si>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</si>
  <si>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</si>
  <si>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</si>
  <si>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</si>
  <si>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</si>
  <si>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</si>
  <si>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</si>
  <si>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</si>
  <si>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</si>
  <si>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</si>
  <si>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</si>
  <si>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</si>
  <si>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</si>
  <si>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</si>
  <si>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</si>
  <si>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</si>
  <si>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</si>
  <si>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</si>
  <si>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</si>
  <si>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</si>
  <si>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</si>
  <si>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</si>
  <si>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</si>
  <si>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</si>
  <si>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</si>
  <si>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</si>
  <si>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</si>
  <si>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</si>
  <si>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</si>
  <si>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</si>
  <si>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</si>
  <si>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</si>
  <si>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</si>
  <si>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</si>
  <si>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</si>
  <si>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</si>
  <si>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</si>
  <si>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</si>
  <si>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</si>
  <si>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</si>
  <si>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</si>
  <si>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</si>
  <si>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</si>
  <si>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</si>
  <si>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</si>
  <si>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</si>
  <si>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</si>
  <si>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</si>
  <si>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</si>
  <si>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</si>
  <si>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</si>
  <si>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</si>
  <si>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</si>
  <si>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</si>
  <si>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</si>
  <si>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</si>
  <si>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</si>
  <si>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</si>
  <si>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</si>
  <si>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</si>
  <si>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</si>
  <si>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</si>
  <si>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</si>
  <si>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</si>
  <si>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</si>
  <si>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</si>
  <si>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</si>
  <si>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</si>
  <si>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</si>
  <si>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</si>
  <si>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</si>
  <si>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</si>
  <si>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</si>
  <si>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</si>
  <si>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</si>
  <si>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</si>
  <si>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</si>
  <si>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</si>
  <si>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</si>
  <si>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</si>
  <si>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</si>
  <si>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</si>
  <si>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</si>
  <si>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</si>
  <si>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</si>
  <si>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</si>
  <si>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</si>
  <si>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</si>
  <si>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</si>
  <si>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</si>
  <si>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</si>
  <si>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</si>
  <si>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</si>
  <si>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</si>
  <si>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</si>
  <si>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</si>
  <si>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</si>
  <si>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</si>
  <si>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</si>
  <si>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</si>
  <si>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</si>
  <si>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</si>
  <si>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</si>
  <si>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</si>
  <si>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</si>
  <si>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</si>
  <si>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</si>
  <si>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</si>
  <si>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</si>
  <si>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</si>
  <si>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</si>
  <si>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</si>
  <si>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</si>
  <si>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</si>
  <si>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</si>
  <si>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</si>
  <si>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</si>
  <si>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</si>
  <si>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</si>
  <si>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</si>
  <si>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</si>
  <si>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</si>
  <si>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</si>
  <si>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</si>
  <si>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</si>
  <si>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</si>
  <si>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</si>
  <si>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</si>
  <si>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</si>
  <si>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</si>
  <si>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</si>
  <si>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</si>
  <si>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</si>
  <si>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</si>
  <si>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</si>
  <si>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</si>
  <si>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</si>
  <si>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</si>
  <si>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</si>
  <si>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</si>
  <si>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</si>
  <si>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</si>
  <si>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</si>
  <si>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</si>
  <si>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</si>
  <si>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</si>
  <si>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</si>
  <si>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</si>
  <si>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</si>
  <si>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</si>
  <si>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</si>
  <si>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</si>
  <si>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</si>
  <si>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</si>
  <si>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</si>
  <si>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</si>
  <si>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</si>
  <si>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</si>
  <si>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</si>
  <si>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</si>
  <si>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</si>
  <si>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</si>
  <si>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</si>
  <si>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</si>
  <si>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</si>
  <si>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</si>
  <si>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</si>
  <si>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</si>
  <si>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</si>
  <si>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</si>
  <si>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</si>
  <si>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</si>
  <si>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</si>
  <si>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</si>
  <si>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</si>
  <si>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</si>
  <si>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</si>
  <si>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</si>
  <si>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</si>
  <si>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</si>
  <si>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</si>
  <si>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</si>
  <si>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</si>
  <si>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</si>
  <si>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</si>
  <si>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</si>
  <si>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</si>
  <si>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</si>
  <si>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</si>
  <si>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</si>
  <si>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</si>
  <si>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</si>
  <si>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</si>
  <si>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</si>
  <si>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</si>
  <si>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</si>
  <si>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</si>
  <si>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</si>
  <si>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</si>
  <si>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</si>
  <si>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</si>
  <si>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</si>
  <si>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</si>
  <si>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</si>
  <si>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</si>
  <si>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</si>
  <si>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</si>
  <si>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</si>
  <si>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</si>
  <si>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</si>
  <si>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</si>
  <si>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</si>
  <si>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</si>
  <si>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</si>
  <si>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</si>
  <si>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</si>
  <si>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</si>
  <si>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</si>
  <si>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</si>
  <si>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</si>
  <si>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</si>
  <si>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</si>
  <si>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</si>
  <si>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</si>
  <si>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</si>
  <si>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</si>
  <si>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</si>
  <si>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</si>
  <si>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</si>
  <si>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</si>
  <si>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</si>
  <si>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</si>
  <si>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</si>
  <si>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</si>
  <si>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</si>
  <si>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</si>
  <si>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</si>
  <si>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</si>
  <si>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</si>
  <si>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</si>
  <si>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</si>
  <si>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</si>
  <si>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</si>
  <si>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</si>
  <si>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</si>
  <si>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</si>
  <si>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</si>
  <si>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</si>
  <si>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</si>
  <si>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</si>
  <si>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</si>
  <si>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</si>
  <si>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</si>
  <si>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</si>
  <si>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</si>
  <si>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</si>
  <si>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</si>
  <si>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</si>
  <si>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</si>
  <si>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</si>
  <si>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</si>
  <si>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</si>
  <si>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</si>
  <si>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</si>
  <si>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</si>
  <si>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</si>
  <si>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</si>
  <si>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</si>
  <si>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</si>
  <si>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</si>
  <si>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</si>
  <si>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</si>
  <si>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</si>
  <si>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</si>
  <si>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</si>
  <si>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</si>
  <si>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</si>
  <si>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</si>
  <si>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</si>
  <si>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</si>
  <si>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</si>
  <si>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</si>
  <si>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</si>
  <si>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</si>
  <si>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</si>
  <si>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</si>
  <si>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</si>
  <si>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</si>
  <si>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</si>
  <si>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</si>
  <si>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</si>
  <si>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</si>
  <si>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</si>
  <si>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</si>
  <si>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</si>
  <si>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</si>
  <si>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</si>
  <si>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</si>
  <si>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</si>
  <si>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</si>
  <si>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</si>
  <si>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</si>
  <si>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</si>
  <si>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</si>
  <si>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</si>
  <si>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</si>
  <si>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</si>
  <si>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</si>
  <si>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</si>
  <si>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</si>
  <si>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</si>
  <si>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</si>
  <si>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</si>
  <si>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</si>
  <si>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</si>
  <si>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</si>
  <si>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</si>
  <si>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</si>
  <si>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</si>
  <si>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</si>
  <si>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</si>
  <si>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</si>
  <si>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</si>
  <si>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</si>
  <si>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</si>
  <si>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</si>
  <si>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</si>
  <si>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</si>
  <si>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</si>
  <si>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</si>
  <si>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</si>
  <si>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</si>
  <si>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</si>
  <si>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</si>
  <si>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</si>
  <si>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</si>
  <si>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</si>
  <si>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</si>
  <si>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</si>
  <si>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</si>
  <si>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</si>
  <si>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</si>
  <si>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</si>
  <si>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</si>
  <si>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</si>
  <si>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</si>
  <si>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</si>
  <si>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</si>
  <si>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</si>
  <si>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</si>
  <si>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</si>
  <si>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</si>
  <si>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</si>
  <si>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</si>
  <si>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</si>
  <si>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</si>
  <si>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</si>
  <si>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</si>
  <si>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</si>
  <si>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</si>
  <si>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</si>
  <si>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</si>
  <si>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</si>
  <si>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</si>
  <si>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</si>
  <si>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</si>
  <si>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</si>
  <si>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</si>
  <si>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</si>
  <si>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</si>
  <si>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</si>
  <si>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</si>
  <si>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</si>
  <si>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</si>
  <si>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</si>
  <si>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</si>
  <si>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</si>
  <si>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</si>
  <si>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</si>
  <si>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</si>
  <si>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</si>
  <si>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</si>
  <si>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</si>
  <si>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</si>
  <si>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</si>
  <si>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</si>
  <si>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</si>
  <si>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</si>
  <si>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</si>
  <si>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</si>
  <si>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</si>
  <si>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</si>
  <si>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</si>
  <si>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</si>
  <si>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</si>
  <si>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</si>
  <si>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</si>
  <si>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</si>
  <si>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</si>
  <si>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</si>
  <si>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</si>
  <si>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</si>
  <si>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</si>
  <si>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</si>
  <si>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</si>
  <si>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</si>
  <si>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</si>
  <si>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</si>
  <si>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</si>
  <si>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</si>
  <si>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</si>
  <si>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</si>
  <si>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</si>
  <si>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</si>
  <si>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</si>
  <si>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</si>
  <si>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</si>
  <si>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</si>
  <si>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</si>
  <si>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</si>
  <si>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</si>
  <si>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</si>
  <si>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</si>
  <si>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</si>
  <si>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</si>
  <si>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</si>
  <si>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</si>
  <si>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</si>
  <si>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</si>
  <si>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</si>
  <si>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</si>
  <si>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</si>
  <si>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</si>
  <si>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</si>
  <si>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</si>
  <si>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</si>
  <si>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</si>
  <si>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</si>
  <si>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</si>
  <si>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</si>
  <si>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</si>
  <si>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</si>
  <si>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</si>
  <si>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</si>
  <si>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</si>
  <si>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</si>
  <si>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</si>
  <si>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</si>
  <si>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</si>
  <si>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</si>
  <si>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</si>
  <si>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</si>
  <si>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</si>
  <si>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</si>
  <si>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</si>
  <si>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</si>
  <si>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</si>
  <si>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</si>
  <si>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</si>
  <si>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</si>
  <si>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</si>
  <si>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</si>
  <si>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</si>
  <si>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</si>
  <si>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</si>
  <si>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</si>
  <si>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</si>
  <si>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</si>
  <si>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</si>
  <si>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</si>
  <si>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</si>
  <si>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</si>
  <si>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</si>
  <si>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</si>
  <si>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</si>
  <si>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</si>
  <si>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</si>
  <si>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</si>
  <si>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</si>
  <si>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</si>
  <si>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</si>
  <si>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</si>
  <si>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</si>
  <si>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</si>
  <si>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</si>
  <si>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</si>
  <si>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</si>
  <si>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</si>
  <si>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</si>
  <si>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</si>
  <si>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</si>
  <si>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</si>
  <si>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</si>
  <si>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</si>
  <si>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</si>
  <si>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</si>
  <si>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</si>
  <si>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</si>
  <si>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</si>
  <si>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</si>
  <si>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</si>
  <si>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</si>
  <si>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</si>
  <si>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</si>
  <si>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</si>
  <si>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</si>
  <si>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</si>
  <si>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</si>
  <si>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</si>
  <si>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</si>
  <si>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</si>
  <si>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</si>
  <si>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</si>
  <si>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</si>
  <si>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</si>
  <si>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</si>
  <si>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</si>
  <si>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</si>
  <si>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</si>
  <si>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</si>
  <si>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</si>
  <si>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</si>
  <si>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</si>
  <si>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</si>
  <si>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</si>
  <si>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</si>
  <si>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</si>
  <si>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</si>
  <si>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</si>
  <si>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</si>
  <si>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</si>
  <si>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</si>
  <si>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</si>
  <si>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</si>
  <si>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</si>
  <si>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</si>
  <si>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</si>
  <si>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</si>
  <si>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</si>
  <si>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</si>
  <si>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</si>
  <si>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</si>
  <si>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</si>
  <si>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</si>
  <si>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</si>
  <si>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</si>
  <si>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</si>
  <si>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</si>
  <si>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</si>
  <si>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</si>
  <si>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</si>
  <si>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</si>
  <si>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</si>
  <si>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</si>
  <si>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</si>
  <si>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</si>
  <si>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</si>
  <si>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</si>
  <si>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</si>
  <si>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</si>
  <si>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</si>
  <si>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</si>
  <si>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</si>
  <si>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</si>
  <si>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</si>
  <si>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</si>
  <si>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</si>
  <si>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</si>
  <si>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</si>
  <si>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</si>
  <si>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</si>
  <si>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</si>
  <si>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</si>
  <si>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</si>
  <si>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</si>
  <si>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</si>
  <si>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</si>
  <si>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</si>
  <si>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</si>
  <si>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</si>
  <si>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</si>
  <si>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</si>
  <si>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</si>
  <si>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</si>
  <si>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</si>
  <si>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</si>
  <si>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</si>
  <si>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</si>
  <si>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</si>
  <si>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</si>
  <si>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</si>
  <si>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</si>
  <si>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</si>
  <si>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</si>
  <si>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</si>
  <si>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</si>
  <si>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</si>
  <si>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</si>
  <si>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</si>
  <si>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</si>
  <si>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</si>
  <si>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</si>
  <si>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</si>
  <si>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</si>
  <si>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</si>
  <si>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</si>
  <si>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</si>
  <si>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</si>
  <si>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</si>
  <si>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</si>
  <si>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</si>
  <si>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</si>
  <si>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</si>
  <si>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</si>
  <si>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</si>
  <si>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</si>
  <si>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</si>
  <si>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</si>
  <si>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</si>
  <si>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</si>
  <si>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</si>
  <si>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</si>
  <si>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</si>
  <si>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</si>
  <si>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</si>
  <si>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</si>
  <si>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</si>
  <si>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</si>
  <si>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</si>
  <si>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</si>
  <si>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</si>
  <si>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</si>
  <si>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</si>
  <si>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</si>
  <si>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</si>
  <si>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</si>
  <si>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</si>
  <si>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</si>
  <si>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</si>
  <si>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</si>
  <si>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</si>
  <si>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</si>
  <si>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</si>
  <si>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</si>
  <si>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</si>
  <si>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</si>
  <si>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</si>
  <si>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</si>
  <si>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</si>
  <si>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</si>
  <si>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</si>
  <si>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</si>
  <si>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</si>
  <si>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</si>
  <si>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</si>
  <si>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</si>
  <si>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</si>
  <si>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</si>
  <si>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</si>
  <si>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</si>
  <si>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</si>
  <si>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</si>
  <si>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</si>
  <si>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</si>
  <si>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</si>
  <si>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</si>
  <si>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</si>
  <si>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</si>
  <si>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</si>
  <si>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</si>
  <si>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</si>
  <si>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</si>
  <si>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</si>
  <si>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</si>
  <si>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</si>
  <si>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</si>
  <si>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</si>
  <si>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</si>
  <si>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</si>
  <si>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</si>
  <si>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</si>
  <si>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</si>
  <si>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</si>
  <si>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</si>
  <si>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</si>
  <si>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</si>
  <si>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</si>
  <si>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</si>
  <si>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</si>
  <si>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</si>
  <si>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</si>
  <si>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</si>
  <si>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</si>
  <si>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</si>
  <si>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</si>
  <si>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</si>
  <si>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</si>
  <si>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</si>
  <si>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</si>
  <si>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</si>
  <si>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</si>
  <si>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</si>
  <si>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</si>
  <si>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</si>
  <si>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</si>
  <si>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</si>
  <si>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</si>
  <si>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</si>
  <si>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</si>
  <si>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</si>
  <si>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</si>
  <si>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</si>
  <si>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</si>
  <si>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</si>
  <si>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</si>
  <si>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</si>
  <si>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</si>
  <si>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</si>
  <si>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</si>
  <si>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</si>
  <si>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</si>
  <si>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</si>
  <si>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</si>
  <si>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</si>
  <si>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</si>
  <si>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</si>
  <si>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</si>
  <si>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</si>
  <si>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</si>
  <si>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</si>
  <si>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</si>
  <si>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</si>
  <si>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</si>
  <si>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</si>
  <si>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</si>
  <si>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</si>
  <si>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</si>
  <si>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</si>
  <si>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</si>
  <si>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</si>
  <si>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</si>
  <si>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</si>
  <si>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</si>
  <si>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</si>
  <si>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</si>
  <si>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</si>
  <si>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</si>
  <si>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</si>
  <si>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</si>
  <si>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</si>
  <si>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</si>
  <si>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</si>
  <si>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</si>
  <si>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</si>
  <si>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</si>
  <si>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</si>
  <si>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</si>
  <si>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</si>
  <si>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</si>
  <si>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</si>
  <si>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</si>
  <si>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</si>
  <si>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</si>
  <si>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</si>
  <si>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</si>
  <si>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</si>
  <si>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</si>
  <si>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</si>
  <si>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</si>
  <si>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</si>
  <si>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</si>
  <si>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</si>
  <si>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</si>
  <si>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</si>
  <si>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</si>
  <si>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</si>
  <si>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</si>
  <si>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</si>
  <si>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</si>
  <si>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</si>
  <si>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</si>
  <si>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</si>
  <si>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</si>
  <si>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</si>
  <si>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</si>
  <si>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</si>
  <si>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</si>
  <si>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</si>
  <si>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</si>
  <si>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</si>
  <si>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</si>
  <si>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</si>
  <si>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</si>
  <si>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</si>
  <si>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</si>
  <si>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</si>
  <si>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</si>
  <si>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</si>
  <si>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</si>
  <si>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</si>
  <si>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</si>
  <si>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</si>
  <si>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</si>
  <si>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</si>
  <si>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</si>
  <si>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</si>
  <si>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</si>
  <si>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</si>
  <si>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</si>
  <si>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</si>
  <si>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</si>
  <si>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</si>
  <si>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</si>
  <si>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</si>
  <si>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</si>
  <si>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</si>
  <si>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</si>
  <si>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</si>
  <si>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</si>
  <si>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</si>
  <si>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</si>
  <si>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</si>
  <si>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</si>
  <si>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</si>
  <si>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</si>
  <si>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</si>
  <si>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</si>
  <si>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</si>
  <si>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</si>
  <si>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</si>
  <si>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</si>
  <si>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</si>
  <si>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</si>
  <si>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</si>
  <si>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</si>
  <si>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</si>
  <si>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</si>
  <si>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</si>
  <si>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</si>
  <si>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</si>
  <si>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</si>
  <si>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</si>
  <si>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</si>
  <si>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</si>
  <si>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</si>
  <si>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</si>
  <si>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</si>
  <si>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</si>
  <si>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</si>
  <si>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</si>
  <si>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</si>
  <si>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</si>
  <si>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</si>
  <si>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</si>
  <si>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</si>
  <si>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</si>
  <si>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</si>
  <si>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</si>
  <si>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</si>
  <si>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</si>
  <si>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</si>
  <si>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</si>
  <si>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</si>
  <si>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</si>
  <si>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</si>
  <si>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</si>
  <si>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</si>
  <si>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</si>
  <si>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</si>
  <si>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</si>
  <si>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</si>
  <si>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</si>
  <si>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</si>
  <si>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</si>
  <si>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</si>
  <si>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</si>
  <si>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</si>
  <si>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</si>
  <si>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</si>
  <si>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</si>
  <si>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</si>
  <si>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</si>
  <si>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</si>
  <si>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</si>
  <si>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</si>
  <si>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</si>
  <si>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</si>
  <si>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</si>
  <si>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</si>
  <si>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</si>
  <si>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</si>
  <si>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</si>
  <si>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</si>
  <si>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</si>
  <si>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</si>
  <si>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</si>
  <si>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</si>
  <si>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</si>
  <si>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</si>
  <si>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</si>
  <si>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</si>
  <si>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</si>
  <si>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</si>
  <si>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</si>
  <si>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</si>
  <si>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</si>
  <si>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</si>
  <si>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</si>
  <si>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</si>
  <si>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</si>
  <si>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</si>
  <si>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</si>
  <si>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</si>
  <si>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</si>
  <si>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</si>
  <si>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</si>
  <si>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</si>
  <si>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</si>
  <si>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</si>
  <si>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</si>
  <si>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</si>
  <si>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</si>
  <si>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</si>
  <si>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</si>
  <si>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</si>
  <si>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</si>
  <si>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</si>
  <si>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</si>
  <si>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</si>
  <si>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</si>
  <si>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</si>
  <si>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</si>
  <si>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</si>
  <si>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</si>
  <si>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</si>
  <si>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</si>
  <si>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</si>
  <si>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</si>
  <si>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</si>
  <si>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</si>
  <si>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</si>
  <si>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</si>
  <si>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</si>
  <si>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</si>
  <si>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</si>
  <si>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</si>
  <si>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</si>
  <si>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</si>
  <si>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</si>
  <si>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</si>
  <si>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</si>
  <si>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</si>
  <si>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</si>
  <si>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</si>
  <si>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</si>
  <si>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</si>
  <si>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</si>
  <si>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</si>
  <si>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</si>
  <si>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</si>
  <si>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</si>
  <si>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</si>
  <si>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</si>
  <si>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</si>
  <si>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</si>
  <si>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</si>
  <si>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</si>
  <si>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</si>
  <si>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</si>
  <si>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</si>
  <si>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</si>
  <si>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</si>
  <si>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</si>
  <si>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</si>
  <si>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</si>
  <si>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</si>
  <si>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</si>
  <si>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</si>
  <si>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</si>
  <si>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</si>
  <si>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</si>
  <si>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</si>
  <si>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</si>
  <si>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</si>
  <si>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</si>
  <si>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</si>
  <si>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</si>
  <si>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</si>
  <si>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</si>
  <si>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</si>
  <si>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</si>
  <si>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</si>
  <si>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</si>
  <si>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</si>
  <si>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</si>
  <si>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</si>
  <si>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</si>
  <si>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</si>
  <si>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</si>
  <si>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</si>
  <si>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</si>
  <si>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</si>
  <si>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</si>
  <si>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</si>
  <si>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</si>
  <si>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</si>
  <si>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</si>
  <si>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</si>
  <si>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</si>
  <si>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</si>
  <si>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</si>
  <si>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</si>
  <si>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</si>
  <si>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</si>
  <si>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</si>
  <si>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</si>
  <si>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</si>
  <si>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</si>
  <si>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</si>
  <si>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</si>
  <si>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</si>
  <si>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</si>
  <si>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</si>
  <si>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</si>
  <si>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</si>
  <si>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</si>
  <si>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</si>
  <si>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</si>
  <si>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</si>
  <si>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</si>
  <si>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</si>
  <si>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</si>
  <si>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</si>
  <si>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</si>
  <si>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</si>
  <si>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</si>
  <si>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</si>
  <si>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</si>
  <si>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</si>
  <si>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</si>
  <si>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</si>
  <si>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</si>
  <si>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</si>
  <si>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</si>
  <si>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</si>
  <si>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</si>
  <si>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</si>
  <si>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</si>
  <si>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</si>
  <si>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</si>
  <si>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</si>
  <si>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</si>
  <si>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</si>
  <si>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</si>
  <si>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</si>
  <si>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</si>
  <si>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</si>
  <si>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</si>
  <si>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</si>
  <si>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</si>
  <si>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</si>
  <si>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</si>
  <si>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</si>
  <si>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</si>
  <si>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</si>
  <si>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</si>
  <si>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</si>
  <si>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</si>
  <si>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</si>
  <si>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</si>
  <si>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</si>
  <si>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</si>
  <si>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r>
      <rPr>
        <sz val="12"/>
        <rFont val="細明體"/>
        <family val="3"/>
        <charset val="136"/>
      </rPr>
      <t>《</t>
    </r>
    <r>
      <rPr>
        <sz val="12"/>
        <rFont val="Arial"/>
        <family val="2"/>
      </rPr>
      <t>Gear Fight</t>
    </r>
    <r>
      <rPr>
        <sz val="12"/>
        <rFont val="細明體"/>
        <family val="3"/>
        <charset val="136"/>
      </rPr>
      <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r>
    <phoneticPr fontId="2" type="noConversion"/>
  </si>
  <si>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</si>
  <si>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</si>
  <si>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</si>
  <si>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</si>
  <si>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</si>
  <si>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</si>
  <si>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</si>
  <si>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</si>
  <si>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</si>
  <si>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</si>
  <si>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</si>
  <si>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r>
      <rPr>
        <sz val="12"/>
        <rFont val="細明體"/>
        <family val="3"/>
        <charset val="136"/>
      </rPr>
      <t>《救世者之樹</t>
    </r>
    <r>
      <rPr>
        <sz val="12"/>
        <rFont val="Arial"/>
        <family val="2"/>
      </rPr>
      <t xml:space="preserve"> M</t>
    </r>
    <r>
      <rPr>
        <sz val="12"/>
        <rFont val="細明體"/>
        <family val="3"/>
        <charset val="136"/>
      </rPr>
      <t>》是經典</t>
    </r>
    <r>
      <rPr>
        <sz val="12"/>
        <rFont val="Arial"/>
        <family val="2"/>
      </rPr>
      <t>PC</t>
    </r>
    <r>
      <rPr>
        <sz val="12"/>
        <rFont val="細明體"/>
        <family val="3"/>
        <charset val="136"/>
      </rPr>
      <t>線上遊戲《救世者之樹》的全新</t>
    </r>
    <r>
      <rPr>
        <sz val="12"/>
        <rFont val="Arial"/>
        <family val="2"/>
      </rPr>
      <t>MMORPG</t>
    </r>
    <r>
      <rPr>
        <sz val="12"/>
        <rFont val="細明體"/>
        <family val="3"/>
        <charset val="136"/>
      </rPr>
      <t>手機版，完美繼承了其獨樹一幟的童話繪本美術風格。遊戲以精緻的</t>
    </r>
    <r>
      <rPr>
        <sz val="12"/>
        <rFont val="Arial"/>
        <family val="2"/>
      </rPr>
      <t>3D</t>
    </r>
    <r>
      <rPr>
        <sz val="12"/>
        <rFont val="細明體"/>
        <family val="3"/>
        <charset val="136"/>
      </rPr>
      <t>場景搭配經典的</t>
    </r>
    <r>
      <rPr>
        <sz val="12"/>
        <rFont val="Arial"/>
        <family val="2"/>
      </rPr>
      <t>2D</t>
    </r>
    <r>
      <rPr>
        <sz val="12"/>
        <rFont val="細明體"/>
        <family val="3"/>
        <charset val="136"/>
      </rPr>
      <t>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t>
    </r>
    <r>
      <rPr>
        <sz val="12"/>
        <rFont val="Arial"/>
        <family val="2"/>
      </rPr>
      <t>BOSS</t>
    </r>
    <r>
      <rPr>
        <sz val="12"/>
        <rFont val="細明體"/>
        <family val="3"/>
        <charset val="136"/>
      </rPr>
      <t>。</t>
    </r>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</si>
  <si>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</si>
  <si>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</si>
  <si>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</si>
  <si>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</si>
  <si>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</si>
  <si>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</si>
  <si>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</si>
  <si>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</si>
  <si>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</si>
  <si>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</si>
  <si>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</si>
  <si>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</si>
  <si>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</si>
  <si>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</si>
  <si>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</si>
  <si>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</si>
  <si>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</si>
  <si>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</si>
  <si>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</si>
  <si>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</si>
  <si>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</si>
  <si>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</si>
  <si>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</si>
  <si>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</si>
  <si>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</si>
  <si>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</si>
  <si>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</si>
  <si>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</si>
  <si>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</si>
  <si>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</si>
  <si>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</si>
  <si>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</si>
  <si>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</si>
  <si>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</si>
  <si>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</si>
  <si>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</si>
  <si>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</si>
  <si>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</si>
  <si>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</si>
  <si>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</si>
  <si>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</si>
  <si>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</si>
  <si>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</si>
  <si>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</si>
  <si>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</si>
  <si>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</si>
  <si>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r>
      <rPr>
        <sz val="12"/>
        <rFont val="細明體"/>
        <family val="3"/>
        <charset val="136"/>
      </rPr>
      <t>還在為推不過戰役、只能在指揮中心望著老婆嘆氣而煩惱嗎？《勝利女神：妮姬》是一款以末世為背景的第三人稱射擊</t>
    </r>
    <r>
      <rPr>
        <sz val="12"/>
        <rFont val="Arial"/>
        <family val="2"/>
      </rPr>
      <t>RPG</t>
    </r>
    <r>
      <rPr>
        <sz val="12"/>
        <rFont val="細明體"/>
        <family val="3"/>
        <charset val="136"/>
      </rPr>
      <t>，主打精美的角色立繪與爽快的射擊手感。想讓您的妮姬戰力突飛猛進，不再被萊徹按在地上摩擦？除了到處跪求那些虛無飄渺的禮包碼與兌換碼，不如來點實際的。</t>
    </r>
    <r>
      <rPr>
        <sz val="12"/>
        <rFont val="Arial"/>
        <family val="2"/>
      </rPr>
      <t xml:space="preserve">SSbuy </t>
    </r>
    <r>
      <rPr>
        <sz val="12"/>
        <rFont val="細明體"/>
        <family val="3"/>
        <charset val="136"/>
      </rPr>
      <t>提供最專業的代儲值服務，讓您用最划算的價格武裝您的老婆們，輕鬆突破</t>
    </r>
    <r>
      <rPr>
        <sz val="12"/>
        <rFont val="Arial"/>
        <family val="2"/>
      </rPr>
      <t>160</t>
    </r>
    <r>
      <rPr>
        <sz val="12"/>
        <rFont val="細明體"/>
        <family val="3"/>
        <charset val="136"/>
      </rPr>
      <t>等級的高牆，別再猶豫了，指揮官，是時候讓她們見識真正的火力了！</t>
    </r>
    <phoneticPr fontId="2" type="noConversion"/>
  </si>
  <si>
    <r>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，不如直接釜底抽薪。選擇 SSbuy 最可靠的</t>
    </r>
    <r>
      <rPr>
        <b/>
        <sz val="12"/>
        <color theme="1"/>
        <rFont val="新細明體"/>
        <family val="1"/>
        <charset val="136"/>
        <scheme val="minor"/>
      </rPr>
      <t>代儲值</t>
    </r>
    <r>
      <rPr>
        <sz val="12"/>
        <color theme="1"/>
        <rFont val="新細明體"/>
        <family val="2"/>
        <scheme val="minor"/>
      </rPr>
      <t>服務，讓您有足夠的資源抽到心儀的傳奇玩具，輕鬆碾壓對手。別再當陪跑的龍套了，是時候讓您的玩具成為全場最靚的仔！</t>
    </r>
  </si>
  <si>
    <r>
      <t>指揮官，您還在為守不住那幾波小怪而焦頭爛額嗎？《小兵來支援》是一款主打合成升級與 Roguelike 策略的創新塔防遊戲。看著別人的小兵都進化成鋼鐵巨獸，自己的還在原地踏步，心裡肯定不是滋味。網路上那些所謂的</t>
    </r>
    <r>
      <rPr>
        <b/>
        <sz val="12"/>
        <color theme="1"/>
        <rFont val="新細明體"/>
        <family val="1"/>
        <charset val="136"/>
        <scheme val="minor"/>
      </rPr>
      <t>禮包碼</t>
    </r>
    <r>
      <rPr>
        <sz val="12"/>
        <color theme="1"/>
        <rFont val="新細明體"/>
        <family val="2"/>
        <scheme val="minor"/>
      </rPr>
      <t>、</t>
    </r>
    <r>
      <rPr>
        <b/>
        <sz val="12"/>
        <color theme="1"/>
        <rFont val="新細明體"/>
        <family val="1"/>
        <charset val="136"/>
        <scheme val="minor"/>
      </rPr>
      <t>兌換碼</t>
    </r>
    <r>
      <rPr>
        <sz val="12"/>
        <color theme="1"/>
        <rFont val="新細明體"/>
        <family val="2"/>
        <scheme val="minor"/>
      </rPr>
      <t>，領到的獎勵可能還不夠塞牙縫。與其浪費時間，不如考慮 SSbuy 提供的極速</t>
    </r>
    <r>
      <rPr>
        <b/>
        <sz val="12"/>
        <color theme="1"/>
        <rFont val="新細明體"/>
        <family val="1"/>
        <charset val="136"/>
        <scheme val="minor"/>
      </rPr>
      <t>代儲值</t>
    </r>
    <r>
      <rPr>
        <sz val="12"/>
        <color theme="1"/>
        <rFont val="新細明體"/>
        <family val="2"/>
        <scheme val="minor"/>
      </rPr>
      <t>服務，讓您的資源瞬間爆倉，想怎麼合就怎麼合，輕鬆打造出讓敵人聞風喪膽的無敵大軍。別再讓您的小兵哭泣了，給他們最好的支援吧！</t>
    </r>
  </si>
  <si>
    <r>
      <t>還在被滿螢幕的彈幕追著跑，像個無助的原始人嗎？《野龍小隊》是一款結合 Roguelike 與彈幕射擊的恐龍主題手遊。看著別人的恐龍坐騎帥氣噴火，您的龍寶寶還在旁邊玩泥巴，這能忍？網路上流傳的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早就被領光了，剩下的都是些安慰獎。想讓您的恐龍一步到位，直接進化成食物鏈頂端的掠食者？來試試 SSbuy 最效率的</t>
    </r>
    <r>
      <rPr>
        <b/>
        <sz val="12"/>
        <color theme="1"/>
        <rFont val="新細明體"/>
        <family val="1"/>
        <charset val="136"/>
        <scheme val="minor"/>
      </rPr>
      <t>代儲值</t>
    </r>
    <r>
      <rPr>
        <sz val="12"/>
        <color theme="1"/>
        <rFont val="新細明體"/>
        <family val="2"/>
        <scheme val="minor"/>
      </rPr>
      <t>，用最少的花費換取最大的戰力提升，讓您在彈幕中橫著走。別再躲了，是時候讓對手嚐嚐被龍息支配的恐懼了！</t>
    </r>
  </si>
  <si>
    <r>
      <t>還在當一隻人見人欺的軟萌史萊姆嗎？《姆姆鬥惡龍: I-SLIME》是一款讓您從最底層開始進化的放置 RPG 手遊。看著排行榜上的大佬們都變成了毀天滅地的魔王，而您還在新手村吞小草，這合理嗎？網路上那些所謂的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，給的資源可能還不夠您升一級。想跳過漫長的農怪過程，直接體驗當 BOSS 的快感？選擇 SSbuy 最優惠的</t>
    </r>
    <r>
      <rPr>
        <b/>
        <sz val="12"/>
        <color theme="1"/>
        <rFont val="新細明體"/>
        <family val="1"/>
        <charset val="136"/>
        <scheme val="minor"/>
      </rPr>
      <t>代儲值</t>
    </r>
    <r>
      <rPr>
        <sz val="12"/>
        <color theme="1"/>
        <rFont val="新細明體"/>
        <family val="2"/>
        <scheme val="minor"/>
      </rPr>
      <t>服務，讓您的姆姆直接嗑滿經驗藥水，裝備神裝，一步到位。別再慢慢吞了，是時候讓世界見識史萊姆的真正實力了！</t>
    </r>
  </si>
  <si>
    <r>
      <t>指揮官，您的避難所是不是又被幾隻殭屍小嘍囉給突破了？《BangBang殭屍-避難所戰爭》是一款末日生存塔防手遊。看著別人的防線固若金湯，英雄火力全開，而您的砲塔還在刮痧，這像話嗎？網路上那些早就被領爛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，給的資源還不夠修補圍牆的缺口。想讓您的避-難所成為殭屍絕不敢靠近的禁區？選擇 SSbuy 最划算的</t>
    </r>
    <r>
      <rPr>
        <b/>
        <sz val="12"/>
        <color theme="1"/>
        <rFont val="新細明體"/>
        <family val="1"/>
        <charset val="136"/>
        <scheme val="minor"/>
      </rPr>
      <t>代儲值</t>
    </r>
    <r>
      <rPr>
        <sz val="12"/>
        <color theme="1"/>
        <rFont val="新細明體"/>
        <family val="2"/>
        <scheme val="minor"/>
      </rPr>
      <t>服務，讓您的資源直接滿倉，英雄升到頂級，輕鬆體驗割草的快感。別再掙扎求生了，是時候讓殭屍們感受什麼叫做絕望了！</t>
    </r>
  </si>
  <si>
    <t>https://apps.apple.com/sg/app/%E4%B8%BB%E5%85%AC%E8%B6%85%E6%9C%83%E9%96%83/id6743072374</t>
    <phoneticPr fontId="2" type="noConversion"/>
  </si>
  <si>
    <r>
      <rPr>
        <sz val="12"/>
        <rFont val="細明體"/>
        <family val="3"/>
        <charset val="136"/>
      </rPr>
      <t>還在煩惱武將不夠力，推圖總是被小兵擋路嗎？《主公超會閃》是一款</t>
    </r>
    <r>
      <rPr>
        <sz val="12"/>
        <rFont val="Arial"/>
        <family val="2"/>
      </rPr>
      <t xml:space="preserve"> Q </t>
    </r>
    <r>
      <rPr>
        <sz val="12"/>
        <rFont val="細明體"/>
        <family val="3"/>
        <charset val="136"/>
      </rPr>
      <t>版三國題材的放置卡牌</t>
    </r>
    <r>
      <rPr>
        <sz val="12"/>
        <rFont val="Arial"/>
        <family val="2"/>
      </rPr>
      <t xml:space="preserve"> RPG</t>
    </r>
    <r>
      <rPr>
        <sz val="12"/>
        <rFont val="細明體"/>
        <family val="3"/>
        <charset val="136"/>
      </rPr>
      <t>，以其輕鬆詼諧的風格和豐富的武將收集系統，帶給玩家無負擔的遊戲樂趣。想要快人一步集齊所有心儀的</t>
    </r>
    <r>
      <rPr>
        <sz val="12"/>
        <rFont val="Arial"/>
        <family val="2"/>
      </rPr>
      <t xml:space="preserve"> Q </t>
    </r>
    <r>
      <rPr>
        <sz val="12"/>
        <rFont val="細明體"/>
        <family val="3"/>
        <charset val="136"/>
      </rPr>
      <t>萌神將，在競技場上大殺四方？除了上網苦苦搜尋那些稀有的禮包碼與兌換碼，不如選擇</t>
    </r>
    <r>
      <rPr>
        <sz val="12"/>
        <rFont val="Arial"/>
        <family val="2"/>
      </rPr>
      <t xml:space="preserve"> SSbuy </t>
    </r>
    <r>
      <rPr>
        <sz val="12"/>
        <rFont val="細明體"/>
        <family val="3"/>
        <charset val="136"/>
      </rPr>
      <t>提供的快速代儲值服務，讓您輕鬆入手核心武將，資源多到用不完。別再靠運氣抽卡了，主公，是時候用實力碾壓全場！</t>
    </r>
    <phoneticPr fontId="2" type="noConversion"/>
  </si>
  <si>
    <r>
      <rPr>
        <sz val="12"/>
        <rFont val="細明體"/>
        <family val="3"/>
        <charset val="136"/>
      </rPr>
      <t>想在浩瀚的宇宙中建立屬於自己的不朽帝國嗎？《天命</t>
    </r>
    <r>
      <rPr>
        <sz val="12"/>
        <rFont val="Arial"/>
        <family val="2"/>
      </rPr>
      <t>:</t>
    </r>
    <r>
      <rPr>
        <sz val="12"/>
        <rFont val="細明體"/>
        <family val="3"/>
        <charset val="136"/>
      </rPr>
      <t>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t>
    </r>
    <r>
      <rPr>
        <sz val="12"/>
        <rFont val="Arial"/>
        <family val="2"/>
      </rPr>
      <t xml:space="preserve">SSbuy </t>
    </r>
    <r>
      <rPr>
        <sz val="12"/>
        <rFont val="細明體"/>
        <family val="3"/>
        <charset val="136"/>
      </rPr>
      <t>提供最安全的代儲值服務，助您快速升級基地、解鎖傳奇艦船，在星際戰爭中取得絕對優勢，實現稱霸宇宙的野望！</t>
    </r>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</si>
  <si>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</si>
  <si>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</si>
  <si>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</si>
  <si>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</si>
  <si>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</si>
  <si>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</si>
  <si>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</si>
  <si>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</si>
  <si>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</si>
  <si>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</si>
  <si>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</si>
  <si>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</si>
  <si>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</si>
  <si>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</si>
  <si>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</si>
  <si>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</si>
  <si>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</si>
  <si>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</si>
  <si>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</si>
  <si>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</si>
  <si>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</si>
  <si>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</si>
  <si>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</si>
  <si>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</si>
  <si>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</si>
  <si>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</si>
  <si>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</si>
  <si>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</si>
  <si>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</si>
  <si>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</si>
  <si>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</si>
  <si>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</si>
  <si>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</si>
  <si>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</si>
  <si>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</si>
  <si>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</si>
  <si>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</si>
  <si>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</si>
  <si>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</si>
  <si>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</si>
  <si>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</si>
  <si>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</si>
  <si>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</si>
  <si>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</si>
  <si>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</si>
  <si>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</si>
  <si>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</si>
  <si>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</si>
  <si>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</si>
  <si>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</si>
  <si>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</si>
  <si>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</si>
  <si>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</si>
  <si>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</si>
  <si>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</si>
  <si>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</si>
  <si>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</si>
  <si>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</si>
  <si>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</si>
  <si>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</si>
  <si>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</si>
  <si>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</si>
  <si>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</si>
  <si>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</si>
  <si>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</si>
  <si>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</si>
  <si>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</si>
  <si>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</si>
  <si>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</si>
  <si>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</si>
  <si>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</si>
  <si>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</si>
  <si>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</si>
  <si>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</si>
  <si>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</si>
  <si>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</si>
  <si>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</si>
  <si>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</si>
  <si>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</si>
  <si>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</si>
  <si>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</si>
  <si>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</si>
  <si>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</si>
  <si>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</si>
  <si>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</si>
  <si>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</si>
  <si>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</si>
  <si>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</si>
  <si>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</si>
  <si>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</si>
  <si>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</si>
  <si>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</si>
  <si>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</si>
  <si>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</si>
  <si>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</si>
  <si>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</si>
  <si>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</si>
  <si>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</si>
  <si>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</si>
  <si>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</si>
  <si>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</si>
  <si>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</si>
  <si>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</si>
  <si>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</si>
  <si>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</si>
  <si>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</si>
  <si>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</si>
  <si>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</si>
  <si>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</si>
  <si>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</si>
  <si>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</si>
  <si>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</si>
  <si>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</si>
  <si>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</si>
  <si>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</si>
  <si>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</si>
  <si>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</si>
  <si>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</si>
  <si>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女神契約：異世界遠征隊</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</si>
  <si>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</si>
  <si>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</si>
  <si>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</si>
  <si>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</si>
  <si>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</si>
  <si>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</si>
  <si>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</si>
  <si>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</si>
  <si>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</si>
  <si>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</si>
  <si>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</si>
  <si>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</si>
  <si>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</si>
  <si>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</si>
  <si>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</si>
  <si>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</si>
  <si>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r>
      <rPr>
        <sz val="12"/>
        <rFont val="細明體"/>
        <family val="3"/>
        <charset val="136"/>
      </rPr>
      <t>歡迎來到《血影雙生》，一款讓你再度體驗上班打卡的東方幻想</t>
    </r>
    <r>
      <rPr>
        <sz val="12"/>
        <rFont val="Arial"/>
        <family val="2"/>
      </rPr>
      <t>MMORPG</t>
    </r>
    <r>
      <rPr>
        <sz val="12"/>
        <rFont val="細明體"/>
        <family val="3"/>
        <charset val="136"/>
      </rPr>
      <t>。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r>
    <phoneticPr fontId="2" type="noConversion"/>
  </si>
  <si>
    <r>
      <rPr>
        <sz val="12"/>
        <rFont val="細明體"/>
        <family val="3"/>
        <charset val="136"/>
      </rPr>
      <t>《我的勇者外傳》完美詮釋了什麼叫做「我玩遊戲，但又沒完全在玩」。這款像素風放置</t>
    </r>
    <r>
      <rPr>
        <sz val="12"/>
        <rFont val="Arial"/>
        <family val="2"/>
      </rPr>
      <t>RPG</t>
    </r>
    <r>
      <rPr>
        <sz val="12"/>
        <rFont val="細明體"/>
        <family val="3"/>
        <charset val="136"/>
      </rPr>
      <t>，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t>
    </r>
    <r>
      <rPr>
        <sz val="12"/>
        <rFont val="Arial"/>
        <family val="2"/>
      </rPr>
      <t>EXCEL</t>
    </r>
    <r>
      <rPr>
        <sz val="12"/>
        <rFont val="細明體"/>
        <family val="3"/>
        <charset val="136"/>
      </rPr>
      <t>表格養成之旅吧。</t>
    </r>
    <phoneticPr fontId="2" type="noConversion"/>
  </si>
  <si>
    <r>
      <rPr>
        <sz val="12"/>
        <rFont val="細明體"/>
        <family val="3"/>
        <charset val="136"/>
      </rPr>
      <t>隆重介紹，最新款的電子老婆收藏模擬器</t>
    </r>
    <r>
      <rPr>
        <sz val="12"/>
        <rFont val="Arial"/>
        <family val="2"/>
      </rPr>
      <t>——</t>
    </r>
    <r>
      <rPr>
        <sz val="12"/>
        <rFont val="細明體"/>
        <family val="3"/>
        <charset val="136"/>
      </rPr>
      <t>《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t>
    </r>
    <r>
      <rPr>
        <sz val="12"/>
        <rFont val="Arial"/>
        <family val="2"/>
      </rPr>
      <t>SSR</t>
    </r>
    <r>
      <rPr>
        <sz val="12"/>
        <rFont val="細明體"/>
        <family val="3"/>
        <charset val="136"/>
      </rPr>
      <t>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r>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</si>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</sst>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61" Type="http://schemas.openxmlformats.org/officeDocument/2006/relationships/hyperlink" Target="https://tosm-treeofsavior.beanfun.com/main"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2"/>
  <sheetViews>
    <sheetView zoomScaleNormal="100" workbookViewId="0">
      <pane xSplit="1" ySplit="1" topLeftCell="D174" activePane="bottomRight" state="frozen"/>
      <selection pane="topRight" activeCell="B1" sqref="B1"/>
      <selection pane="bottomLeft" activeCell="A2" sqref="A2"/>
      <selection pane="bottomRight" activeCell="V208" sqref="V208:W208"/>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3"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3" si="8">IF(A192="", "", "gift-codes.html?game=" &amp; A192)</f>
        <v>gift-codes.html?game=荒野亂鬥</v>
      </c>
      <c r="G192" s="23" t="s">
        <v>3583</v>
      </c>
      <c r="H192" s="10" t="str">
        <f t="shared" si="7"/>
        <v>https://www.ssbuy.tw/game-detail.html?game=荒野亂鬥</v>
      </c>
      <c r="I192" s="39" t="s">
        <v>3633</v>
      </c>
      <c r="J192" s="38"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8"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s="30" t="s">
        <v>3634</v>
      </c>
      <c r="J194" s="38"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39" t="s">
        <v>3635</v>
      </c>
      <c r="J195" s="38"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8"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8"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thickBot="1" x14ac:dyDescent="0.25">
      <c r="A198" s="1" t="s">
        <v>3681</v>
      </c>
      <c r="C198" s="1" t="s">
        <v>3685</v>
      </c>
      <c r="D198" s="23" t="s">
        <v>3684</v>
      </c>
      <c r="E198" s="23" t="s">
        <v>3682</v>
      </c>
      <c r="F198" s="8" t="str">
        <f t="shared" si="8"/>
        <v>gift-codes.html?game=Gear Fight!</v>
      </c>
      <c r="G198" s="23" t="s">
        <v>3683</v>
      </c>
      <c r="H198" s="10" t="str">
        <f t="shared" si="7"/>
        <v>https://www.ssbuy.tw/game-detail.html?game=Gear Fight!</v>
      </c>
      <c r="I198" s="39" t="s">
        <v>3686</v>
      </c>
      <c r="J198" s="38" t="s">
        <v>3687</v>
      </c>
      <c r="K198" s="4">
        <v>780</v>
      </c>
      <c r="L198" s="3" t="s">
        <v>3688</v>
      </c>
      <c r="M198" s="4">
        <v>232</v>
      </c>
      <c r="N198" s="3" t="s">
        <v>3689</v>
      </c>
      <c r="O198" s="4">
        <v>51</v>
      </c>
      <c r="P198" s="3" t="s">
        <v>3690</v>
      </c>
      <c r="Q198" s="4">
        <v>232</v>
      </c>
      <c r="R198" s="3" t="s">
        <v>3691</v>
      </c>
      <c r="S198" s="4">
        <v>391</v>
      </c>
      <c r="T198" s="3" t="s">
        <v>3692</v>
      </c>
      <c r="U198" s="4">
        <v>256</v>
      </c>
    </row>
    <row r="199" spans="1:33" ht="23.25" customHeight="1" thickBot="1" x14ac:dyDescent="0.25">
      <c r="A199" s="22" t="s">
        <v>3694</v>
      </c>
      <c r="C199" s="24" t="s">
        <v>3697</v>
      </c>
      <c r="D199" s="23" t="s">
        <v>3696</v>
      </c>
      <c r="E199" s="23" t="s">
        <v>3695</v>
      </c>
      <c r="F199" s="8" t="str">
        <f t="shared" si="8"/>
        <v>gift-codes.html?game=救世者之樹 M</v>
      </c>
      <c r="G199" s="23" t="s">
        <v>3693</v>
      </c>
      <c r="H199" s="10" t="str">
        <f t="shared" si="7"/>
        <v>https://www.ssbuy.tw/game-detail.html?game=救世者之樹 M</v>
      </c>
      <c r="I199" s="39" t="s">
        <v>3698</v>
      </c>
      <c r="J199" s="38" t="s">
        <v>3704</v>
      </c>
      <c r="K199" s="4">
        <v>2555</v>
      </c>
      <c r="L199" s="3" t="s">
        <v>3705</v>
      </c>
      <c r="M199" s="4">
        <v>2119</v>
      </c>
      <c r="N199" s="3" t="s">
        <v>3706</v>
      </c>
      <c r="O199" s="4">
        <v>1063</v>
      </c>
      <c r="P199" s="3" t="s">
        <v>3707</v>
      </c>
      <c r="Q199" s="4">
        <v>701</v>
      </c>
      <c r="R199" s="3" t="s">
        <v>3708</v>
      </c>
      <c r="S199" s="4">
        <v>312</v>
      </c>
      <c r="T199" s="3" t="s">
        <v>3709</v>
      </c>
      <c r="U199" s="4">
        <v>162</v>
      </c>
      <c r="V199" s="3" t="s">
        <v>3710</v>
      </c>
      <c r="W199" s="4">
        <v>85</v>
      </c>
      <c r="X199" s="3" t="s">
        <v>3711</v>
      </c>
      <c r="Y199" s="4">
        <v>51</v>
      </c>
      <c r="Z199" s="3" t="s">
        <v>3712</v>
      </c>
      <c r="AA199" s="4">
        <v>654</v>
      </c>
    </row>
    <row r="200" spans="1:33" ht="23.25" customHeight="1" thickBot="1" x14ac:dyDescent="0.25">
      <c r="A200" s="19" t="s">
        <v>3722</v>
      </c>
      <c r="C200" s="1" t="s">
        <v>3754</v>
      </c>
      <c r="D200" s="2" t="s">
        <v>3755</v>
      </c>
      <c r="E200" s="2" t="s">
        <v>3730</v>
      </c>
      <c r="F200" s="8" t="str">
        <f t="shared" si="8"/>
        <v>gift-codes.html?game=勝利女神：妮姬</v>
      </c>
      <c r="G200" s="2" t="s">
        <v>3737</v>
      </c>
      <c r="H200" s="10" t="str">
        <f t="shared" si="7"/>
        <v>https://www.ssbuy.tw/game-detail.html?game=勝利女神：妮姬</v>
      </c>
      <c r="I200" s="39" t="s">
        <v>3745</v>
      </c>
      <c r="J200" s="3" t="s">
        <v>1428</v>
      </c>
      <c r="K200" s="4">
        <v>2415</v>
      </c>
      <c r="L200" s="3" t="s">
        <v>3766</v>
      </c>
      <c r="M200" s="4">
        <v>1348</v>
      </c>
      <c r="N200" s="3" t="s">
        <v>262</v>
      </c>
      <c r="O200" s="4">
        <v>735</v>
      </c>
      <c r="P200" s="3" t="s">
        <v>3767</v>
      </c>
      <c r="Q200" s="4">
        <v>621</v>
      </c>
      <c r="R200" s="3" t="s">
        <v>279</v>
      </c>
      <c r="S200" s="4">
        <v>497</v>
      </c>
      <c r="T200" s="3" t="s">
        <v>1496</v>
      </c>
      <c r="U200" s="4">
        <v>373</v>
      </c>
      <c r="V200" s="3" t="s">
        <v>280</v>
      </c>
      <c r="W200" s="4">
        <v>248</v>
      </c>
      <c r="X200" s="3" t="s">
        <v>3768</v>
      </c>
      <c r="Y200" s="4">
        <v>199</v>
      </c>
      <c r="Z200" s="3" t="s">
        <v>281</v>
      </c>
      <c r="AA200" s="4">
        <v>132</v>
      </c>
      <c r="AB200" s="3" t="s">
        <v>3769</v>
      </c>
      <c r="AC200" s="4">
        <v>106</v>
      </c>
      <c r="AD200" s="3" t="s">
        <v>3770</v>
      </c>
      <c r="AE200" s="4">
        <v>53</v>
      </c>
      <c r="AF200" s="3" t="s">
        <v>1429</v>
      </c>
      <c r="AG200" s="4">
        <v>40</v>
      </c>
    </row>
    <row r="201" spans="1:33" ht="23.25" customHeight="1" thickBot="1" x14ac:dyDescent="0.3">
      <c r="A201" s="19" t="s">
        <v>3723</v>
      </c>
      <c r="C201" s="2" t="s">
        <v>3685</v>
      </c>
      <c r="D201" s="2" t="s">
        <v>3757</v>
      </c>
      <c r="E201" s="2" t="s">
        <v>3733</v>
      </c>
      <c r="F201" s="8" t="str">
        <f t="shared" si="8"/>
        <v>gift-codes.html?game=野龍小隊</v>
      </c>
      <c r="G201" s="2" t="s">
        <v>3756</v>
      </c>
      <c r="H201" s="10" t="str">
        <f t="shared" si="7"/>
        <v>https://www.ssbuy.tw/game-detail.html?game=野龍小隊</v>
      </c>
      <c r="I201" s="30" t="s">
        <v>3748</v>
      </c>
      <c r="J201" s="3" t="s">
        <v>3771</v>
      </c>
      <c r="K201" s="4">
        <v>1961</v>
      </c>
      <c r="L201" s="3" t="s">
        <v>261</v>
      </c>
      <c r="M201" s="4">
        <v>1016</v>
      </c>
      <c r="N201" s="3" t="s">
        <v>263</v>
      </c>
      <c r="O201" s="4">
        <v>622</v>
      </c>
      <c r="P201" s="3" t="s">
        <v>249</v>
      </c>
      <c r="Q201" s="4">
        <v>232</v>
      </c>
      <c r="R201" s="3" t="s">
        <v>252</v>
      </c>
      <c r="S201" s="4">
        <v>102</v>
      </c>
      <c r="T201" s="3" t="s">
        <v>253</v>
      </c>
      <c r="U201" s="4">
        <v>51</v>
      </c>
    </row>
    <row r="202" spans="1:33" ht="23.25" customHeight="1" thickBot="1" x14ac:dyDescent="0.3">
      <c r="A202" s="19" t="s">
        <v>3724</v>
      </c>
      <c r="C202" s="1" t="s">
        <v>3685</v>
      </c>
      <c r="D202" s="2" t="s">
        <v>3758</v>
      </c>
      <c r="E202" s="2" t="s">
        <v>3736</v>
      </c>
      <c r="F202" s="8" t="str">
        <f t="shared" si="8"/>
        <v>gift-codes.html?game=BangBang殭屍：避難所戰爭</v>
      </c>
      <c r="G202" s="2" t="s">
        <v>3738</v>
      </c>
      <c r="H202" s="10" t="str">
        <f t="shared" si="7"/>
        <v>https://www.ssbuy.tw/game-detail.html?game=BangBang殭屍：避難所戰爭</v>
      </c>
      <c r="I202" s="30" t="s">
        <v>3750</v>
      </c>
      <c r="J202" s="3" t="s">
        <v>301</v>
      </c>
      <c r="K202" s="4">
        <v>2355</v>
      </c>
      <c r="L202" s="3" t="s">
        <v>302</v>
      </c>
      <c r="M202" s="4">
        <v>1174</v>
      </c>
      <c r="N202" s="3" t="s">
        <v>262</v>
      </c>
      <c r="O202" s="4">
        <v>780</v>
      </c>
      <c r="P202" s="3" t="s">
        <v>264</v>
      </c>
      <c r="Q202" s="4">
        <v>551</v>
      </c>
      <c r="R202" s="3" t="s">
        <v>1496</v>
      </c>
      <c r="S202" s="4">
        <v>391</v>
      </c>
      <c r="T202" s="3" t="s">
        <v>303</v>
      </c>
      <c r="U202" s="4">
        <v>312</v>
      </c>
      <c r="V202" s="3" t="s">
        <v>265</v>
      </c>
      <c r="W202" s="4">
        <v>256</v>
      </c>
      <c r="X202" s="3" t="s">
        <v>251</v>
      </c>
      <c r="Y202" s="4">
        <v>128</v>
      </c>
      <c r="Z202" s="3" t="s">
        <v>252</v>
      </c>
      <c r="AA202" s="4">
        <v>102</v>
      </c>
      <c r="AB202" s="3" t="s">
        <v>266</v>
      </c>
      <c r="AC202" s="4">
        <v>77</v>
      </c>
    </row>
    <row r="203" spans="1:33" ht="23.25" customHeight="1" thickBot="1" x14ac:dyDescent="0.25">
      <c r="A203" s="19" t="s">
        <v>3725</v>
      </c>
      <c r="C203" s="1" t="s">
        <v>3759</v>
      </c>
      <c r="D203" s="2" t="s">
        <v>3759</v>
      </c>
      <c r="E203" s="23" t="s">
        <v>3751</v>
      </c>
      <c r="F203" s="8" t="str">
        <f t="shared" si="8"/>
        <v>gift-codes.html?game=主公超會閃</v>
      </c>
      <c r="G203" s="2" t="s">
        <v>3760</v>
      </c>
      <c r="H203" s="10" t="str">
        <f t="shared" si="7"/>
        <v>https://www.ssbuy.tw/game-detail.html?game=主公超會閃</v>
      </c>
      <c r="I203" s="39" t="s">
        <v>3752</v>
      </c>
      <c r="J203" s="3" t="s">
        <v>3772</v>
      </c>
      <c r="K203" s="4">
        <v>2555</v>
      </c>
      <c r="L203" s="3" t="s">
        <v>3773</v>
      </c>
      <c r="M203" s="4">
        <v>1331</v>
      </c>
      <c r="N203" s="3" t="s">
        <v>3774</v>
      </c>
      <c r="O203" s="4">
        <v>780</v>
      </c>
      <c r="P203" s="3" t="s">
        <v>3775</v>
      </c>
      <c r="Q203" s="4">
        <v>535</v>
      </c>
      <c r="R203" s="3" t="s">
        <v>3776</v>
      </c>
      <c r="S203" s="4">
        <v>391</v>
      </c>
      <c r="T203" s="3" t="s">
        <v>3777</v>
      </c>
      <c r="U203" s="4">
        <v>264</v>
      </c>
      <c r="V203" s="3" t="s">
        <v>3778</v>
      </c>
      <c r="W203" s="4">
        <v>232</v>
      </c>
      <c r="X203" s="3" t="s">
        <v>3779</v>
      </c>
      <c r="Y203" s="4">
        <v>208</v>
      </c>
      <c r="Z203" s="3" t="s">
        <v>3780</v>
      </c>
      <c r="AA203" s="4">
        <v>111</v>
      </c>
      <c r="AB203" s="3" t="s">
        <v>3781</v>
      </c>
      <c r="AC203" s="4">
        <v>85</v>
      </c>
    </row>
    <row r="204" spans="1:33" ht="23.25" customHeight="1" thickBot="1" x14ac:dyDescent="0.3">
      <c r="A204" s="19" t="s">
        <v>3726</v>
      </c>
      <c r="C204" s="24" t="s">
        <v>3762</v>
      </c>
      <c r="D204" s="23" t="s">
        <v>3763</v>
      </c>
      <c r="E204" s="2" t="s">
        <v>3732</v>
      </c>
      <c r="F204" s="8" t="str">
        <f>IF(A204="", "", "gift-codes.html?game=" &amp; A204)</f>
        <v>gift-codes.html?game=小兵來支援</v>
      </c>
      <c r="G204" s="84" t="s">
        <v>3761</v>
      </c>
      <c r="H204" s="10" t="str">
        <f>IF(A204="", "", "https://www.ssbuy.tw/game-detail.html?game="&amp;A204)</f>
        <v>https://www.ssbuy.tw/game-detail.html?game=小兵來支援</v>
      </c>
      <c r="I204" s="30" t="s">
        <v>3747</v>
      </c>
      <c r="J204" s="3" t="s">
        <v>3782</v>
      </c>
      <c r="K204" s="4">
        <v>2555</v>
      </c>
      <c r="L204" s="3" t="s">
        <v>3783</v>
      </c>
      <c r="M204" s="4">
        <v>1331</v>
      </c>
      <c r="N204" s="3" t="s">
        <v>3784</v>
      </c>
      <c r="O204" s="4">
        <v>535</v>
      </c>
      <c r="P204" s="3" t="s">
        <v>3785</v>
      </c>
      <c r="Q204" s="4">
        <v>145</v>
      </c>
      <c r="R204" s="3" t="s">
        <v>3786</v>
      </c>
      <c r="S204" s="4">
        <v>391</v>
      </c>
      <c r="T204" s="3" t="s">
        <v>3787</v>
      </c>
      <c r="U204" s="4">
        <v>780</v>
      </c>
      <c r="V204" s="3" t="s">
        <v>3788</v>
      </c>
      <c r="W204" s="4">
        <v>615</v>
      </c>
    </row>
    <row r="205" spans="1:33" ht="23.25" customHeight="1" thickBot="1" x14ac:dyDescent="0.3">
      <c r="A205" s="19" t="s">
        <v>3727</v>
      </c>
      <c r="C205" s="1" t="s">
        <v>3685</v>
      </c>
      <c r="D205" s="23" t="s">
        <v>3765</v>
      </c>
      <c r="E205" s="2" t="s">
        <v>3734</v>
      </c>
      <c r="F205" s="8" t="str">
        <f>IF(A205="", "", "gift-codes.html?game=" &amp; A205)</f>
        <v>gift-codes.html?game=姆姆鬥惡龍</v>
      </c>
      <c r="G205" s="2" t="s">
        <v>3739</v>
      </c>
      <c r="H205" s="10" t="str">
        <f>IF(A205="", "", "https://www.ssbuy.tw/game-detail.html?game="&amp;A205)</f>
        <v>https://www.ssbuy.tw/game-detail.html?game=姆姆鬥惡龍</v>
      </c>
      <c r="I205" s="30" t="s">
        <v>3749</v>
      </c>
      <c r="J205" s="3" t="s">
        <v>1428</v>
      </c>
      <c r="K205" s="4">
        <v>2555</v>
      </c>
      <c r="L205" s="3" t="s">
        <v>278</v>
      </c>
      <c r="M205" s="4">
        <v>1331</v>
      </c>
      <c r="N205" s="3" t="s">
        <v>262</v>
      </c>
      <c r="O205" s="4">
        <v>780</v>
      </c>
      <c r="P205" s="3" t="s">
        <v>279</v>
      </c>
      <c r="Q205" s="4">
        <v>535</v>
      </c>
      <c r="R205" s="3" t="s">
        <v>1496</v>
      </c>
      <c r="S205" s="4">
        <v>391</v>
      </c>
      <c r="T205" s="3" t="s">
        <v>280</v>
      </c>
      <c r="U205" s="4">
        <v>264</v>
      </c>
      <c r="V205" s="3" t="s">
        <v>281</v>
      </c>
      <c r="W205" s="4">
        <v>145</v>
      </c>
      <c r="X205" s="3" t="s">
        <v>1429</v>
      </c>
      <c r="Y205" s="4">
        <v>28</v>
      </c>
    </row>
    <row r="206" spans="1:33" ht="23.25" customHeight="1" thickBot="1" x14ac:dyDescent="0.3">
      <c r="A206" s="19" t="s">
        <v>3728</v>
      </c>
      <c r="C206" s="1" t="s">
        <v>3743</v>
      </c>
      <c r="D206" s="2" t="s">
        <v>3744</v>
      </c>
      <c r="E206" s="2" t="s">
        <v>3731</v>
      </c>
      <c r="F206" s="8" t="str">
        <f>IF(A206="", "", "gift-codes.html?game=" &amp; A206)</f>
        <v>gift-codes.html?game=發條特攻隊</v>
      </c>
      <c r="G206" s="2" t="s">
        <v>3742</v>
      </c>
      <c r="H206" s="10" t="str">
        <f>IF(A206="", "", "https://www.ssbuy.tw/game-detail.html?game="&amp;A206)</f>
        <v>https://www.ssbuy.tw/game-detail.html?game=發條特攻隊</v>
      </c>
      <c r="I206" s="30" t="s">
        <v>3746</v>
      </c>
      <c r="J206" s="3" t="s">
        <v>3789</v>
      </c>
      <c r="K206" s="4">
        <v>2363</v>
      </c>
      <c r="L206" s="3" t="s">
        <v>3790</v>
      </c>
      <c r="M206" s="4">
        <v>1182</v>
      </c>
      <c r="N206" s="3" t="s">
        <v>262</v>
      </c>
      <c r="O206" s="4">
        <v>780</v>
      </c>
      <c r="P206" s="3" t="s">
        <v>3791</v>
      </c>
      <c r="Q206" s="4">
        <v>599</v>
      </c>
      <c r="R206" s="3" t="s">
        <v>3792</v>
      </c>
      <c r="S206" s="4">
        <v>479</v>
      </c>
      <c r="T206" s="3" t="s">
        <v>3793</v>
      </c>
      <c r="U206" s="4">
        <v>359</v>
      </c>
      <c r="V206" s="3" t="s">
        <v>1459</v>
      </c>
      <c r="W206" s="4">
        <v>240</v>
      </c>
      <c r="X206" s="3" t="s">
        <v>251</v>
      </c>
      <c r="Y206" s="4">
        <v>128</v>
      </c>
    </row>
    <row r="207" spans="1:33" ht="23.25" customHeight="1" thickBot="1" x14ac:dyDescent="0.25">
      <c r="A207" s="19" t="s">
        <v>3729</v>
      </c>
      <c r="C207" s="24" t="s">
        <v>3764</v>
      </c>
      <c r="D207" s="2" t="s">
        <v>3740</v>
      </c>
      <c r="E207" s="2" t="s">
        <v>3741</v>
      </c>
      <c r="F207" s="8" t="str">
        <f>IF(A207="", "", "gift-codes.html?game=" &amp; A207)</f>
        <v>gift-codes.html?game=天命：群星</v>
      </c>
      <c r="G207" s="2" t="s">
        <v>3735</v>
      </c>
      <c r="H207" s="10" t="str">
        <f>IF(A207="", "", "https://www.ssbuy.tw/game-detail.html?game="&amp;A207)</f>
        <v>https://www.ssbuy.tw/game-detail.html?game=天命：群星</v>
      </c>
      <c r="I207" s="39" t="s">
        <v>3753</v>
      </c>
      <c r="J207" s="3" t="s">
        <v>3794</v>
      </c>
      <c r="K207" s="4">
        <v>2363</v>
      </c>
      <c r="L207" s="3" t="s">
        <v>3794</v>
      </c>
      <c r="M207" s="4">
        <v>1182</v>
      </c>
      <c r="N207" s="3" t="s">
        <v>3795</v>
      </c>
      <c r="O207" s="4">
        <v>599</v>
      </c>
      <c r="P207" s="3" t="s">
        <v>3796</v>
      </c>
      <c r="Q207" s="4">
        <v>240</v>
      </c>
      <c r="R207" s="3" t="s">
        <v>3797</v>
      </c>
      <c r="S207" s="4">
        <v>128</v>
      </c>
      <c r="T207" s="3" t="s">
        <v>3798</v>
      </c>
      <c r="U207" s="4">
        <v>26</v>
      </c>
      <c r="V207" s="3" t="s">
        <v>3799</v>
      </c>
      <c r="W207" s="4">
        <v>128</v>
      </c>
      <c r="X207" s="3" t="s">
        <v>3800</v>
      </c>
      <c r="Y207" s="4">
        <v>128</v>
      </c>
    </row>
    <row r="208" spans="1:33" ht="23.25" customHeight="1" thickBot="1" x14ac:dyDescent="0.25">
      <c r="A208" s="19" t="s">
        <v>3870</v>
      </c>
      <c r="C208" s="1" t="s">
        <v>3882</v>
      </c>
      <c r="D208" s="2" t="s">
        <v>3883</v>
      </c>
      <c r="E208" s="2" t="s">
        <v>3884</v>
      </c>
      <c r="F208" s="8" t="str">
        <f>IF(A208="", "", "gift-codes.html?game=" &amp; A208)</f>
        <v>gift-codes.html?game=血影雙生</v>
      </c>
      <c r="G208" s="2" t="s">
        <v>3877</v>
      </c>
      <c r="H208" s="10" t="str">
        <f>IF(A208="", "", "https://www.ssbuy.tw/game-detail.html?game="&amp;A208)</f>
        <v>https://www.ssbuy.tw/game-detail.html?game=血影雙生</v>
      </c>
      <c r="I208" s="39" t="s">
        <v>3889</v>
      </c>
      <c r="J208" s="3" t="s">
        <v>3916</v>
      </c>
      <c r="K208" s="4">
        <v>2555</v>
      </c>
      <c r="L208" s="3" t="s">
        <v>3917</v>
      </c>
      <c r="M208" s="4">
        <v>1331</v>
      </c>
      <c r="N208" s="3" t="s">
        <v>3918</v>
      </c>
      <c r="O208" s="4">
        <v>780</v>
      </c>
      <c r="P208" s="3" t="s">
        <v>3919</v>
      </c>
      <c r="Q208" s="4">
        <v>535</v>
      </c>
      <c r="R208" s="3" t="s">
        <v>3920</v>
      </c>
      <c r="S208" s="4">
        <v>264</v>
      </c>
      <c r="T208" s="3" t="s">
        <v>3921</v>
      </c>
      <c r="U208" s="4">
        <v>145</v>
      </c>
      <c r="V208" s="3" t="s">
        <v>3922</v>
      </c>
      <c r="W208" s="4">
        <v>145</v>
      </c>
    </row>
    <row r="209" spans="1:27" ht="23.25" customHeight="1" thickBot="1" x14ac:dyDescent="0.25">
      <c r="A209" s="19" t="s">
        <v>3871</v>
      </c>
      <c r="C209" s="1" t="s">
        <v>3876</v>
      </c>
      <c r="D209" s="2" t="s">
        <v>3875</v>
      </c>
      <c r="E209" s="2" t="s">
        <v>3873</v>
      </c>
      <c r="F209" s="8" t="str">
        <f t="shared" si="8"/>
        <v>gift-codes.html?game=我的勇者外傳</v>
      </c>
      <c r="G209" s="2" t="s">
        <v>3874</v>
      </c>
      <c r="H209" s="10" t="str">
        <f t="shared" si="7"/>
        <v>https://www.ssbuy.tw/game-detail.html?game=我的勇者外傳</v>
      </c>
      <c r="I209" s="39" t="s">
        <v>3890</v>
      </c>
      <c r="J209" s="3" t="s">
        <v>3901</v>
      </c>
      <c r="K209" s="4">
        <v>2555</v>
      </c>
      <c r="L209" s="3" t="s">
        <v>3902</v>
      </c>
      <c r="M209" s="4">
        <v>1331</v>
      </c>
      <c r="N209" s="3" t="s">
        <v>3903</v>
      </c>
      <c r="O209" s="4">
        <v>535</v>
      </c>
      <c r="P209" s="3" t="s">
        <v>3904</v>
      </c>
      <c r="Q209" s="4">
        <v>288</v>
      </c>
      <c r="R209" s="3" t="s">
        <v>3905</v>
      </c>
      <c r="S209" s="4">
        <v>145</v>
      </c>
      <c r="T209" s="3" t="s">
        <v>3906</v>
      </c>
      <c r="U209" s="4">
        <v>60</v>
      </c>
      <c r="V209" s="3" t="s">
        <v>3907</v>
      </c>
      <c r="W209" s="4">
        <v>28</v>
      </c>
      <c r="X209" s="3" t="s">
        <v>3908</v>
      </c>
      <c r="Y209" s="4">
        <v>145</v>
      </c>
      <c r="Z209" s="3" t="s">
        <v>3909</v>
      </c>
      <c r="AA209" s="4">
        <v>85</v>
      </c>
    </row>
    <row r="210" spans="1:27" ht="23.25" customHeight="1" thickBot="1" x14ac:dyDescent="0.25">
      <c r="A210" s="19" t="s">
        <v>3872</v>
      </c>
      <c r="C210" s="1" t="s">
        <v>3878</v>
      </c>
      <c r="D210" s="2" t="s">
        <v>3881</v>
      </c>
      <c r="E210" s="2" t="s">
        <v>3879</v>
      </c>
      <c r="F210" s="8" t="str">
        <f t="shared" si="8"/>
        <v>gift-codes.html?game=女神契約：異世界遠征隊</v>
      </c>
      <c r="G210" s="2" t="s">
        <v>3880</v>
      </c>
      <c r="H210" s="10" t="str">
        <f t="shared" si="7"/>
        <v>https://www.ssbuy.tw/game-detail.html?game=女神契約：異世界遠征隊</v>
      </c>
      <c r="I210" s="39" t="s">
        <v>3891</v>
      </c>
      <c r="J210" s="3" t="s">
        <v>3910</v>
      </c>
      <c r="K210" s="4">
        <v>2355</v>
      </c>
      <c r="L210" s="3" t="s">
        <v>3911</v>
      </c>
      <c r="M210" s="4">
        <v>1174</v>
      </c>
      <c r="N210" s="3" t="s">
        <v>3912</v>
      </c>
      <c r="O210" s="4">
        <v>551</v>
      </c>
      <c r="P210" s="3" t="s">
        <v>3913</v>
      </c>
      <c r="Q210" s="4">
        <v>256</v>
      </c>
      <c r="R210" s="3" t="s">
        <v>62</v>
      </c>
      <c r="S210" s="4">
        <v>102</v>
      </c>
      <c r="T210" s="3" t="s">
        <v>65</v>
      </c>
      <c r="U210" s="4">
        <v>26</v>
      </c>
      <c r="V210" s="3" t="s">
        <v>3914</v>
      </c>
      <c r="W210" s="4">
        <v>102</v>
      </c>
      <c r="X210" s="3" t="s">
        <v>3915</v>
      </c>
      <c r="Y210" s="4">
        <v>102</v>
      </c>
      <c r="Z210" s="3" t="s">
        <v>1571</v>
      </c>
      <c r="AA210" s="4">
        <v>780</v>
      </c>
    </row>
    <row r="211" spans="1:27" ht="23.25" customHeight="1" x14ac:dyDescent="0.25">
      <c r="F211" s="8" t="str">
        <f t="shared" si="8"/>
        <v/>
      </c>
      <c r="H211" s="10" t="str">
        <f t="shared" si="7"/>
        <v/>
      </c>
    </row>
    <row r="212" spans="1:27" ht="23.25" customHeight="1" x14ac:dyDescent="0.25">
      <c r="F212" s="8" t="str">
        <f t="shared" si="8"/>
        <v/>
      </c>
      <c r="H212" s="10" t="str">
        <f t="shared" si="7"/>
        <v/>
      </c>
    </row>
    <row r="213" spans="1:27" ht="23.25" customHeight="1" x14ac:dyDescent="0.25">
      <c r="F213" s="8" t="str">
        <f t="shared" si="8"/>
        <v/>
      </c>
      <c r="H213" s="10" t="str">
        <f t="shared" si="7"/>
        <v/>
      </c>
    </row>
    <row r="214" spans="1:27" ht="23.25" customHeight="1" x14ac:dyDescent="0.25">
      <c r="F214" s="8" t="str">
        <f t="shared" si="8"/>
        <v/>
      </c>
      <c r="H214" s="10" t="str">
        <f t="shared" si="7"/>
        <v/>
      </c>
    </row>
    <row r="215" spans="1:27" ht="23.25" customHeight="1" x14ac:dyDescent="0.25">
      <c r="F215" s="8" t="str">
        <f t="shared" si="8"/>
        <v/>
      </c>
      <c r="H215" s="10" t="str">
        <f t="shared" si="7"/>
        <v/>
      </c>
    </row>
    <row r="216" spans="1:27" ht="23.25" customHeight="1" x14ac:dyDescent="0.25">
      <c r="F216" s="8" t="str">
        <f t="shared" si="8"/>
        <v/>
      </c>
      <c r="H216" s="10" t="str">
        <f t="shared" si="7"/>
        <v/>
      </c>
    </row>
    <row r="217" spans="1:27" ht="23.25" customHeight="1" x14ac:dyDescent="0.25">
      <c r="F217" s="8" t="str">
        <f t="shared" si="8"/>
        <v/>
      </c>
      <c r="H217" s="10" t="str">
        <f t="shared" si="7"/>
        <v/>
      </c>
    </row>
    <row r="218" spans="1:27" ht="23.25" customHeight="1" x14ac:dyDescent="0.25">
      <c r="F218" s="8" t="str">
        <f t="shared" si="8"/>
        <v/>
      </c>
      <c r="H218" s="10" t="str">
        <f t="shared" si="7"/>
        <v/>
      </c>
    </row>
    <row r="219" spans="1:27" ht="23.25" customHeight="1" x14ac:dyDescent="0.25">
      <c r="F219" s="8" t="str">
        <f t="shared" si="8"/>
        <v/>
      </c>
      <c r="H219" s="10" t="str">
        <f t="shared" si="7"/>
        <v/>
      </c>
    </row>
    <row r="220" spans="1:27" ht="23.25" customHeight="1" x14ac:dyDescent="0.25">
      <c r="F220" s="8" t="str">
        <f t="shared" si="8"/>
        <v/>
      </c>
      <c r="H220" s="10" t="str">
        <f t="shared" si="7"/>
        <v/>
      </c>
    </row>
    <row r="221" spans="1:27" ht="23.25" customHeight="1" x14ac:dyDescent="0.25">
      <c r="F221" s="8" t="str">
        <f t="shared" si="8"/>
        <v/>
      </c>
      <c r="H221" s="10" t="str">
        <f t="shared" si="7"/>
        <v/>
      </c>
    </row>
    <row r="222" spans="1:27" ht="23.25" customHeight="1" x14ac:dyDescent="0.25">
      <c r="F222" s="8" t="str">
        <f t="shared" si="8"/>
        <v/>
      </c>
      <c r="H222" s="10" t="str">
        <f t="shared" si="7"/>
        <v/>
      </c>
    </row>
    <row r="223" spans="1:27" ht="23.25" customHeight="1" x14ac:dyDescent="0.25">
      <c r="F223" s="8" t="str">
        <f t="shared" si="8"/>
        <v/>
      </c>
      <c r="H223" s="10" t="str">
        <f t="shared" si="7"/>
        <v/>
      </c>
    </row>
    <row r="224" spans="1:27" ht="22.1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19.5"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ref="F254:F317" si="9">IF(A254="", "", "gift-codes.html?game=" &amp; A254)</f>
        <v/>
      </c>
      <c r="H254" s="10" t="str">
        <f t="shared" ref="H254:H317" si="10">IF(A254="", "", "https://www.ssbuy.tw/game-detail.html?game="&amp;A254)</f>
        <v/>
      </c>
    </row>
    <row r="255" spans="6:8" ht="19.5" x14ac:dyDescent="0.25">
      <c r="F255" s="8" t="str">
        <f t="shared" si="9"/>
        <v/>
      </c>
      <c r="H255" s="10" t="str">
        <f t="shared" si="10"/>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ref="F318:F381" si="11">IF(A318="", "", "gift-codes.html?game=" &amp; A318)</f>
        <v/>
      </c>
      <c r="H318" s="10" t="str">
        <f t="shared" ref="H318:H381" si="12">IF(A318="", "", "https://www.ssbuy.tw/game-detail.html?game="&amp;A318)</f>
        <v/>
      </c>
    </row>
    <row r="319" spans="6:8" ht="19.5" x14ac:dyDescent="0.25">
      <c r="F319" s="8" t="str">
        <f t="shared" si="11"/>
        <v/>
      </c>
      <c r="H319" s="10" t="str">
        <f t="shared" si="12"/>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ref="F382:F445" si="13">IF(A382="", "", "gift-codes.html?game=" &amp; A382)</f>
        <v/>
      </c>
      <c r="H382" s="10" t="str">
        <f t="shared" ref="H382:H445" si="14">IF(A382="", "", "https://www.ssbuy.tw/game-detail.html?game="&amp;A382)</f>
        <v/>
      </c>
    </row>
    <row r="383" spans="6:8" ht="19.5" x14ac:dyDescent="0.25">
      <c r="F383" s="8" t="str">
        <f t="shared" si="13"/>
        <v/>
      </c>
      <c r="H383" s="10" t="str">
        <f t="shared" si="14"/>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ref="F446:F509" si="15">IF(A446="", "", "gift-codes.html?game=" &amp; A446)</f>
        <v/>
      </c>
      <c r="H446" s="10" t="str">
        <f t="shared" ref="H446:H509" si="16">IF(A446="", "", "https://www.ssbuy.tw/game-detail.html?game="&amp;A446)</f>
        <v/>
      </c>
    </row>
    <row r="447" spans="6:8" ht="19.5" x14ac:dyDescent="0.25">
      <c r="F447" s="8" t="str">
        <f t="shared" si="15"/>
        <v/>
      </c>
      <c r="H447" s="10" t="str">
        <f t="shared" si="16"/>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ref="F510:F573" si="17">IF(A510="", "", "gift-codes.html?game=" &amp; A510)</f>
        <v/>
      </c>
      <c r="H510" s="10" t="str">
        <f t="shared" ref="H510:H573" si="18">IF(A510="", "", "https://www.ssbuy.tw/game-detail.html?game="&amp;A510)</f>
        <v/>
      </c>
    </row>
    <row r="511" spans="6:8" ht="19.5" x14ac:dyDescent="0.25">
      <c r="F511" s="8" t="str">
        <f t="shared" si="17"/>
        <v/>
      </c>
      <c r="H511" s="10" t="str">
        <f t="shared" si="18"/>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ref="F574:F576" si="19">IF(A574="", "", "gift-codes.html?game=" &amp; A574)</f>
        <v/>
      </c>
      <c r="H574" s="10" t="str">
        <f t="shared" ref="H574:H632" si="20">IF(A574="", "", "https://www.ssbuy.tw/game-detail.html?game="&amp;A574)</f>
        <v/>
      </c>
    </row>
    <row r="575" spans="6:8" ht="19.5" x14ac:dyDescent="0.25">
      <c r="F575" s="8" t="str">
        <f t="shared" si="19"/>
        <v/>
      </c>
      <c r="H575" s="10" t="str">
        <f t="shared" si="20"/>
        <v/>
      </c>
    </row>
    <row r="576" spans="6:8" ht="19.5" x14ac:dyDescent="0.25">
      <c r="F576" s="8" t="str">
        <f t="shared" si="19"/>
        <v/>
      </c>
      <c r="H576" s="10" t="str">
        <f t="shared" si="20"/>
        <v/>
      </c>
    </row>
    <row r="577" spans="8:8" ht="19.5" x14ac:dyDescent="0.25">
      <c r="H577" s="10" t="str">
        <f t="shared" si="20"/>
        <v/>
      </c>
    </row>
    <row r="578" spans="8:8" ht="19.5" x14ac:dyDescent="0.25">
      <c r="H578" s="10" t="str">
        <f t="shared" si="20"/>
        <v/>
      </c>
    </row>
    <row r="579" spans="8:8" ht="19.5" x14ac:dyDescent="0.25">
      <c r="H579" s="10" t="str">
        <f t="shared" si="20"/>
        <v/>
      </c>
    </row>
    <row r="580" spans="8:8" ht="19.5" x14ac:dyDescent="0.25">
      <c r="H580" s="10" t="str">
        <f t="shared" si="20"/>
        <v/>
      </c>
    </row>
    <row r="581" spans="8:8" ht="19.5" x14ac:dyDescent="0.25">
      <c r="H581" s="10" t="str">
        <f t="shared" si="20"/>
        <v/>
      </c>
    </row>
    <row r="582" spans="8:8" ht="19.5" x14ac:dyDescent="0.25">
      <c r="H582" s="10" t="str">
        <f t="shared" si="20"/>
        <v/>
      </c>
    </row>
    <row r="583" spans="8:8" ht="19.5" x14ac:dyDescent="0.25">
      <c r="H583" s="10" t="str">
        <f t="shared" si="20"/>
        <v/>
      </c>
    </row>
    <row r="584" spans="8:8" ht="19.5" x14ac:dyDescent="0.25">
      <c r="H584" s="10" t="str">
        <f t="shared" si="20"/>
        <v/>
      </c>
    </row>
    <row r="585" spans="8:8" ht="19.5" x14ac:dyDescent="0.25">
      <c r="H585" s="10" t="str">
        <f t="shared" si="20"/>
        <v/>
      </c>
    </row>
    <row r="586" spans="8:8" ht="19.5" x14ac:dyDescent="0.25">
      <c r="H586" s="10" t="str">
        <f t="shared" si="20"/>
        <v/>
      </c>
    </row>
    <row r="587" spans="8:8" ht="19.5" x14ac:dyDescent="0.25">
      <c r="H587" s="10" t="str">
        <f t="shared" si="20"/>
        <v/>
      </c>
    </row>
    <row r="588" spans="8:8" ht="19.5" x14ac:dyDescent="0.25">
      <c r="H588" s="10" t="str">
        <f t="shared" si="20"/>
        <v/>
      </c>
    </row>
    <row r="589" spans="8:8" ht="19.5" x14ac:dyDescent="0.25">
      <c r="H589" s="10" t="str">
        <f t="shared" si="20"/>
        <v/>
      </c>
    </row>
    <row r="590" spans="8:8" ht="19.5" x14ac:dyDescent="0.25">
      <c r="H590" s="10" t="str">
        <f t="shared" si="20"/>
        <v/>
      </c>
    </row>
    <row r="591" spans="8:8" ht="19.5" x14ac:dyDescent="0.25">
      <c r="H591" s="10" t="str">
        <f t="shared" si="20"/>
        <v/>
      </c>
    </row>
    <row r="592" spans="8: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s>
  <pageMargins left="0.7" right="0.7" top="0.75" bottom="0.75" header="0.3" footer="0.3"/>
  <pageSetup paperSize="9" orientation="portrait" r:id="rId6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0"/>
  <sheetViews>
    <sheetView tabSelected="1" workbookViewId="0">
      <pane xSplit="1" ySplit="1" topLeftCell="J202" activePane="bottomRight" state="frozen"/>
      <selection pane="topRight" activeCell="B1" sqref="B1"/>
      <selection pane="bottomLeft" activeCell="A2" sqref="A2"/>
      <selection pane="bottomRight" activeCell="N210" sqref="N210"/>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c r="O185" s="54" t="s">
        <v>3714</v>
      </c>
      <c r="P185" s="49" t="s">
        <v>3715</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3" si="7">IF(A191="","", "giftcodesbanner/" &amp; A191 &amp; "-禮包碼.jpg")</f>
        <v>giftcodesbanner/手刀搶英雄-禮包碼.jpg</v>
      </c>
      <c r="D191" s="49" t="str">
        <f t="shared" ref="D191:D253"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5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5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5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50"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50"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50" ht="22.5" customHeight="1" x14ac:dyDescent="0.3">
      <c r="A198" s="49" t="str">
        <f>IF(games!A198="", "", games!A198)</f>
        <v>Gear Fight!</v>
      </c>
      <c r="C198" s="49" t="str">
        <f t="shared" si="7"/>
        <v>giftcodesbanner/Gear Fight!-禮包碼.jpg</v>
      </c>
      <c r="D198" s="49" t="str">
        <f t="shared" si="8"/>
        <v>https://www.ssbuy.tw/gift-codes.html?game=Gear Fight!</v>
      </c>
      <c r="E198" s="5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53" t="s">
        <v>2666</v>
      </c>
      <c r="G198" s="49" t="s">
        <v>2666</v>
      </c>
      <c r="H198" s="54" t="s">
        <v>2666</v>
      </c>
      <c r="I198" s="49" t="s">
        <v>2666</v>
      </c>
      <c r="K198" s="53" t="s">
        <v>2666</v>
      </c>
      <c r="L198" s="49" t="s">
        <v>2666</v>
      </c>
      <c r="M198" s="54" t="s">
        <v>2666</v>
      </c>
      <c r="N198" s="49" t="s">
        <v>2666</v>
      </c>
    </row>
    <row r="199" spans="1:50" ht="22.5" customHeight="1" x14ac:dyDescent="0.3">
      <c r="A199" s="49" t="str">
        <f>IF(games!A199="", "", games!A199)</f>
        <v>救世者之樹 M</v>
      </c>
      <c r="C199" s="49" t="str">
        <f t="shared" si="7"/>
        <v>giftcodesbanner/救世者之樹 M-禮包碼.jpg</v>
      </c>
      <c r="D199" s="49" t="str">
        <f t="shared" si="8"/>
        <v>https://www.ssbuy.tw/gift-codes.html?game=救世者之樹 M</v>
      </c>
      <c r="E199" s="5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70" t="s">
        <v>3701</v>
      </c>
      <c r="G199" s="49" t="s">
        <v>3702</v>
      </c>
      <c r="H199" s="49" t="s">
        <v>2651</v>
      </c>
      <c r="I199" s="49" t="s">
        <v>3703</v>
      </c>
      <c r="K199" s="53" t="s">
        <v>3699</v>
      </c>
      <c r="L199" s="49" t="s">
        <v>3700</v>
      </c>
      <c r="M199" s="54" t="s">
        <v>3713</v>
      </c>
      <c r="N199" s="49" t="s">
        <v>3700</v>
      </c>
      <c r="O199" s="66" t="s">
        <v>3718</v>
      </c>
      <c r="P199" s="49" t="s">
        <v>3700</v>
      </c>
      <c r="Q199" s="66" t="s">
        <v>3716</v>
      </c>
      <c r="R199" s="49" t="s">
        <v>3700</v>
      </c>
      <c r="S199" s="54" t="s">
        <v>3717</v>
      </c>
      <c r="T199" s="49" t="s">
        <v>3700</v>
      </c>
      <c r="U199" s="54" t="s">
        <v>3719</v>
      </c>
      <c r="V199" s="49" t="s">
        <v>3700</v>
      </c>
      <c r="W199" s="54" t="s">
        <v>3720</v>
      </c>
      <c r="X199" s="49" t="s">
        <v>3700</v>
      </c>
      <c r="Y199" s="54" t="s">
        <v>3721</v>
      </c>
      <c r="Z199" s="49" t="s">
        <v>3700</v>
      </c>
    </row>
    <row r="200" spans="1:50" ht="22.5" customHeight="1" x14ac:dyDescent="0.3">
      <c r="A200" s="49" t="str">
        <f>IF(games!A200="", "", games!A200)</f>
        <v>勝利女神：妮姬</v>
      </c>
      <c r="C200" s="49" t="str">
        <f t="shared" si="7"/>
        <v>giftcodesbanner/勝利女神：妮姬-禮包碼.jpg</v>
      </c>
      <c r="D200" s="49" t="str">
        <f t="shared" si="8"/>
        <v>https://www.ssbuy.tw/gift-codes.html?game=勝利女神：妮姬</v>
      </c>
      <c r="E200" s="5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70" t="s">
        <v>3805</v>
      </c>
      <c r="G200" s="49" t="s">
        <v>3806</v>
      </c>
      <c r="H200" s="49" t="s">
        <v>3807</v>
      </c>
      <c r="I200" s="49" t="s">
        <v>2651</v>
      </c>
      <c r="J200" s="50" t="s">
        <v>3808</v>
      </c>
      <c r="K200" s="53" t="s">
        <v>3801</v>
      </c>
      <c r="L200" s="49" t="s">
        <v>3803</v>
      </c>
      <c r="M200" s="54" t="s">
        <v>3802</v>
      </c>
      <c r="N200" s="49" t="s">
        <v>3804</v>
      </c>
    </row>
    <row r="201" spans="1:50" ht="22.5" customHeight="1" x14ac:dyDescent="0.3">
      <c r="A201" s="49" t="str">
        <f>IF(games!A201="", "", games!A201)</f>
        <v>野龍小隊</v>
      </c>
      <c r="C201" s="49" t="str">
        <f t="shared" si="7"/>
        <v>giftcodesbanner/野龍小隊-禮包碼.jpg</v>
      </c>
      <c r="D201" s="49" t="str">
        <f t="shared" si="8"/>
        <v>https://www.ssbuy.tw/gift-codes.html?game=野龍小隊</v>
      </c>
      <c r="E201" s="5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53" t="s">
        <v>2666</v>
      </c>
      <c r="G201" s="49" t="s">
        <v>2666</v>
      </c>
      <c r="H201" s="54" t="s">
        <v>2666</v>
      </c>
      <c r="I201" s="49" t="s">
        <v>2666</v>
      </c>
      <c r="K201" s="53" t="s">
        <v>2666</v>
      </c>
      <c r="L201" s="49" t="s">
        <v>2666</v>
      </c>
      <c r="M201" s="54" t="s">
        <v>2666</v>
      </c>
      <c r="N201" s="49" t="s">
        <v>2666</v>
      </c>
    </row>
    <row r="202" spans="1:50" ht="22.5" customHeight="1" x14ac:dyDescent="0.3">
      <c r="A202" s="49" t="str">
        <f>IF(games!A202="", "", games!A202)</f>
        <v>BangBang殭屍：避難所戰爭</v>
      </c>
      <c r="C202" s="49" t="str">
        <f t="shared" si="7"/>
        <v>giftcodesbanner/BangBang殭屍：避難所戰爭-禮包碼.jpg</v>
      </c>
      <c r="D202" s="49" t="str">
        <f t="shared" si="8"/>
        <v>https://www.ssbuy.tw/gift-codes.html?game=BangBang殭屍：避難所戰爭</v>
      </c>
      <c r="E202" s="5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53" t="s">
        <v>2666</v>
      </c>
      <c r="G202" s="49" t="s">
        <v>2666</v>
      </c>
      <c r="H202" s="54" t="s">
        <v>2666</v>
      </c>
      <c r="I202" s="49" t="s">
        <v>2666</v>
      </c>
      <c r="K202" s="53" t="s">
        <v>2666</v>
      </c>
      <c r="L202" s="49" t="s">
        <v>2666</v>
      </c>
      <c r="M202" s="54" t="s">
        <v>2666</v>
      </c>
      <c r="N202" s="49" t="s">
        <v>2666</v>
      </c>
    </row>
    <row r="203" spans="1:50" ht="22.5" customHeight="1" x14ac:dyDescent="0.3">
      <c r="A203" s="49" t="str">
        <f>IF(games!A203="", "", games!A203)</f>
        <v>主公超會閃</v>
      </c>
      <c r="C203" s="49" t="str">
        <f t="shared" si="7"/>
        <v>giftcodesbanner/主公超會閃-禮包碼.jpg</v>
      </c>
      <c r="D203" s="49" t="str">
        <f t="shared" si="8"/>
        <v>https://www.ssbuy.tw/gift-codes.html?game=主公超會閃</v>
      </c>
      <c r="E203" s="5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70" t="s">
        <v>3823</v>
      </c>
      <c r="G203" s="49" t="s">
        <v>3824</v>
      </c>
      <c r="H203" s="49" t="s">
        <v>2651</v>
      </c>
      <c r="I203" s="49" t="s">
        <v>3825</v>
      </c>
      <c r="K203" s="53" t="s">
        <v>3809</v>
      </c>
      <c r="L203" s="49" t="s">
        <v>3810</v>
      </c>
      <c r="M203" s="54" t="s">
        <v>3811</v>
      </c>
      <c r="N203" s="49" t="s">
        <v>3812</v>
      </c>
      <c r="O203" s="54" t="s">
        <v>3813</v>
      </c>
      <c r="P203" s="49" t="s">
        <v>3814</v>
      </c>
      <c r="Q203" s="54" t="s">
        <v>3815</v>
      </c>
      <c r="R203" s="49" t="s">
        <v>3816</v>
      </c>
      <c r="S203" s="54" t="s">
        <v>3817</v>
      </c>
      <c r="T203" s="49" t="s">
        <v>3818</v>
      </c>
      <c r="U203" s="54" t="s">
        <v>3819</v>
      </c>
      <c r="V203" s="49" t="s">
        <v>3816</v>
      </c>
      <c r="W203" s="54" t="s">
        <v>3820</v>
      </c>
      <c r="X203" s="49" t="s">
        <v>3821</v>
      </c>
      <c r="Y203" s="54" t="s">
        <v>3822</v>
      </c>
      <c r="Z203" s="49" t="s">
        <v>3816</v>
      </c>
    </row>
    <row r="204" spans="1:50" ht="22.5" customHeight="1" x14ac:dyDescent="0.3">
      <c r="A204" s="49" t="str">
        <f>IF(games!A204="", "", games!A204)</f>
        <v>小兵來支援</v>
      </c>
      <c r="C204" s="49" t="str">
        <f t="shared" si="7"/>
        <v>giftcodesbanner/小兵來支援-禮包碼.jpg</v>
      </c>
      <c r="D204" s="49" t="str">
        <f t="shared" si="8"/>
        <v>https://www.ssbuy.tw/gift-codes.html?game=小兵來支援</v>
      </c>
      <c r="E204" s="5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53" t="s">
        <v>3826</v>
      </c>
      <c r="L204" s="49" t="s">
        <v>3828</v>
      </c>
      <c r="M204" s="54" t="s">
        <v>3827</v>
      </c>
      <c r="N204" s="49" t="s">
        <v>3833</v>
      </c>
      <c r="O204" s="54" t="s">
        <v>3829</v>
      </c>
      <c r="P204" s="49" t="s">
        <v>3831</v>
      </c>
      <c r="Q204" s="54" t="s">
        <v>3830</v>
      </c>
      <c r="R204" s="49" t="s">
        <v>3832</v>
      </c>
      <c r="S204" s="54" t="s">
        <v>3834</v>
      </c>
      <c r="T204" s="49" t="s">
        <v>3836</v>
      </c>
      <c r="U204" s="54" t="s">
        <v>3835</v>
      </c>
      <c r="V204" s="49" t="s">
        <v>3837</v>
      </c>
      <c r="W204" s="54" t="s">
        <v>3838</v>
      </c>
      <c r="X204" s="49" t="s">
        <v>3840</v>
      </c>
      <c r="Y204" s="54" t="s">
        <v>3839</v>
      </c>
      <c r="Z204" s="49" t="s">
        <v>3843</v>
      </c>
      <c r="AA204" s="54" t="s">
        <v>3841</v>
      </c>
      <c r="AB204" s="49" t="s">
        <v>3845</v>
      </c>
      <c r="AC204" s="54" t="s">
        <v>3842</v>
      </c>
      <c r="AD204" s="49" t="s">
        <v>3844</v>
      </c>
      <c r="AE204" s="54" t="s">
        <v>3846</v>
      </c>
      <c r="AF204" s="49" t="s">
        <v>3848</v>
      </c>
      <c r="AG204" s="54" t="s">
        <v>3847</v>
      </c>
      <c r="AH204" s="49" t="s">
        <v>3850</v>
      </c>
      <c r="AI204" s="54" t="s">
        <v>3851</v>
      </c>
      <c r="AJ204" s="49" t="s">
        <v>3854</v>
      </c>
      <c r="AK204" s="54" t="s">
        <v>3849</v>
      </c>
      <c r="AL204" s="49" t="s">
        <v>3853</v>
      </c>
      <c r="AM204" s="54" t="s">
        <v>3855</v>
      </c>
      <c r="AN204" s="49" t="s">
        <v>3856</v>
      </c>
      <c r="AO204" s="54" t="s">
        <v>3852</v>
      </c>
      <c r="AP204" s="49" t="s">
        <v>3857</v>
      </c>
      <c r="AQ204" s="54" t="s">
        <v>3858</v>
      </c>
      <c r="AR204" s="49" t="s">
        <v>3863</v>
      </c>
      <c r="AS204" s="54" t="s">
        <v>3859</v>
      </c>
      <c r="AT204" s="49" t="s">
        <v>3860</v>
      </c>
      <c r="AU204" s="54" t="s">
        <v>3861</v>
      </c>
      <c r="AV204" s="49" t="s">
        <v>3864</v>
      </c>
      <c r="AW204" s="54" t="s">
        <v>3862</v>
      </c>
      <c r="AX204" s="49" t="s">
        <v>3865</v>
      </c>
    </row>
    <row r="205" spans="1:50" ht="22.5" customHeight="1" x14ac:dyDescent="0.3">
      <c r="A205" s="49" t="str">
        <f>IF(games!A205="", "", games!A205)</f>
        <v>姆姆鬥惡龍</v>
      </c>
      <c r="C205" s="49" t="str">
        <f t="shared" si="7"/>
        <v>giftcodesbanner/姆姆鬥惡龍-禮包碼.jpg</v>
      </c>
      <c r="D205" s="49" t="str">
        <f t="shared" si="8"/>
        <v>https://www.ssbuy.tw/gift-codes.html?game=姆姆鬥惡龍</v>
      </c>
      <c r="E205" s="5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53" t="s">
        <v>2666</v>
      </c>
      <c r="G205" s="49" t="s">
        <v>2666</v>
      </c>
      <c r="H205" s="54" t="s">
        <v>2666</v>
      </c>
      <c r="I205" s="49" t="s">
        <v>2666</v>
      </c>
      <c r="K205" s="53" t="s">
        <v>2666</v>
      </c>
      <c r="L205" s="49" t="s">
        <v>2666</v>
      </c>
      <c r="M205" s="54" t="s">
        <v>2666</v>
      </c>
      <c r="N205" s="49" t="s">
        <v>2666</v>
      </c>
    </row>
    <row r="206" spans="1:50" ht="22.5" customHeight="1" x14ac:dyDescent="0.3">
      <c r="A206" s="49" t="str">
        <f>IF(games!A206="", "", games!A206)</f>
        <v>發條特攻隊</v>
      </c>
      <c r="C206" s="49" t="str">
        <f t="shared" si="7"/>
        <v>giftcodesbanner/發條特攻隊-禮包碼.jpg</v>
      </c>
      <c r="D206" s="49" t="str">
        <f t="shared" si="8"/>
        <v>https://www.ssbuy.tw/gift-codes.html?game=發條特攻隊</v>
      </c>
      <c r="E206" s="5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70" t="s">
        <v>3868</v>
      </c>
      <c r="G206" s="49" t="s">
        <v>3869</v>
      </c>
      <c r="H206" s="49" t="s">
        <v>2651</v>
      </c>
      <c r="I206" s="49" t="s">
        <v>3825</v>
      </c>
      <c r="K206" s="53" t="s">
        <v>3866</v>
      </c>
      <c r="L206" s="49" t="s">
        <v>3867</v>
      </c>
    </row>
    <row r="207" spans="1:50" ht="22.5" customHeight="1" x14ac:dyDescent="0.3">
      <c r="A207" s="49" t="str">
        <f>IF(games!A207="", "", games!A207)</f>
        <v>天命：群星</v>
      </c>
      <c r="C207" s="49" t="str">
        <f t="shared" si="7"/>
        <v>giftcodesbanner/天命：群星-禮包碼.jpg</v>
      </c>
      <c r="D207" s="49" t="str">
        <f t="shared" si="8"/>
        <v>https://www.ssbuy.tw/gift-codes.html?game=天命：群星</v>
      </c>
      <c r="E207" s="5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70" t="s">
        <v>3823</v>
      </c>
      <c r="G207" s="49" t="s">
        <v>3824</v>
      </c>
      <c r="H207" s="49" t="s">
        <v>2651</v>
      </c>
      <c r="I207" s="49" t="s">
        <v>3825</v>
      </c>
      <c r="K207" s="53" t="s">
        <v>2666</v>
      </c>
      <c r="L207" s="49" t="s">
        <v>2666</v>
      </c>
      <c r="M207" s="53" t="s">
        <v>2666</v>
      </c>
      <c r="N207" s="49" t="s">
        <v>2666</v>
      </c>
    </row>
    <row r="208" spans="1:50" ht="22.5" customHeight="1" x14ac:dyDescent="0.3">
      <c r="A208" s="49" t="str">
        <f>IF(games!A208="", "", games!A208)</f>
        <v>血影雙生</v>
      </c>
      <c r="C208" s="49" t="str">
        <f t="shared" si="7"/>
        <v>giftcodesbanner/血影雙生-禮包碼.jpg</v>
      </c>
      <c r="D208" s="49" t="str">
        <f t="shared" si="8"/>
        <v>https://www.ssbuy.tw/gift-codes.html?game=血影雙生</v>
      </c>
      <c r="E208" s="5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53" t="s">
        <v>3897</v>
      </c>
      <c r="G208" s="49" t="s">
        <v>3898</v>
      </c>
      <c r="H208" s="54" t="s">
        <v>3899</v>
      </c>
      <c r="I208" s="49" t="s">
        <v>2651</v>
      </c>
      <c r="J208" s="50" t="s">
        <v>3900</v>
      </c>
      <c r="K208" s="53" t="s">
        <v>3923</v>
      </c>
      <c r="L208" s="49" t="s">
        <v>3931</v>
      </c>
      <c r="M208" s="53" t="s">
        <v>3924</v>
      </c>
      <c r="N208" s="49" t="s">
        <v>3932</v>
      </c>
      <c r="O208" s="54" t="s">
        <v>3925</v>
      </c>
      <c r="P208" s="49" t="s">
        <v>3933</v>
      </c>
      <c r="Q208" s="54" t="s">
        <v>3926</v>
      </c>
      <c r="R208" s="49" t="s">
        <v>3934</v>
      </c>
      <c r="S208" s="54" t="s">
        <v>3927</v>
      </c>
      <c r="T208" s="49" t="s">
        <v>3935</v>
      </c>
      <c r="U208" s="54" t="s">
        <v>3928</v>
      </c>
      <c r="V208" s="49" t="s">
        <v>3936</v>
      </c>
      <c r="W208" s="54" t="s">
        <v>3929</v>
      </c>
      <c r="X208" s="49" t="s">
        <v>3937</v>
      </c>
      <c r="Y208" s="54" t="s">
        <v>3930</v>
      </c>
      <c r="Z208" s="49" t="s">
        <v>3938</v>
      </c>
      <c r="AA208" s="54" t="s">
        <v>3670</v>
      </c>
      <c r="AB208" s="49" t="s">
        <v>3939</v>
      </c>
    </row>
    <row r="209" spans="1:18" ht="22.5" customHeight="1" x14ac:dyDescent="0.3">
      <c r="A209" s="49" t="str">
        <f>IF(games!A209="", "", games!A209)</f>
        <v>我的勇者外傳</v>
      </c>
      <c r="C209" s="49" t="str">
        <f t="shared" si="7"/>
        <v>giftcodesbanner/我的勇者外傳-禮包碼.jpg</v>
      </c>
      <c r="D209" s="49" t="str">
        <f t="shared" si="8"/>
        <v>https://www.ssbuy.tw/gift-codes.html?game=我的勇者外傳</v>
      </c>
      <c r="E209" s="5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70" t="s">
        <v>3823</v>
      </c>
      <c r="G209" s="49" t="s">
        <v>3824</v>
      </c>
      <c r="H209" s="49" t="s">
        <v>2651</v>
      </c>
      <c r="I209" s="49" t="s">
        <v>3825</v>
      </c>
      <c r="K209" s="53" t="s">
        <v>3885</v>
      </c>
      <c r="L209" s="61" t="s">
        <v>3887</v>
      </c>
      <c r="M209" s="54" t="s">
        <v>3886</v>
      </c>
      <c r="N209" s="49" t="s">
        <v>3888</v>
      </c>
      <c r="O209" s="54" t="s">
        <v>3940</v>
      </c>
      <c r="P209" s="49" t="s">
        <v>3941</v>
      </c>
      <c r="Q209" s="54" t="s">
        <v>3942</v>
      </c>
      <c r="R209" s="49" t="s">
        <v>3943</v>
      </c>
    </row>
    <row r="210" spans="1:18" ht="22.5" customHeight="1" x14ac:dyDescent="0.3">
      <c r="A210" s="49" t="str">
        <f>IF(games!A210="", "", games!A210)</f>
        <v>女神契約：異世界遠征隊</v>
      </c>
      <c r="C210" s="49" t="str">
        <f t="shared" si="7"/>
        <v>giftcodesbanner/女神契約：異世界遠征隊-禮包碼.jpg</v>
      </c>
      <c r="D210" s="49" t="str">
        <f t="shared" si="8"/>
        <v>https://www.ssbuy.tw/gift-codes.html?game=女神契約：異世界遠征隊</v>
      </c>
      <c r="E210" s="5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53" t="s">
        <v>3892</v>
      </c>
      <c r="G210" s="49" t="s">
        <v>3893</v>
      </c>
      <c r="H210" s="54" t="s">
        <v>3894</v>
      </c>
      <c r="I210" s="49" t="s">
        <v>3895</v>
      </c>
      <c r="J210" s="49" t="s">
        <v>3896</v>
      </c>
      <c r="K210" s="53" t="s">
        <v>3944</v>
      </c>
      <c r="L210" s="49" t="s">
        <v>3945</v>
      </c>
      <c r="M210" s="53"/>
    </row>
    <row r="211" spans="1:18" ht="22.5" customHeight="1" x14ac:dyDescent="0.3">
      <c r="A211" s="49" t="str">
        <f>IF(games!A211="", "", games!A211)</f>
        <v/>
      </c>
      <c r="C211" s="49" t="str">
        <f t="shared" si="7"/>
        <v/>
      </c>
      <c r="D211" s="49" t="str">
        <f t="shared" si="8"/>
        <v/>
      </c>
      <c r="E211" s="50" t="str">
        <f>IF(games!I211&lt;&gt;"", games!I211, "")</f>
        <v/>
      </c>
    </row>
    <row r="212" spans="1:18" ht="22.5" customHeight="1" x14ac:dyDescent="0.3">
      <c r="A212" s="49" t="str">
        <f>IF(games!A212="", "", games!A212)</f>
        <v/>
      </c>
      <c r="C212" s="49" t="str">
        <f t="shared" si="7"/>
        <v/>
      </c>
      <c r="D212" s="49" t="str">
        <f t="shared" si="8"/>
        <v/>
      </c>
      <c r="E212" s="50" t="str">
        <f>IF(games!I212&lt;&gt;"", games!I212, "")</f>
        <v/>
      </c>
    </row>
    <row r="213" spans="1:18" ht="22.5" customHeight="1" x14ac:dyDescent="0.3">
      <c r="A213" s="49" t="str">
        <f>IF(games!A213="", "", games!A213)</f>
        <v/>
      </c>
      <c r="C213" s="49" t="str">
        <f t="shared" si="7"/>
        <v/>
      </c>
      <c r="D213" s="49" t="str">
        <f t="shared" si="8"/>
        <v/>
      </c>
      <c r="E213" s="50" t="str">
        <f>IF(games!I213&lt;&gt;"", games!I213, "")</f>
        <v/>
      </c>
    </row>
    <row r="214" spans="1:18" ht="22.5" customHeight="1" x14ac:dyDescent="0.3">
      <c r="A214" s="49" t="str">
        <f>IF(games!A214="", "", games!A214)</f>
        <v/>
      </c>
      <c r="C214" s="49" t="str">
        <f t="shared" si="7"/>
        <v/>
      </c>
      <c r="D214" s="49" t="str">
        <f t="shared" si="8"/>
        <v/>
      </c>
      <c r="E214" s="50" t="str">
        <f>IF(games!I214&lt;&gt;"", games!I214, "")</f>
        <v/>
      </c>
    </row>
    <row r="215" spans="1:18" ht="22.5" customHeight="1" x14ac:dyDescent="0.3">
      <c r="A215" s="49" t="str">
        <f>IF(games!A215="", "", games!A215)</f>
        <v/>
      </c>
      <c r="C215" s="49" t="str">
        <f t="shared" si="7"/>
        <v/>
      </c>
      <c r="D215" s="49" t="str">
        <f t="shared" si="8"/>
        <v/>
      </c>
    </row>
    <row r="216" spans="1:18" ht="22.5" customHeight="1" x14ac:dyDescent="0.3">
      <c r="A216" s="49" t="str">
        <f>IF(games!A216="", "", games!A216)</f>
        <v/>
      </c>
      <c r="C216" s="49" t="str">
        <f t="shared" si="7"/>
        <v/>
      </c>
      <c r="D216" s="49" t="str">
        <f t="shared" si="8"/>
        <v/>
      </c>
    </row>
    <row r="217" spans="1:18" ht="22.5" customHeight="1" x14ac:dyDescent="0.3">
      <c r="A217" s="49" t="str">
        <f>IF(games!A217="", "", games!A217)</f>
        <v/>
      </c>
      <c r="C217" s="49" t="str">
        <f t="shared" si="7"/>
        <v/>
      </c>
      <c r="D217" s="49" t="str">
        <f t="shared" si="8"/>
        <v/>
      </c>
    </row>
    <row r="218" spans="1:18" ht="22.5" customHeight="1" x14ac:dyDescent="0.3">
      <c r="A218" s="49" t="str">
        <f>IF(games!A218="", "", games!A218)</f>
        <v/>
      </c>
      <c r="C218" s="49" t="str">
        <f t="shared" si="7"/>
        <v/>
      </c>
      <c r="D218" s="49" t="str">
        <f t="shared" si="8"/>
        <v/>
      </c>
    </row>
    <row r="219" spans="1:18" ht="22.5" customHeight="1" x14ac:dyDescent="0.3">
      <c r="A219" s="49" t="str">
        <f>IF(games!A219="", "", games!A219)</f>
        <v/>
      </c>
      <c r="C219" s="49" t="str">
        <f t="shared" si="7"/>
        <v/>
      </c>
      <c r="D219" s="49" t="str">
        <f t="shared" si="8"/>
        <v/>
      </c>
    </row>
    <row r="220" spans="1:18" ht="22.5" customHeight="1" x14ac:dyDescent="0.3">
      <c r="A220" s="49" t="str">
        <f>IF(games!A220="", "", games!A220)</f>
        <v/>
      </c>
      <c r="C220" s="49" t="str">
        <f t="shared" si="7"/>
        <v/>
      </c>
      <c r="D220" s="49" t="str">
        <f t="shared" si="8"/>
        <v/>
      </c>
    </row>
    <row r="221" spans="1:18" ht="22.5" customHeight="1" x14ac:dyDescent="0.3">
      <c r="A221" s="49" t="str">
        <f>IF(games!A221="", "", games!A221)</f>
        <v/>
      </c>
      <c r="C221" s="49" t="str">
        <f t="shared" si="7"/>
        <v/>
      </c>
      <c r="D221" s="49" t="str">
        <f t="shared" si="8"/>
        <v/>
      </c>
    </row>
    <row r="222" spans="1:18" ht="22.5" customHeight="1" x14ac:dyDescent="0.3">
      <c r="A222" s="49" t="str">
        <f>IF(games!A222="", "", games!A222)</f>
        <v/>
      </c>
      <c r="C222" s="49" t="str">
        <f t="shared" si="7"/>
        <v/>
      </c>
      <c r="D222" s="49" t="str">
        <f t="shared" si="8"/>
        <v/>
      </c>
    </row>
    <row r="223" spans="1:18" ht="22.5" customHeight="1" x14ac:dyDescent="0.3">
      <c r="C223" s="49" t="str">
        <f t="shared" si="7"/>
        <v/>
      </c>
      <c r="D223" s="49" t="str">
        <f t="shared" si="8"/>
        <v/>
      </c>
    </row>
    <row r="224" spans="1:18"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ref="C254:C317" si="9">IF(A254="","", "giftcodesbanner/" &amp; A254 &amp; "-禮包碼.jpg")</f>
        <v/>
      </c>
      <c r="D254" s="49" t="str">
        <f t="shared" ref="D254:D317" si="10">IF(A254="","", "https://www.ssbuy.tw/gift-codes.html?game="&amp;A254)</f>
        <v/>
      </c>
    </row>
    <row r="255" spans="3:4" ht="22.5" customHeight="1" x14ac:dyDescent="0.3">
      <c r="C255" s="49" t="str">
        <f t="shared" si="9"/>
        <v/>
      </c>
      <c r="D255" s="49" t="str">
        <f t="shared" si="10"/>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ref="C318:C381" si="11">IF(A318="","", "giftcodesbanner/" &amp; A318 &amp; "-禮包碼.jpg")</f>
        <v/>
      </c>
      <c r="D318" s="49" t="str">
        <f t="shared" ref="D318:D381" si="12">IF(A318="","", "https://www.ssbuy.tw/gift-codes.html?game="&amp;A318)</f>
        <v/>
      </c>
    </row>
    <row r="319" spans="3:4" x14ac:dyDescent="0.3">
      <c r="C319" s="49" t="str">
        <f t="shared" si="11"/>
        <v/>
      </c>
      <c r="D319" s="49" t="str">
        <f t="shared" si="12"/>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ref="C382:C440" si="13">IF(A382="","", "giftcodesbanner/" &amp; A382 &amp; "-禮包碼.jpg")</f>
        <v/>
      </c>
      <c r="D382" s="49" t="str">
        <f t="shared" ref="D382:D440" si="14">IF(A382="","", "https://www.ssbuy.tw/gift-codes.html?game="&amp;A382)</f>
        <v/>
      </c>
    </row>
    <row r="383" spans="3:4" x14ac:dyDescent="0.3">
      <c r="C383" s="49" t="str">
        <f t="shared" si="13"/>
        <v/>
      </c>
      <c r="D383" s="49" t="str">
        <f t="shared" si="14"/>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2025-08-29T15:08:58Z</dcterms:modified>
</cp:coreProperties>
</file>