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<sst xmlns="http://schemas.openxmlformats.org/spreadsheetml/2006/main" count="9322" uniqueCount="6357">
  <si>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</si>
  <si>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</si>
  <si>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</si>
  <si>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</si>
  <si>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</si>
  <si>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</si>
  <si>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</si>
  <si>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</si>
  <si>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</si>
  <si>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</si>
  <si>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</si>
  <si>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</si>
  <si>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</si>
  <si>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</si>
  <si>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</si>
  <si>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</si>
  <si>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</si>
  <si>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</si>
  <si>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</si>
  <si>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</si>
  <si>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</si>
  <si>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</si>
  <si>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</si>
  <si>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</si>
  <si>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</si>
  <si>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</si>
  <si>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</si>
  <si>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</si>
  <si>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</si>
  <si>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</si>
  <si>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</si>
  <si>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</si>
  <si>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</si>
  <si>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</si>
  <si>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</si>
  <si>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</si>
  <si>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</si>
  <si>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</si>
  <si>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</si>
  <si>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</si>
  <si>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</si>
  <si>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</si>
  <si>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</si>
  <si>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</si>
  <si>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</si>
  <si>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</si>
  <si>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</si>
  <si>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</si>
  <si>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</si>
  <si>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</si>
  <si>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</si>
  <si>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</si>
  <si>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</si>
  <si>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</si>
  <si>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</si>
  <si>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</si>
  <si>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</si>
  <si>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</si>
  <si>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</si>
  <si>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</si>
  <si>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</si>
  <si>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</si>
  <si>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</si>
  <si>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</si>
  <si>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</si>
  <si>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</si>
  <si>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</si>
  <si>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</si>
  <si>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</si>
  <si>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</si>
  <si>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</si>
  <si>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</si>
  <si>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</si>
  <si>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</si>
  <si>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</si>
  <si>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</si>
  <si>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</si>
  <si>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</si>
  <si>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</si>
  <si>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</si>
  <si>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</si>
  <si>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</si>
  <si>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</si>
  <si>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</si>
  <si>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</si>
  <si>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</si>
  <si>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</si>
  <si>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</si>
  <si>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</si>
  <si>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</si>
  <si>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</si>
  <si>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</si>
  <si>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</si>
  <si>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</si>
  <si>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</si>
  <si>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</si>
  <si>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</si>
  <si>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</si>
  <si>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</si>
  <si>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</si>
  <si>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</si>
  <si>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</si>
  <si>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</si>
  <si>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</si>
  <si>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</si>
  <si>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</si>
  <si>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</si>
  <si>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</si>
  <si>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</si>
  <si>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</si>
  <si>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</si>
  <si>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</si>
  <si>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</si>
  <si>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</si>
  <si>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</si>
  <si>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</si>
  <si>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</si>
  <si>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</si>
  <si>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</si>
  <si>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</si>
  <si>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</si>
  <si>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</si>
  <si>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</si>
  <si>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</si>
  <si>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</si>
  <si>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</si>
  <si>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</si>
  <si>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</si>
  <si>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</si>
  <si>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</si>
  <si>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</si>
  <si>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</si>
  <si>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</si>
  <si>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</si>
  <si>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</si>
  <si>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</si>
  <si>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</si>
  <si>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</si>
  <si>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</si>
  <si>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</si>
  <si>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</si>
  <si>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</si>
  <si>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</si>
  <si>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</si>
  <si>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</si>
  <si>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</si>
  <si>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</si>
  <si>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</si>
  <si>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</si>
  <si>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</si>
  <si>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</si>
  <si>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</si>
  <si>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</si>
  <si>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</si>
  <si>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</si>
  <si>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</si>
  <si>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</si>
  <si>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</si>
  <si>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</si>
  <si>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</si>
  <si>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</si>
  <si>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</si>
  <si>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</si>
  <si>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</si>
  <si>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</si>
  <si>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</si>
  <si>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</si>
  <si>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</si>
  <si>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</si>
  <si>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</si>
  <si>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</si>
  <si>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</si>
  <si>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</si>
  <si>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</si>
  <si>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</si>
  <si>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</si>
  <si>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</si>
  <si>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</si>
  <si>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</si>
  <si>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</si>
  <si>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</si>
  <si>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</si>
  <si>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</si>
  <si>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</si>
  <si>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</si>
  <si>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</si>
  <si>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</si>
  <si>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</si>
  <si>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</si>
  <si>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</si>
  <si>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</si>
  <si>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</si>
  <si>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</si>
  <si>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</si>
  <si>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</si>
  <si>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</si>
  <si>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</si>
  <si>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</si>
  <si>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</si>
  <si>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</si>
  <si>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</si>
  <si>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</si>
  <si>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</si>
  <si>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</si>
  <si>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</si>
  <si>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</si>
  <si>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</si>
  <si>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</si>
  <si>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</si>
  <si>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</si>
  <si>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</si>
  <si>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</si>
  <si>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</si>
  <si>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</si>
  <si>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</si>
  <si>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</si>
  <si>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</si>
  <si>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</si>
  <si>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</si>
  <si>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</si>
  <si>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</si>
  <si>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</si>
  <si>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</si>
  <si>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</si>
  <si>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</si>
  <si>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</si>
  <si>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</si>
  <si>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</si>
  <si>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</si>
  <si>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</si>
  <si>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</si>
  <si>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</si>
  <si>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</si>
  <si>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</si>
  <si>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</si>
  <si>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</si>
  <si>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</si>
  <si>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</si>
  <si>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</si>
  <si>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</si>
  <si>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</si>
  <si>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</si>
  <si>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</si>
  <si>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</si>
  <si>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</si>
  <si>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</si>
  <si>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</si>
  <si>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</si>
  <si>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</si>
  <si>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</si>
  <si>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</si>
  <si>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</si>
  <si>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</si>
  <si>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</si>
  <si>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</si>
  <si>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</si>
  <si>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</si>
  <si>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</si>
  <si>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</si>
  <si>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</si>
  <si>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</si>
  <si>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</si>
  <si>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</si>
  <si>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</si>
  <si>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</si>
  <si>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</si>
  <si>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</si>
  <si>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</si>
  <si>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</si>
  <si>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</si>
  <si>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</si>
  <si>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</si>
  <si>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</si>
  <si>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</si>
  <si>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</si>
  <si>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</si>
  <si>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</si>
  <si>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</si>
  <si>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</si>
  <si>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</si>
  <si>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</si>
  <si>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</si>
  <si>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</si>
  <si>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</si>
  <si>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</si>
  <si>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</si>
  <si>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</si>
  <si>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</si>
  <si>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</si>
  <si>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</si>
  <si>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</si>
  <si>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</si>
  <si>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</si>
  <si>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</si>
  <si>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</si>
  <si>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</si>
  <si>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</si>
  <si>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</si>
  <si>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</si>
  <si>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</si>
  <si>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</si>
  <si>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</si>
  <si>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</si>
  <si>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</si>
  <si>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</si>
  <si>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</si>
  <si>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</si>
  <si>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</si>
  <si>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</si>
  <si>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</si>
  <si>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</si>
  <si>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</si>
  <si>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</si>
  <si>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</si>
  <si>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</si>
  <si>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</si>
  <si>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</si>
  <si>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</si>
  <si>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</si>
  <si>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</si>
  <si>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</si>
  <si>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</si>
  <si>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</si>
  <si>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</si>
  <si>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</si>
  <si>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</si>
  <si>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</si>
  <si>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</si>
  <si>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</si>
  <si>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</si>
  <si>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</si>
  <si>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</si>
  <si>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</si>
  <si>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</si>
  <si>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</si>
  <si>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</si>
  <si>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</si>
  <si>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</si>
  <si>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</si>
  <si>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</si>
  <si>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</si>
  <si>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</si>
  <si>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</si>
  <si>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</si>
  <si>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</si>
  <si>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</si>
  <si>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</si>
  <si>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</si>
  <si>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</si>
  <si>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</si>
  <si>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</si>
  <si>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</si>
  <si>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</si>
  <si>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</si>
  <si>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</si>
  <si>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</si>
  <si>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</si>
  <si>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</si>
  <si>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</si>
  <si>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</si>
  <si>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</si>
  <si>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</si>
  <si>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</si>
  <si>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</si>
  <si>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</si>
  <si>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</si>
  <si>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</si>
  <si>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</si>
  <si>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</si>
  <si>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</si>
  <si>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</si>
  <si>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</si>
  <si>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</si>
  <si>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</si>
  <si>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</si>
  <si>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</si>
  <si>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</si>
  <si>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</si>
  <si>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</si>
  <si>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</si>
  <si>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</si>
  <si>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</si>
  <si>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</si>
  <si>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</si>
  <si>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</si>
  <si>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</si>
  <si>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</si>
  <si>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</si>
  <si>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</si>
  <si>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</si>
  <si>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</si>
  <si>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</si>
  <si>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</si>
  <si>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</si>
  <si>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</si>
  <si>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</si>
  <si>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</si>
  <si>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</si>
  <si>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</si>
  <si>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</si>
  <si>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</si>
  <si>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</si>
  <si>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</si>
  <si>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</si>
  <si>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</si>
  <si>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</si>
  <si>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</si>
  <si>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</si>
  <si>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</si>
  <si>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</si>
  <si>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</si>
  <si>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</si>
  <si>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</si>
  <si>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</si>
  <si>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</si>
  <si>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</si>
  <si>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</si>
  <si>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</si>
  <si>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</si>
  <si>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</si>
  <si>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</si>
  <si>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</si>
  <si>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</si>
  <si>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</si>
  <si>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</si>
  <si>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</si>
  <si>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</si>
  <si>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</si>
  <si>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</si>
  <si>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</si>
  <si>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</si>
  <si>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</si>
  <si>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</si>
  <si>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</si>
  <si>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</si>
  <si>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</si>
  <si>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</si>
  <si>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</si>
  <si>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</si>
  <si>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</si>
  <si>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</si>
  <si>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</si>
  <si>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</si>
  <si>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</si>
  <si>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</si>
  <si>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</si>
  <si>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</si>
  <si>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</si>
  <si>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</si>
  <si>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</si>
  <si>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</si>
  <si>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</si>
  <si>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</si>
  <si>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</si>
  <si>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</si>
  <si>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</si>
  <si>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</si>
  <si>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</si>
  <si>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</si>
  <si>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</si>
  <si>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</si>
  <si>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</si>
  <si>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</si>
  <si>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</si>
  <si>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</si>
  <si>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</si>
  <si>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</si>
  <si>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</si>
  <si>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</si>
  <si>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</si>
  <si>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</si>
  <si>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</si>
  <si>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</si>
  <si>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</si>
  <si>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</si>
  <si>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</si>
  <si>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</si>
  <si>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</si>
  <si>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</si>
  <si>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</si>
  <si>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</si>
  <si>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</si>
  <si>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</si>
  <si>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</si>
  <si>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</si>
  <si>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</si>
  <si>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</si>
  <si>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</si>
  <si>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</si>
  <si>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</si>
  <si>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</si>
  <si>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</si>
  <si>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</si>
  <si>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</si>
  <si>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</si>
  <si>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</si>
  <si>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</si>
  <si>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</si>
  <si>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</si>
  <si>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</si>
  <si>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</si>
  <si>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</si>
  <si>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</si>
  <si>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</si>
  <si>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</si>
  <si>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</si>
  <si>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</si>
  <si>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</si>
  <si>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</si>
  <si>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</si>
  <si>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</si>
  <si>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</si>
  <si>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</si>
  <si>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</si>
  <si>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</si>
  <si>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</si>
  <si>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</si>
  <si>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</si>
  <si>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</si>
  <si>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</si>
  <si>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</si>
  <si>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</si>
  <si>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</si>
  <si>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</si>
  <si>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</si>
  <si>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</si>
  <si>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</si>
  <si>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</si>
  <si>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</si>
  <si>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</si>
  <si>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</si>
  <si>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</si>
  <si>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</si>
  <si>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</si>
  <si>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</si>
  <si>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</si>
  <si>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</si>
  <si>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</si>
  <si>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</si>
  <si>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</si>
  <si>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</si>
  <si>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</si>
  <si>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</si>
  <si>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</si>
  <si>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</si>
  <si>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</si>
  <si>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</si>
  <si>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</si>
  <si>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</si>
  <si>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</si>
  <si>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</si>
  <si>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</si>
  <si>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</si>
  <si>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</si>
  <si>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</si>
  <si>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</si>
  <si>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</si>
  <si>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</si>
  <si>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</si>
  <si>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</si>
  <si>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</si>
  <si>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</si>
  <si>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</si>
  <si>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</si>
  <si>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</si>
  <si>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</si>
  <si>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</si>
  <si>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</si>
  <si>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</si>
  <si>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</si>
  <si>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</si>
  <si>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</si>
  <si>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</si>
  <si>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</si>
  <si>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</si>
  <si>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</si>
  <si>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</si>
  <si>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</si>
  <si>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</si>
  <si>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</si>
  <si>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</si>
  <si>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</si>
  <si>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</si>
  <si>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</si>
  <si>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</si>
  <si>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</si>
  <si>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</si>
  <si>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</si>
  <si>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</si>
  <si>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</si>
  <si>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</si>
  <si>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</si>
  <si>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</si>
  <si>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</si>
  <si>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</si>
  <si>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</si>
  <si>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</si>
  <si>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</si>
  <si>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</si>
  <si>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</si>
  <si>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</si>
  <si>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</si>
  <si>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</si>
  <si>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</si>
  <si>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</si>
  <si>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</si>
  <si>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</si>
  <si>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</si>
  <si>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</si>
  <si>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</si>
  <si>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</si>
  <si>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</si>
  <si>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</si>
  <si>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</si>
  <si>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</si>
  <si>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</si>
  <si>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</si>
  <si>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</si>
  <si>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</si>
  <si>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</si>
  <si>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</si>
  <si>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</si>
  <si>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</si>
  <si>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</si>
  <si>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</si>
  <si>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</si>
  <si>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</si>
  <si>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</si>
  <si>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</si>
  <si>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</si>
  <si>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</si>
  <si>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</si>
  <si>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</si>
  <si>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</si>
  <si>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</si>
  <si>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</si>
  <si>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</si>
  <si>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</si>
  <si>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</si>
  <si>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</si>
  <si>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</si>
  <si>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</si>
  <si>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</si>
  <si>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</si>
  <si>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</si>
  <si>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</si>
  <si>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</si>
  <si>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</si>
  <si>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</si>
  <si>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</si>
  <si>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</si>
  <si>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</si>
  <si>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</si>
  <si>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</si>
  <si>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</si>
  <si>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</si>
  <si>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</si>
  <si>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</si>
  <si>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</si>
  <si>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</si>
  <si>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</si>
  <si>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</si>
  <si>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</si>
  <si>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</si>
  <si>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</si>
  <si>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</si>
  <si>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</si>
  <si>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</si>
  <si>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</si>
  <si>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</si>
  <si>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</si>
  <si>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</si>
  <si>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</si>
  <si>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</si>
  <si>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</si>
  <si>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</si>
  <si>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</si>
  <si>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</si>
  <si>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</si>
  <si>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</si>
  <si>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</si>
  <si>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</si>
  <si>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</si>
  <si>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</si>
  <si>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</si>
  <si>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</si>
  <si>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</si>
  <si>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</si>
  <si>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</si>
  <si>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</si>
  <si>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</si>
  <si>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</si>
  <si>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</si>
  <si>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</si>
  <si>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</si>
  <si>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</si>
  <si>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</si>
  <si>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</si>
  <si>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</si>
  <si>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</si>
  <si>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</si>
  <si>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</si>
  <si>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</si>
  <si>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</si>
  <si>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</si>
  <si>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</si>
  <si>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</si>
  <si>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</si>
  <si>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</si>
  <si>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</si>
  <si>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</si>
  <si>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</si>
  <si>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</si>
  <si>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</si>
  <si>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</si>
  <si>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</si>
  <si>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</si>
  <si>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</si>
  <si>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</si>
  <si>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</si>
  <si>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</si>
  <si>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</si>
  <si>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</si>
  <si>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</si>
  <si>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</si>
  <si>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</si>
  <si>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</si>
  <si>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</si>
  <si>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</si>
  <si>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</si>
  <si>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</si>
  <si>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</si>
  <si>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</si>
  <si>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</si>
  <si>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</si>
  <si>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</si>
  <si>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</si>
  <si>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</si>
  <si>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</si>
  <si>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</si>
  <si>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</si>
  <si>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</si>
  <si>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</si>
  <si>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</si>
  <si>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</si>
  <si>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</si>
  <si>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</si>
  <si>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</si>
  <si>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</si>
  <si>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</si>
  <si>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</si>
  <si>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</si>
  <si>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</si>
  <si>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</si>
  <si>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</si>
  <si>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</si>
  <si>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</si>
  <si>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</si>
  <si>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</si>
  <si>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</si>
  <si>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</si>
  <si>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</si>
  <si>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</si>
  <si>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</si>
  <si>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</si>
  <si>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</si>
  <si>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</si>
  <si>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</si>
  <si>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</si>
  <si>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</si>
  <si>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</si>
  <si>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</si>
  <si>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</si>
  <si>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</si>
  <si>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</si>
  <si>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</si>
  <si>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</si>
  <si>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</si>
  <si>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</si>
  <si>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</si>
  <si>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</si>
  <si>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</si>
  <si>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</si>
  <si>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</si>
  <si>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</si>
  <si>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</si>
  <si>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</si>
  <si>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</si>
  <si>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</si>
  <si>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</si>
  <si>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</si>
  <si>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</si>
  <si>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</si>
  <si>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</si>
  <si>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</si>
  <si>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</si>
  <si>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</si>
  <si>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</si>
  <si>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</si>
  <si>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</si>
  <si>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</si>
  <si>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</si>
  <si>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</si>
  <si>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</si>
  <si>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</si>
  <si>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</si>
  <si>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</si>
  <si>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</si>
  <si>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</si>
  <si>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</si>
  <si>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</si>
  <si>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</si>
  <si>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</si>
  <si>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</si>
  <si>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</si>
  <si>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</si>
  <si>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</si>
  <si>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</si>
  <si>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</si>
  <si>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</si>
  <si>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</si>
  <si>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</si>
  <si>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</si>
  <si>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</si>
  <si>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</si>
  <si>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</si>
  <si>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</si>
  <si>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</si>
  <si>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</si>
  <si>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</si>
  <si>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</si>
  <si>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</si>
  <si>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</si>
  <si>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</si>
  <si>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</si>
  <si>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</si>
  <si>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</si>
  <si>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</si>
  <si>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</si>
  <si>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</si>
  <si>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</si>
  <si>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</si>
  <si>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</si>
  <si>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</si>
  <si>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</si>
  <si>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</si>
  <si>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</si>
  <si>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</si>
  <si>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</si>
  <si>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</si>
  <si>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</si>
  <si>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</si>
  <si>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</si>
  <si>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</si>
  <si>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</si>
  <si>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</si>
  <si>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</si>
  <si>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</si>
  <si>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</si>
  <si>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</si>
  <si>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</si>
  <si>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</si>
  <si>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</si>
  <si>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</si>
  <si>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</si>
  <si>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</si>
  <si>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</si>
  <si>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</si>
  <si>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</si>
  <si>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</si>
  <si>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</si>
  <si>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</si>
  <si>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</si>
  <si>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</si>
  <si>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</si>
  <si>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</si>
  <si>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</si>
  <si>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</si>
  <si>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</si>
  <si>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</si>
  <si>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</si>
  <si>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</si>
  <si>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</si>
  <si>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</si>
  <si>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</si>
  <si>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</si>
  <si>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</si>
  <si>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</si>
  <si>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</si>
  <si>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</si>
  <si>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</si>
  <si>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</si>
  <si>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</si>
  <si>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</si>
  <si>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</si>
  <si>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</si>
  <si>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</si>
  <si>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</si>
  <si>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</si>
  <si>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</si>
  <si>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</si>
  <si>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</si>
  <si>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</si>
  <si>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</si>
  <si>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</si>
  <si>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</si>
  <si>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</si>
  <si>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</si>
  <si>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</si>
  <si>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</si>
  <si>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</si>
  <si>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</si>
  <si>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</si>
  <si>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</si>
  <si>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</si>
  <si>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</si>
  <si>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</si>
  <si>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</si>
  <si>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</si>
  <si>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</si>
  <si>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</si>
  <si>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</si>
  <si>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</si>
  <si>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</si>
  <si>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</si>
  <si>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</si>
  <si>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</si>
  <si>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</si>
  <si>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</si>
  <si>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</si>
  <si>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</si>
  <si>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</si>
  <si>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</si>
  <si>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</si>
  <si>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</si>
  <si>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</si>
  <si>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</si>
  <si>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</si>
  <si>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</si>
  <si>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</si>
  <si>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</si>
  <si>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</si>
  <si>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</si>
  <si>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</si>
  <si>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</si>
  <si>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</si>
  <si>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</si>
  <si>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</si>
  <si>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</si>
  <si>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</si>
  <si>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</si>
  <si>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</si>
  <si>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</si>
  <si>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</si>
  <si>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</si>
  <si>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</si>
  <si>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</si>
  <si>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</si>
  <si>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</si>
  <si>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</si>
  <si>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</si>
  <si>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</si>
  <si>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</si>
  <si>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</si>
  <si>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</si>
  <si>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</si>
  <si>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</si>
  <si>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</si>
  <si>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</si>
  <si>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</si>
  <si>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</si>
  <si>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</si>
  <si>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</si>
  <si>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</si>
  <si>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</si>
  <si>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</si>
  <si>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</si>
  <si>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</si>
  <si>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</si>
  <si>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</si>
  <si>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</si>
  <si>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</si>
  <si>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</si>
  <si>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</si>
  <si>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</si>
  <si>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</si>
  <si>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</si>
  <si>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</si>
  <si>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</si>
  <si>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</si>
  <si>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</si>
  <si>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</si>
  <si>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</si>
  <si>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</si>
  <si>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</si>
  <si>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</si>
  <si>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</si>
  <si>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</si>
  <si>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</si>
  <si>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</si>
  <si>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</si>
  <si>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</si>
  <si>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</si>
  <si>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</si>
  <si>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</si>
  <si>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</si>
  <si>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</si>
  <si>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</si>
  <si>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</si>
  <si>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</si>
  <si>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</si>
  <si>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</si>
  <si>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</si>
  <si>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</si>
  <si>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</si>
  <si>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</si>
  <si>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</si>
  <si>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</si>
  <si>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</si>
  <si>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</si>
  <si>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</si>
  <si>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</si>
  <si>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</si>
  <si>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</si>
  <si>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</si>
  <si>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</si>
  <si>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</si>
  <si>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</si>
  <si>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</si>
  <si>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</si>
  <si>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</si>
  <si>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</si>
  <si>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</si>
  <si>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</si>
  <si>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</si>
  <si>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</si>
  <si>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</si>
  <si>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</si>
  <si>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</si>
  <si>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</si>
  <si>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</si>
  <si>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</si>
  <si>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</si>
  <si>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</si>
  <si>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</si>
  <si>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</si>
  <si>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</si>
  <si>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</si>
  <si>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</si>
  <si>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</si>
  <si>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</si>
  <si>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</si>
  <si>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</si>
  <si>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</si>
  <si>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</si>
  <si>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</si>
  <si>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</si>
  <si>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</si>
  <si>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</si>
  <si>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</si>
  <si>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</si>
  <si>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</si>
  <si>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</si>
  <si>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</si>
  <si>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</si>
  <si>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</si>
  <si>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</si>
  <si>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</si>
  <si>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</si>
  <si>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</si>
  <si>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</si>
  <si>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</si>
  <si>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</si>
  <si>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</si>
  <si>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</si>
  <si>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</si>
  <si>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</si>
  <si>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</si>
  <si>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</si>
  <si>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</si>
  <si>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</si>
  <si>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</si>
  <si>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</si>
  <si>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</si>
  <si>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</si>
  <si>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</si>
  <si>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</si>
  <si>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</si>
  <si>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</si>
  <si>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</si>
  <si>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</si>
  <si>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</si>
  <si>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</si>
  <si>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</si>
  <si>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</si>
  <si>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</si>
  <si>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</si>
  <si>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</si>
  <si>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</si>
  <si>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</si>
  <si>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</si>
  <si>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</si>
  <si>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</si>
  <si>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</si>
  <si>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</si>
  <si>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</si>
  <si>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</si>
  <si>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</si>
  <si>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</si>
  <si>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</si>
  <si>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</si>
  <si>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</si>
  <si>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</si>
  <si>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</si>
  <si>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</si>
  <si>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</si>
  <si>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</si>
  <si>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</si>
  <si>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</si>
  <si>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</si>
  <si>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</si>
  <si>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</si>
  <si>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</si>
  <si>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</si>
  <si>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</si>
  <si>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</si>
  <si>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</si>
  <si>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</si>
  <si>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</si>
  <si>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</si>
  <si>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</si>
  <si>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</si>
  <si>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</si>
  <si>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</si>
  <si>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</si>
  <si>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</si>
  <si>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</si>
  <si>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</si>
  <si>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</si>
  <si>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</si>
  <si>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</si>
  <si>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</si>
  <si>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</si>
  <si>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</si>
  <si>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</si>
  <si>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</si>
  <si>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</si>
  <si>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</si>
  <si>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</si>
  <si>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</si>
  <si>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</si>
  <si>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</si>
  <si>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</si>
  <si>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</si>
  <si>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</si>
  <si>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</si>
  <si>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</si>
  <si>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</si>
  <si>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</si>
  <si>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</si>
  <si>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</si>
  <si>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</si>
  <si>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</si>
  <si>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</si>
  <si>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</si>
  <si>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</si>
  <si>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</si>
  <si>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</si>
  <si>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</si>
  <si>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</si>
  <si>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</si>
  <si>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</si>
  <si>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</si>
  <si>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</si>
  <si>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</si>
  <si>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</si>
  <si>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</si>
  <si>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</si>
  <si>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</si>
  <si>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</si>
  <si>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</si>
  <si>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</si>
  <si>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</si>
  <si>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</si>
  <si>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</si>
  <si>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</si>
  <si>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</si>
  <si>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</si>
  <si>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</si>
  <si>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</si>
  <si>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</si>
  <si>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</si>
  <si>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</si>
  <si>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</si>
  <si>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</si>
  <si>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</si>
  <si>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</si>
  <si>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</si>
  <si>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</si>
  <si>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</si>
  <si>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</si>
  <si>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</si>
  <si>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</si>
  <si>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</si>
  <si>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</si>
  <si>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</si>
  <si>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</si>
  <si>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</si>
  <si>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</si>
  <si>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</si>
  <si>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</si>
  <si>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</si>
  <si>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</si>
  <si>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</si>
  <si>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</si>
  <si>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</si>
  <si>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</si>
  <si>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</si>
  <si>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</si>
  <si>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</si>
  <si>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</si>
  <si>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</si>
  <si>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</si>
  <si>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</si>
  <si>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</si>
  <si>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</si>
  <si>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</si>
  <si>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</si>
  <si>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</si>
  <si>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</si>
  <si>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</si>
  <si>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</si>
  <si>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</si>
  <si>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</si>
  <si>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</si>
  <si>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</si>
  <si>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</si>
  <si>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</si>
  <si>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</si>
  <si>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</si>
  <si>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</si>
  <si>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</si>
  <si>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</si>
  <si>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</si>
  <si>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</si>
  <si>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</si>
  <si>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</si>
  <si>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</si>
  <si>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</si>
  <si>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</si>
  <si>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</si>
  <si>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</si>
  <si>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</si>
  <si>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</si>
  <si>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</si>
  <si>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</si>
  <si>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</si>
  <si>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</si>
  <si>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</si>
  <si>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</si>
  <si>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</si>
  <si>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</si>
  <si>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</si>
  <si>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</si>
  <si>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</si>
  <si>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</si>
  <si>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</si>
  <si>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</si>
  <si>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</si>
  <si>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</si>
  <si>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</si>
  <si>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</si>
  <si>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</si>
  <si>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</si>
  <si>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</si>
  <si>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</si>
  <si>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</si>
  <si>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</si>
  <si>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</si>
  <si>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</si>
  <si>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</si>
  <si>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</si>
  <si>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</si>
  <si>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</si>
  <si>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</si>
  <si>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</si>
  <si>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</si>
  <si>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</si>
  <si>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</si>
  <si>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</si>
  <si>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</si>
  <si>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</si>
  <si>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</si>
  <si>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</si>
  <si>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</si>
  <si>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</si>
  <si>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</si>
  <si>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</si>
  <si>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</si>
  <si>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</si>
  <si>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</si>
  <si>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</si>
  <si>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</si>
  <si>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</si>
  <si>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</si>
  <si>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</si>
  <si>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</si>
  <si>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</si>
  <si>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</si>
  <si>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</si>
  <si>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</si>
  <si>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</si>
  <si>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</si>
  <si>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</si>
  <si>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</si>
  <si>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</si>
  <si>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</si>
  <si>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</si>
  <si>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</si>
  <si>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</si>
  <si>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</si>
  <si>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</si>
  <si>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</si>
  <si>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</si>
  <si>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</si>
  <si>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</si>
  <si>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</si>
  <si>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</si>
  <si>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</si>
  <si>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</si>
  <si>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</si>
  <si>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</si>
  <si>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</si>
  <si>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</si>
  <si>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</si>
  <si>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</si>
  <si>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</si>
  <si>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</si>
  <si>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</si>
  <si>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</si>
  <si>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</si>
  <si>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</si>
  <si>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</si>
  <si>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</si>
  <si>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</si>
  <si>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</si>
  <si>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</si>
  <si>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</si>
  <si>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</si>
  <si>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</si>
  <si>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</si>
  <si>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</si>
  <si>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</si>
  <si>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</si>
  <si>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</si>
  <si>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</si>
  <si>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</si>
  <si>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</si>
  <si>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</si>
  <si>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</si>
  <si>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</si>
  <si>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</si>
  <si>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</si>
  <si>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</si>
  <si>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</si>
  <si>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</si>
  <si>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</si>
  <si>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</si>
  <si>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</si>
  <si>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</si>
  <si>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</si>
  <si>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</si>
  <si>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</si>
  <si>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</si>
  <si>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</si>
  <si>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</si>
  <si>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</si>
  <si>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</si>
  <si>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</si>
  <si>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</si>
  <si>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</si>
  <si>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</si>
  <si>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</si>
  <si>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</si>
  <si>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</si>
  <si>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</si>
  <si>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</si>
  <si>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</si>
  <si>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</si>
  <si>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</si>
  <si>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</si>
  <si>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</si>
  <si>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</si>
  <si>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</si>
  <si>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</si>
  <si>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</si>
  <si>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</si>
  <si>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</si>
  <si>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</si>
  <si>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</si>
  <si>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</si>
  <si>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</si>
  <si>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</si>
  <si>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</si>
  <si>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</si>
  <si>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</si>
  <si>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</si>
  <si>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</si>
  <si>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</si>
  <si>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</si>
  <si>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</si>
  <si>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</si>
  <si>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</si>
  <si>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</si>
  <si>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</si>
  <si>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</si>
  <si>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</si>
  <si>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</si>
  <si>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</si>
  <si>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</si>
  <si>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</si>
  <si>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</si>
  <si>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</si>
  <si>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</si>
  <si>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</si>
  <si>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</si>
  <si>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</si>
  <si>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</si>
  <si>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</si>
  <si>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</si>
  <si>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</si>
  <si>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</si>
  <si>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</si>
  <si>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</si>
  <si>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</si>
  <si>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</si>
  <si>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</si>
  <si>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</si>
  <si>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</si>
  <si>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</si>
  <si>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</si>
  <si>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</si>
  <si>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</si>
  <si>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</si>
  <si>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</si>
  <si>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</si>
  <si>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</si>
  <si>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</si>
  <si>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</si>
  <si>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</si>
  <si>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</si>
  <si>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</si>
  <si>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</si>
  <si>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</si>
  <si>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</si>
  <si>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</si>
  <si>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</si>
  <si>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</si>
  <si>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</si>
  <si>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</si>
  <si>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</si>
  <si>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</si>
  <si>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</si>
  <si>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</si>
  <si>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</si>
  <si>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</si>
  <si>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</si>
  <si>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</si>
  <si>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</si>
  <si>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</si>
  <si>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</si>
  <si>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</si>
  <si>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</si>
  <si>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</si>
  <si>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</si>
  <si>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</si>
  <si>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</si>
  <si>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</si>
  <si>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</si>
  <si>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</si>
  <si>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</si>
  <si>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</si>
  <si>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</si>
  <si>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</si>
  <si>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</si>
  <si>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</si>
  <si>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</si>
  <si>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</si>
  <si>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</si>
  <si>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</si>
  <si>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</si>
  <si>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</si>
  <si>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</si>
  <si>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</si>
  <si>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</si>
  <si>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</si>
  <si>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</si>
  <si>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</si>
  <si>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</si>
  <si>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</si>
  <si>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</si>
  <si>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</si>
  <si>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</si>
  <si>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</si>
  <si>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</si>
  <si>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</si>
  <si>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</si>
  <si>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</si>
  <si>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</si>
  <si>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</si>
  <si>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</si>
  <si>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</si>
  <si>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</si>
  <si>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</si>
  <si>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</si>
  <si>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</si>
  <si>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</si>
  <si>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</si>
  <si>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</si>
  <si>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</si>
  <si>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</si>
  <si>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</si>
  <si>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</si>
  <si>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</si>
  <si>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</si>
  <si>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</si>
  <si>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</si>
  <si>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</si>
  <si>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</si>
  <si>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</si>
  <si>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</si>
  <si>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</si>
  <si>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</si>
  <si>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</si>
  <si>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</si>
  <si>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</si>
  <si>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</si>
  <si>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</si>
  <si>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</si>
  <si>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</si>
  <si>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</si>
  <si>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</si>
  <si>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</si>
  <si>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</si>
  <si>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</si>
  <si>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</si>
  <si>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</si>
  <si>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</si>
  <si>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</si>
  <si>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</si>
  <si>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</si>
  <si>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</si>
  <si>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</si>
  <si>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</si>
  <si>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</si>
  <si>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</si>
  <si>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</si>
  <si>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</si>
  <si>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</si>
  <si>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</si>
  <si>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</si>
  <si>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</si>
  <si>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</si>
  <si>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</si>
  <si>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</si>
  <si>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</si>
  <si>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</si>
  <si>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</si>
  <si>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</si>
  <si>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</si>
  <si>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</si>
  <si>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</si>
  <si>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</si>
  <si>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</si>
  <si>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</si>
  <si>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</si>
  <si>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</si>
  <si>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</si>
  <si>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</si>
  <si>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</si>
  <si>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</si>
  <si>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</si>
  <si>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</si>
  <si>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</si>
  <si>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</si>
  <si>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</si>
  <si>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</si>
  <si>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</si>
  <si>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</si>
  <si>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</si>
  <si>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</si>
  <si>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</si>
  <si>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</si>
  <si>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</si>
  <si>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</si>
  <si>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</si>
  <si>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</si>
  <si>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</si>
  <si>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</si>
  <si>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</si>
  <si>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</si>
  <si>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</si>
  <si>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</si>
  <si>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</si>
  <si>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</si>
  <si>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</si>
  <si>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</si>
  <si>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</si>
  <si>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</si>
  <si>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</si>
  <si>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</si>
  <si>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</si>
  <si>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</si>
  <si>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</si>
  <si>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</si>
  <si>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</si>
  <si>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</si>
  <si>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</si>
  <si>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</si>
  <si>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</si>
  <si>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</si>
  <si>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</si>
  <si>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</si>
  <si>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</si>
  <si>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</si>
  <si>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</si>
  <si>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</si>
  <si>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</si>
  <si>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</si>
  <si>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</si>
  <si>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</si>
  <si>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</si>
  <si>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</si>
  <si>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</si>
  <si>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</si>
  <si>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</si>
  <si>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</si>
  <si>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</si>
  <si>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</si>
  <si>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</si>
  <si>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</si>
  <si>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</si>
  <si>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</si>
  <si>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</si>
  <si>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</si>
  <si>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</si>
  <si>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</si>
  <si>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</si>
  <si>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</si>
  <si>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</si>
  <si>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</si>
  <si>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</si>
  <si>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</si>
  <si>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</si>
  <si>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</si>
  <si>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</si>
  <si>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</si>
  <si>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</si>
  <si>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</si>
  <si>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</si>
  <si>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</si>
  <si>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</si>
  <si>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</si>
  <si>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</si>
  <si>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</si>
  <si>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</si>
  <si>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</si>
  <si>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</si>
  <si>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</si>
  <si>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</si>
  <si>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</si>
  <si>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</si>
  <si>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</si>
  <si>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</si>
  <si>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</si>
  <si>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</si>
  <si>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</si>
  <si>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</si>
  <si>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</si>
  <si>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</si>
  <si>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</si>
  <si>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</si>
  <si>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</si>
  <si>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</si>
  <si>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</si>
  <si>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</si>
  <si>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</si>
  <si>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</si>
  <si>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</si>
  <si>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</si>
  <si>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</si>
  <si>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</si>
  <si>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</si>
  <si>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</si>
  <si>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</si>
  <si>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</si>
  <si>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</si>
  <si>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</si>
  <si>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</si>
  <si>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</si>
  <si>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</si>
  <si>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</si>
  <si>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</si>
  <si>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</si>
  <si>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</si>
  <si>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</si>
  <si>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</si>
  <si>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</si>
  <si>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</si>
  <si>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</si>
  <si>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</si>
  <si>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</si>
  <si>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</si>
  <si>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</si>
  <si>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</si>
  <si>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</si>
  <si>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</si>
  <si>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</si>
  <si>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</si>
  <si>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</si>
  <si>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</si>
  <si>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</si>
  <si>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</si>
  <si>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</si>
  <si>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</si>
  <si>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</si>
  <si>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</si>
  <si>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</si>
  <si>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</si>
  <si>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</si>
  <si>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</si>
  <si>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</si>
  <si>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</si>
  <si>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</si>
  <si>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</si>
  <si>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</si>
  <si>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</si>
  <si>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</si>
  <si>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</si>
  <si>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</si>
  <si>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</si>
  <si>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</si>
  <si>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</si>
  <si>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</si>
  <si>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</si>
  <si>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</si>
  <si>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</si>
  <si>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</si>
  <si>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</si>
  <si>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</si>
  <si>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</si>
  <si>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</si>
  <si>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</si>
  <si>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</si>
  <si>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</si>
  <si>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</si>
  <si>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</si>
  <si>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</si>
  <si>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</si>
  <si>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</si>
  <si>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</si>
  <si>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</si>
  <si>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</si>
  <si>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</si>
  <si>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</si>
  <si>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</si>
  <si>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</si>
  <si>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</si>
  <si>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</si>
  <si>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</si>
  <si>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</si>
  <si>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</si>
  <si>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</si>
  <si>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</si>
  <si>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</si>
  <si>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</si>
  <si>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</si>
  <si>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</si>
  <si>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</si>
  <si>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</si>
  <si>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</si>
  <si>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</si>
  <si>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</si>
  <si>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</si>
  <si>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</si>
  <si>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</si>
  <si>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</si>
  <si>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</si>
  <si>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</si>
  <si>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</si>
  <si>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</si>
  <si>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</si>
  <si>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</si>
  <si>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</si>
  <si>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</si>
  <si>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</si>
  <si>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</si>
  <si>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</si>
  <si>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</si>
  <si>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</si>
  <si>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</si>
  <si>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</si>
  <si>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</si>
  <si>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</si>
  <si>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</si>
  <si>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</si>
  <si>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</si>
  <si>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</si>
  <si>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</si>
  <si>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</si>
  <si>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</si>
  <si>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</si>
  <si>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</si>
  <si>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</si>
  <si>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</si>
  <si>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</si>
  <si>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</si>
  <si>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</si>
  <si>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</si>
  <si>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</si>
  <si>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</si>
  <si>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</si>
  <si>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</si>
  <si>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</si>
  <si>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</si>
  <si>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</si>
  <si>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</si>
  <si>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</si>
  <si>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</si>
  <si>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</si>
  <si>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</si>
  <si>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</si>
  <si>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</si>
  <si>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</si>
  <si>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</si>
  <si>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</si>
  <si>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</si>
  <si>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</si>
  <si>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</si>
  <si>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</si>
  <si>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</si>
  <si>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</si>
  <si>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</si>
  <si>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</si>
  <si>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</si>
  <si>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</si>
  <si>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</si>
  <si>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</si>
  <si>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</si>
  <si>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</si>
  <si>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</si>
  <si>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</si>
  <si>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</si>
  <si>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</si>
  <si>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</si>
  <si>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</si>
  <si>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</si>
  <si>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</si>
  <si>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</si>
  <si>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</si>
  <si>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</si>
  <si>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</si>
  <si>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</si>
  <si>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</si>
  <si>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</si>
  <si>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</si>
  <si>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</si>
  <si>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</si>
  <si>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</si>
  <si>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</si>
  <si>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</si>
  <si>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</si>
  <si>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</si>
  <si>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</si>
  <si>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</si>
  <si>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</si>
  <si>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</si>
  <si>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</si>
  <si>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</si>
  <si>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</si>
  <si>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</si>
  <si>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</si>
  <si>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</si>
  <si>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</si>
  <si>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</si>
  <si>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</si>
  <si>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</si>
  <si>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</si>
  <si>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</si>
  <si>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</si>
  <si>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</si>
  <si>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</si>
  <si>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</si>
  <si>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</si>
  <si>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</si>
  <si>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</si>
  <si>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</si>
  <si>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</si>
  <si>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</si>
  <si>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</si>
  <si>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</si>
  <si>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</si>
  <si>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</si>
  <si>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</si>
  <si>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</si>
  <si>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</si>
  <si>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</si>
  <si>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</si>
  <si>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</si>
  <si>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</si>
  <si>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</si>
  <si>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</si>
  <si>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</si>
  <si>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</si>
  <si>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</si>
  <si>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</si>
  <si>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</si>
  <si>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</si>
  <si>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</si>
  <si>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</si>
  <si>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</si>
  <si>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</si>
  <si>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</si>
  <si>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</si>
  <si>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</si>
  <si>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</si>
  <si>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</si>
  <si>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</si>
  <si>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</si>
  <si>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</si>
  <si>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</si>
  <si>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</si>
  <si>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</si>
  <si>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</si>
  <si>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</si>
  <si>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</si>
  <si>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</si>
  <si>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</si>
  <si>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</si>
  <si>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</si>
  <si>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</si>
  <si>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</si>
  <si>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</si>
  <si>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</si>
  <si>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</si>
  <si>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</si>
  <si>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</si>
  <si>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</si>
  <si>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</si>
  <si>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</si>
  <si>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</si>
  <si>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</si>
  <si>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</si>
  <si>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</si>
  <si>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</si>
  <si>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</si>
  <si>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</si>
  <si>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</si>
  <si>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</si>
  <si>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</si>
  <si>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</si>
  <si>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</si>
  <si>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</si>
  <si>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</si>
  <si>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</si>
  <si>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</si>
  <si>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</si>
  <si>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</si>
  <si>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</si>
  <si>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</si>
  <si>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</si>
  <si>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</si>
  <si>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</si>
  <si>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</si>
  <si>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</si>
  <si>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</si>
  <si>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</si>
  <si>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</si>
  <si>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</si>
  <si>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</si>
  <si>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</si>
  <si>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</si>
  <si>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</si>
  <si>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</si>
  <si>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</si>
  <si>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</si>
  <si>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</si>
  <si>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</si>
  <si>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</si>
  <si>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</si>
  <si>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</si>
  <si>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</si>
  <si>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</si>
  <si>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</si>
  <si>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</si>
  <si>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</si>
  <si>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</si>
  <si>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</si>
  <si>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</si>
  <si>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</si>
  <si>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</si>
  <si>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</si>
  <si>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</si>
  <si>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</si>
  <si>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</si>
  <si>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</si>
  <si>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</si>
  <si>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</si>
  <si>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</si>
  <si>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</si>
  <si>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</si>
  <si>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</si>
  <si>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</si>
  <si>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</si>
  <si>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</si>
  <si>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</si>
  <si>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</si>
  <si>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</si>
  <si>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</si>
  <si>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</si>
  <si>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</si>
  <si>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</si>
  <si>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</si>
  <si>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</si>
  <si>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</si>
  <si>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</si>
  <si>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</si>
  <si>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</si>
  <si>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</si>
  <si>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</si>
  <si>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</si>
  <si>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</si>
  <si>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</si>
  <si>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</si>
  <si>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</si>
  <si>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</si>
  <si>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</si>
  <si>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</si>
  <si>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</si>
  <si>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</si>
  <si>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</si>
  <si>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</si>
  <si>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</si>
  <si>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</si>
  <si>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</si>
  <si>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</si>
  <si>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</si>
  <si>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</si>
  <si>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</si>
  <si>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</si>
  <si>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</si>
  <si>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</si>
  <si>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</si>
  <si>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</si>
  <si>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</si>
  <si>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</si>
  <si>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</si>
  <si>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</si>
  <si>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</si>
  <si>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</si>
  <si>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</si>
  <si>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</si>
  <si>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</si>
  <si>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</si>
  <si>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</si>
  <si>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</si>
  <si>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</si>
  <si>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</si>
  <si>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</si>
  <si>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</si>
  <si>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</si>
  <si>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</si>
  <si>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</si>
  <si>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</si>
  <si>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</si>
  <si>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</si>
  <si>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</si>
  <si>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</si>
  <si>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</si>
  <si>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</si>
  <si>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</si>
  <si>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</si>
  <si>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</si>
  <si>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</si>
  <si>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</si>
  <si>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</si>
  <si>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</si>
  <si>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</si>
  <si>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</si>
  <si>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</si>
  <si>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</si>
  <si>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</si>
  <si>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</si>
  <si>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</si>
  <si>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</si>
  <si>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</si>
  <si>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</si>
  <si>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</si>
  <si>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</si>
  <si>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</si>
  <si>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</si>
  <si>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</si>
  <si>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</si>
  <si>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</si>
  <si>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</si>
  <si>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</si>
  <si>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</si>
  <si>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</si>
  <si>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</si>
  <si>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</si>
  <si>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</si>
  <si>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</si>
  <si>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</si>
  <si>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</si>
  <si>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</si>
  <si>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</si>
  <si>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</si>
  <si>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</si>
  <si>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</si>
  <si>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</si>
  <si>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</si>
  <si>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</si>
  <si>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</si>
  <si>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</si>
  <si>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</si>
  <si>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</si>
  <si>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</si>
  <si>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</si>
  <si>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</si>
  <si>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</si>
  <si>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</si>
  <si>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</si>
  <si>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</si>
  <si>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</si>
  <si>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</si>
  <si>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</si>
  <si>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</si>
  <si>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</si>
  <si>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</si>
  <si>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</si>
  <si>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</si>
  <si>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</si>
  <si>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</si>
  <si>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</si>
  <si>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</si>
  <si>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</si>
  <si>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</si>
  <si>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</si>
  <si>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</si>
  <si>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</si>
  <si>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</si>
  <si>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</si>
  <si>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</si>
  <si>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</si>
  <si>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</si>
  <si>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</si>
  <si>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</si>
  <si>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</si>
  <si>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</si>
  <si>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</si>
  <si>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</si>
  <si>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</si>
  <si>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</si>
  <si>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</si>
  <si>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</si>
  <si>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</si>
  <si>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</si>
  <si>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</si>
  <si>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</si>
  <si>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</si>
  <si>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</si>
  <si>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</si>
  <si>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</si>
  <si>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</si>
  <si>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</si>
  <si>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</si>
  <si>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</si>
  <si>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</si>
  <si>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</si>
  <si>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</si>
  <si>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</si>
  <si>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</si>
  <si>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</si>
  <si>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</si>
  <si>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</si>
  <si>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</si>
  <si>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</si>
  <si>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</si>
  <si>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</si>
  <si>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</si>
  <si>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</si>
  <si>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</si>
  <si>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</si>
  <si>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</si>
  <si>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</si>
  <si>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</si>
  <si>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</si>
  <si>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</si>
  <si>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</si>
  <si>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</si>
  <si>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</si>
  <si>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</si>
  <si>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</si>
  <si>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</si>
  <si>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</si>
  <si>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</si>
  <si>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</si>
  <si>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</si>
  <si>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</si>
  <si>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</si>
  <si>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</si>
  <si>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</si>
  <si>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</si>
  <si>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</si>
  <si>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</si>
  <si>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</si>
  <si>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</si>
  <si>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</si>
  <si>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</si>
  <si>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</si>
  <si>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</si>
  <si>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</si>
  <si>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</si>
  <si>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</si>
  <si>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</si>
  <si>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</si>
  <si>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</si>
  <si>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</si>
  <si>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</si>
  <si>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</si>
  <si>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</si>
  <si>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</si>
  <si>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</si>
  <si>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</si>
  <si>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</si>
  <si>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</si>
  <si>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</si>
  <si>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</si>
  <si>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</si>
  <si>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</si>
  <si>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</si>
  <si>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</si>
  <si>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</si>
  <si>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</si>
  <si>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</si>
  <si>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</si>
  <si>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</si>
  <si>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</si>
  <si>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</si>
  <si>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</si>
  <si>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</si>
  <si>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</si>
  <si>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</si>
  <si>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</si>
  <si>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</si>
  <si>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</si>
  <si>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</si>
  <si>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</si>
  <si>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</si>
  <si>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</si>
  <si>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</si>
  <si>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</si>
  <si>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</si>
  <si>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</si>
  <si>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</si>
  <si>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</si>
  <si>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</si>
  <si>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</si>
  <si>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</si>
  <si>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</si>
  <si>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</si>
  <si>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</si>
  <si>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</si>
  <si>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</si>
  <si>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</si>
  <si>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</si>
  <si>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</si>
  <si>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</si>
  <si>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</si>
  <si>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</si>
  <si>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</si>
  <si>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</si>
  <si>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</si>
  <si>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</si>
  <si>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</si>
  <si>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</si>
  <si>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</si>
  <si>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</si>
  <si>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</si>
  <si>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</si>
  <si>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</si>
  <si>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</si>
  <si>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</si>
  <si>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</si>
  <si>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</si>
  <si>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</si>
  <si>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</si>
  <si>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</si>
  <si>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</si>
  <si>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</si>
  <si>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</si>
  <si>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</si>
  <si>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</si>
  <si>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</si>
  <si>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</si>
  <si>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</si>
  <si>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</si>
  <si>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</si>
  <si>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</si>
  <si>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</si>
  <si>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</si>
  <si>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</si>
  <si>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</si>
  <si>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</si>
  <si>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</si>
  <si>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</si>
  <si>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</si>
  <si>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</si>
  <si>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</si>
  <si>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</si>
  <si>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</si>
  <si>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</si>
  <si>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</si>
  <si>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</si>
  <si>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</si>
  <si>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</si>
  <si>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</si>
  <si>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</si>
  <si>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</si>
  <si>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</si>
  <si>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</si>
  <si>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</si>
  <si>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</si>
  <si>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</si>
  <si>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</si>
  <si>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</si>
  <si>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</si>
  <si>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</si>
  <si>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</si>
  <si>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</si>
  <si>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</si>
  <si>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</si>
  <si>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</si>
  <si>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</si>
  <si>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</si>
  <si>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</si>
  <si>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</si>
  <si>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</si>
  <si>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</si>
  <si>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</si>
  <si>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</si>
  <si>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</si>
  <si>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</si>
  <si>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</si>
  <si>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</si>
  <si>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</si>
  <si>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</si>
  <si>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</si>
  <si>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</si>
  <si>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</si>
  <si>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</si>
  <si>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</si>
  <si>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</si>
  <si>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</si>
  <si>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</si>
  <si>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</si>
  <si>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</si>
  <si>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</si>
  <si>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</si>
  <si>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</si>
  <si>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</si>
  <si>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</si>
  <si>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</si>
  <si>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</si>
  <si>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</si>
  <si>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</si>
  <si>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</si>
  <si>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</si>
  <si>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</si>
  <si>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</si>
  <si>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</si>
  <si>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</si>
  <si>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</si>
  <si>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</si>
  <si>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</si>
  <si>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</si>
  <si>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</si>
  <si>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</si>
  <si>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</si>
  <si>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</si>
  <si>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</si>
  <si>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</si>
  <si>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</si>
  <si>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</si>
  <si>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</si>
  <si>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</si>
  <si>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</si>
  <si>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</si>
  <si>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</si>
  <si>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</si>
  <si>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</si>
  <si>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</si>
  <si>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</si>
  <si>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</si>
  <si>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</si>
  <si>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</si>
  <si>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</si>
  <si>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</si>
  <si>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</si>
  <si>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</si>
  <si>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</si>
  <si>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</si>
  <si>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</si>
  <si>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</si>
  <si>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</si>
  <si>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</si>
  <si>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</si>
  <si>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</si>
  <si>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</si>
  <si>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</si>
  <si>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</si>
  <si>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</si>
  <si>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</si>
  <si>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</si>
  <si>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</si>
  <si>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</si>
  <si>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</si>
  <si>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</si>
  <si>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</si>
  <si>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</si>
  <si>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</si>
  <si>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</si>
  <si>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</si>
  <si>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</si>
  <si>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</si>
  <si>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</si>
  <si>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</si>
  <si>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</si>
  <si>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</si>
  <si>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</si>
  <si>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</si>
  <si>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</si>
  <si>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</si>
  <si>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</si>
  <si>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</si>
  <si>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</si>
  <si>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</si>
  <si>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</si>
  <si>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</si>
  <si>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</si>
  <si>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</si>
  <si>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</si>
  <si>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</si>
  <si>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</si>
  <si>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</si>
  <si>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</si>
  <si>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</si>
  <si>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</si>
  <si>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</si>
  <si>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</si>
  <si>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</si>
  <si>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</si>
  <si>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</si>
  <si>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</si>
  <si>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</si>
  <si>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</si>
  <si>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</si>
  <si>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</si>
  <si>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</si>
  <si>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</si>
  <si>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</si>
  <si>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</si>
  <si>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</si>
  <si>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</si>
  <si>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</si>
  <si>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</si>
  <si>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</si>
  <si>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</si>
  <si>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</si>
  <si>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</si>
  <si>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</si>
  <si>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</si>
  <si>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</si>
  <si>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</si>
  <si>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</si>
  <si>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</si>
  <si>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</si>
  <si>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</si>
  <si>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</si>
  <si>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</si>
  <si>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</si>
  <si>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</si>
  <si>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</si>
  <si>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</si>
  <si>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</si>
  <si>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</si>
  <si>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</si>
  <si>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</si>
  <si>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</si>
  <si>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</si>
  <si>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</si>
  <si>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</si>
  <si>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</si>
  <si>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</si>
  <si>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</si>
  <si>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</si>
  <si>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</si>
  <si>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</si>
  <si>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</si>
  <si>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</si>
  <si>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</si>
  <si>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</si>
  <si>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</si>
  <si>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</si>
  <si>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</si>
  <si>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</si>
  <si>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</si>
  <si>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</si>
  <si>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</si>
  <si>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</si>
  <si>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</si>
  <si>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</si>
  <si>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</si>
  <si>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</si>
  <si>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</si>
  <si>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</si>
  <si>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</si>
  <si>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</si>
  <si>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</si>
  <si>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</si>
  <si>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</si>
  <si>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</si>
  <si>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</si>
  <si>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</si>
  <si>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</si>
  <si>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</si>
  <si>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</si>
  <si>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</si>
  <si>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</si>
  <si>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</si>
  <si>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</si>
  <si>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</si>
  <si>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</si>
  <si>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</si>
  <si>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</si>
  <si>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</si>
  <si>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</si>
  <si>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</si>
  <si>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</si>
  <si>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</si>
  <si>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</si>
  <si>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</si>
  <si>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</si>
  <si>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</si>
  <si>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</si>
  <si>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</si>
  <si>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</si>
  <si>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</si>
  <si>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</si>
  <si>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</si>
  <si>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</si>
  <si>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</si>
  <si>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</si>
  <si>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</si>
  <si>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</si>
  <si>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</si>
  <si>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</si>
  <si>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</si>
  <si>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</si>
  <si>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</si>
  <si>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</si>
  <si>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</si>
  <si>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</si>
  <si>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</si>
  <si>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</si>
  <si>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</si>
  <si>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</si>
  <si>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</si>
  <si>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</si>
  <si>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</si>
  <si>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</si>
  <si>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</si>
  <si>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</si>
  <si>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</si>
  <si>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</si>
  <si>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</si>
  <si>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</si>
  <si>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</si>
  <si>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</si>
  <si>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</si>
  <si>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</si>
  <si>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</si>
  <si>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</si>
  <si>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</si>
  <si>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</si>
  <si>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</si>
  <si>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</si>
  <si>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</si>
  <si>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</si>
  <si>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</si>
  <si>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</si>
  <si>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</si>
  <si>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</si>
  <si>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</si>
  <si>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</si>
  <si>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</si>
  <si>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</si>
  <si>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</si>
  <si>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</si>
  <si>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</si>
  <si>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</si>
  <si>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</si>
  <si>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</si>
  <si>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</si>
  <si>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</si>
  <si>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</si>
  <si>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</si>
  <si>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</si>
  <si>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</si>
  <si>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</si>
  <si>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</si>
  <si>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</si>
  <si>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</si>
  <si>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</si>
  <si>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</si>
  <si>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</si>
  <si>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</si>
  <si>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</si>
  <si>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</si>
  <si>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</si>
  <si>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</si>
  <si>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</si>
  <si>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</si>
  <si>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</si>
  <si>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</si>
  <si>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</si>
  <si>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</si>
  <si>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</si>
  <si>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</si>
  <si>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</si>
  <si>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</si>
  <si>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</si>
  <si>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</si>
  <si>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</si>
  <si>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</si>
  <si>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</si>
  <si>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</si>
  <si>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</si>
  <si>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</si>
  <si>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</si>
  <si>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</si>
  <si>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</si>
  <si>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</si>
  <si>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</si>
  <si>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</si>
  <si>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</si>
  <si>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</si>
  <si>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</si>
  <si>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</si>
  <si>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</si>
  <si>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</si>
  <si>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</si>
  <si>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</si>
  <si>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</si>
  <si>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</si>
  <si>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</si>
  <si>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</si>
  <si>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</si>
  <si>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</si>
  <si>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</si>
  <si>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</si>
  <si>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</si>
  <si>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</si>
  <si>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</si>
  <si>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</si>
  <si>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</si>
  <si>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</si>
  <si>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</si>
  <si>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</si>
  <si>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</si>
  <si>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</si>
  <si>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</si>
  <si>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</si>
  <si>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</si>
  <si>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</si>
  <si>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</si>
  <si>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</si>
  <si>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</si>
  <si>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</si>
  <si>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</si>
  <si>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</si>
  <si>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</si>
  <si>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</si>
  <si>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</si>
  <si>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</si>
  <si>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</si>
  <si>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</si>
  <si>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</si>
  <si>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</si>
  <si>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</si>
  <si>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</si>
  <si>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</si>
  <si>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</si>
  <si>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</si>
  <si>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</si>
  <si>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</si>
  <si>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</si>
  <si>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</si>
  <si>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</si>
  <si>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</si>
  <si>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</si>
  <si>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</si>
  <si>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</si>
  <si>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</si>
  <si>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</si>
  <si>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</si>
  <si>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</si>
  <si>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</si>
  <si>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</si>
  <si>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</si>
  <si>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</si>
  <si>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</si>
  <si>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</si>
  <si>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</si>
  <si>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</si>
  <si>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</si>
  <si>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</si>
  <si>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</si>
  <si>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</si>
  <si>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</si>
  <si>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</si>
  <si>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</si>
  <si>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</si>
  <si>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</si>
  <si>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</si>
  <si>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</si>
  <si>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</si>
  <si>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</si>
  <si>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</si>
  <si>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</si>
  <si>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</si>
  <si>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</si>
  <si>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</si>
  <si>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</si>
  <si>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</si>
  <si>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</si>
  <si>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</si>
  <si>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</si>
  <si>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</si>
  <si>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</si>
  <si>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</si>
  <si>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</si>
  <si>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</si>
  <si>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</si>
  <si>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</si>
  <si>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</si>
  <si>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</si>
  <si>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</si>
  <si>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</si>
  <si>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</si>
  <si>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</si>
  <si>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</si>
  <si>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</si>
  <si>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</si>
  <si>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</si>
  <si>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</si>
  <si>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</si>
  <si>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</si>
  <si>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</si>
  <si>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</si>
  <si>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</si>
  <si>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</si>
  <si>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</si>
  <si>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</si>
  <si>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</si>
  <si>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</si>
  <si>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</si>
  <si>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</si>
  <si>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</si>
  <si>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</si>
  <si>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</si>
  <si>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</si>
  <si>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</si>
  <si>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</si>
  <si>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</si>
  <si>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</si>
  <si>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</si>
  <si>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</si>
  <si>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</si>
  <si>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</si>
  <si>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</si>
  <si>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</si>
  <si>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</si>
  <si>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</si>
  <si>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</si>
  <si>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</si>
  <si>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</si>
  <si>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</si>
  <si>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</si>
  <si>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</si>
  <si>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</si>
  <si>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</si>
  <si>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</si>
  <si>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</si>
  <si>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</si>
  <si>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</si>
  <si>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</si>
  <si>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</si>
  <si>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</si>
  <si>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</si>
  <si>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</si>
  <si>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</si>
  <si>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</si>
  <si>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</si>
  <si>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</si>
  <si>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</si>
  <si>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</si>
  <si>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</si>
  <si>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</si>
  <si>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</si>
  <si>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</si>
  <si>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</si>
  <si>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</si>
  <si>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</si>
  <si>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</si>
  <si>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</si>
  <si>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</si>
  <si>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</si>
  <si>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</si>
  <si>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</si>
  <si>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</si>
  <si>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</si>
  <si>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</si>
  <si>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</si>
  <si>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</si>
  <si>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</si>
  <si>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</si>
  <si>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</si>
  <si>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</si>
  <si>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</si>
  <si>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</si>
  <si>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</si>
  <si>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</si>
  <si>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</si>
  <si>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</si>
  <si>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</si>
  <si>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</si>
  <si>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</si>
  <si>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</si>
  <si>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</si>
  <si>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</si>
  <si>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</si>
  <si>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</si>
  <si>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</si>
  <si>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</si>
  <si>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</si>
  <si>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</si>
  <si>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</si>
  <si>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</si>
  <si>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</si>
  <si>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</si>
  <si>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</si>
  <si>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</si>
  <si>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</si>
  <si>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</si>
  <si>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</si>
  <si>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</si>
  <si>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</si>
  <si>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</si>
  <si>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</si>
  <si>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</si>
  <si>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</si>
  <si>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</si>
  <si>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</si>
  <si>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</si>
  <si>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</si>
  <si>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</si>
  <si>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</si>
  <si>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</si>
  <si>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</si>
  <si>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</si>
  <si>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</si>
  <si>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</si>
  <si>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</si>
  <si>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</si>
  <si>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</si>
  <si>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</si>
  <si>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</si>
  <si>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</si>
  <si>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</si>
  <si>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</si>
  <si>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</si>
  <si>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</si>
  <si>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</si>
  <si>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</si>
  <si>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</si>
  <si>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</si>
  <si>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</si>
  <si>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</si>
  <si>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</si>
  <si>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</si>
  <si>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</si>
  <si>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</si>
  <si>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</si>
  <si>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</si>
  <si>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</si>
  <si>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</si>
  <si>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</si>
  <si>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</si>
  <si>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</si>
  <si>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</si>
  <si>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</si>
  <si>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</si>
  <si>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</si>
  <si>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</si>
  <si>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</si>
  <si>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</si>
  <si>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</si>
  <si>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</si>
  <si>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</si>
  <si>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</si>
  <si>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</si>
  <si>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</si>
  <si>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</si>
  <si>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</si>
  <si>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</si>
  <si>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</si>
  <si>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</si>
  <si>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</si>
  <si>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</si>
  <si>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</si>
  <si>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</si>
  <si>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</si>
  <si>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</si>
  <si>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</si>
  <si>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</si>
  <si>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</si>
  <si>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</si>
  <si>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</si>
  <si>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</si>
  <si>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</si>
  <si>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</si>
  <si>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</si>
  <si>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</si>
  <si>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</si>
  <si>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</si>
  <si>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</si>
  <si>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</si>
  <si>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</si>
  <si>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</si>
  <si>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</si>
  <si>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</si>
  <si>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</si>
  <si>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</si>
  <si>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</si>
  <si>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</si>
  <si>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</si>
  <si>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</si>
  <si>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</si>
  <si>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</si>
  <si>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</si>
  <si>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</si>
  <si>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</si>
  <si>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</si>
  <si>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</si>
  <si>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</si>
  <si>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</si>
  <si>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</si>
  <si>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</si>
  <si>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</si>
  <si>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</si>
  <si>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</si>
  <si>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</si>
  <si>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</si>
  <si>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</si>
  <si>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</si>
  <si>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</si>
  <si>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</si>
  <si>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</si>
  <si>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</si>
  <si>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</si>
  <si>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</si>
  <si>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</si>
  <si>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</si>
  <si>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</si>
  <si>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</si>
  <si>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</si>
  <si>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</si>
  <si>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</si>
  <si>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</si>
  <si>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</si>
  <si>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</si>
  <si>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</si>
  <si>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</si>
  <si>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</si>
  <si>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</si>
  <si>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</si>
  <si>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</si>
  <si>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</si>
  <si>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</si>
  <si>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</si>
  <si>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</si>
  <si>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</si>
  <si>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</si>
  <si>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</si>
  <si>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</si>
  <si>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</si>
  <si>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</si>
  <si>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</si>
  <si>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</si>
  <si>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</si>
  <si>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</si>
  <si>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</si>
  <si>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</si>
  <si>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</si>
  <si>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</si>
  <si>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</si>
  <si>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</si>
  <si>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</si>
  <si>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</si>
  <si>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</si>
  <si>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</si>
  <si>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</si>
  <si>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</si>
  <si>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</si>
  <si>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</si>
  <si>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</si>
  <si>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</si>
  <si>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</si>
  <si>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</si>
  <si>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</si>
  <si>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</si>
  <si>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</si>
  <si>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</si>
  <si>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</si>
  <si>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</si>
  <si>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</si>
  <si>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</si>
  <si>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</si>
  <si>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</si>
  <si>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</si>
  <si>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</si>
  <si>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</si>
  <si>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</si>
  <si>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</si>
  <si>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</si>
  <si>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</si>
  <si>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</si>
  <si>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</si>
  <si>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</si>
  <si>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</si>
  <si>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</si>
  <si>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</si>
  <si>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</si>
  <si>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</si>
  <si>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</si>
  <si>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</si>
  <si>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</si>
  <si>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</si>
  <si>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</si>
  <si>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</si>
  <si>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</si>
  <si>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</si>
  <si>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</si>
  <si>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</si>
  <si>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</si>
  <si>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</si>
  <si>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</si>
  <si>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</si>
  <si>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</si>
  <si>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</si>
  <si>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</si>
  <si>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</si>
  <si>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</si>
  <si>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</si>
  <si>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</si>
  <si>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</si>
  <si>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</si>
  <si>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</si>
  <si>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</si>
  <si>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</si>
  <si>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</si>
  <si>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</si>
  <si>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</si>
  <si>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</si>
  <si>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</si>
  <si>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</si>
  <si>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</si>
  <si>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</si>
  <si>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</si>
  <si>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</si>
  <si>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</si>
  <si>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</si>
  <si>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</si>
  <si>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</si>
  <si>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</si>
  <si>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</si>
  <si>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</si>
  <si>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</si>
  <si>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</si>
  <si>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</si>
  <si>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</si>
  <si>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</si>
  <si>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</si>
  <si>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</si>
  <si>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</si>
  <si>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</si>
  <si>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</si>
  <si>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</si>
  <si>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</si>
  <si>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</si>
  <si>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</si>
  <si>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</si>
  <si>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</si>
  <si>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</si>
  <si>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</si>
  <si>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</si>
  <si>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</si>
  <si>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</si>
  <si>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</si>
  <si>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</si>
  <si>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</si>
  <si>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</si>
  <si>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</si>
  <si>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</si>
  <si>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</si>
  <si>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</si>
  <si>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</si>
  <si>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</si>
  <si>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</si>
  <si>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</si>
  <si>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</si>
  <si>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</si>
  <si>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</si>
  <si>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</si>
  <si>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</si>
  <si>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</si>
  <si>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</si>
  <si>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</si>
  <si>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</si>
  <si>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</si>
  <si>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</si>
  <si>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</si>
  <si>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</si>
  <si>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</si>
  <si>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</si>
  <si>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</si>
  <si>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</si>
  <si>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</si>
  <si>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</si>
  <si>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</si>
  <si>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</si>
  <si>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</si>
  <si>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</si>
  <si>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</si>
  <si>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</si>
  <si>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</si>
  <si>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</si>
  <si>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</si>
  <si>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</si>
  <si>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</si>
  <si>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</si>
  <si>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</si>
  <si>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</si>
  <si>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</si>
  <si>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</si>
  <si>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</si>
  <si>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</si>
  <si>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</si>
  <si>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</si>
  <si>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</si>
  <si>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</si>
  <si>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</si>
  <si>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</si>
  <si>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</si>
  <si>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</si>
  <si>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</si>
  <si>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</si>
  <si>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</si>
  <si>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</si>
  <si>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</si>
  <si>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</si>
  <si>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</si>
  <si>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</si>
  <si>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</si>
  <si>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</si>
  <si>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</si>
  <si>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</si>
  <si>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</si>
  <si>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</si>
  <si>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</si>
  <si>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</si>
  <si>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</si>
  <si>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</si>
  <si>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</si>
  <si>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</si>
  <si>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</si>
  <si>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</si>
  <si>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</si>
  <si>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</si>
  <si>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</si>
  <si>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</si>
  <si>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</si>
  <si>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</si>
  <si>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</si>
  <si>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</si>
  <si>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</si>
  <si>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</si>
  <si>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</si>
  <si>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</si>
  <si>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</si>
  <si>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</si>
  <si>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</si>
  <si>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</si>
  <si>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</si>
  <si>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</si>
  <si>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</si>
  <si>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</si>
  <si>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</si>
  <si>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</si>
  <si>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</si>
  <si>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</si>
  <si>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</si>
  <si>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</si>
  <si>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</si>
  <si>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</si>
  <si>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</si>
  <si>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</si>
  <si>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</si>
  <si>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</si>
  <si>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</si>
  <si>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</si>
  <si>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</si>
  <si>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</si>
  <si>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</si>
  <si>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</si>
  <si>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</si>
  <si>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</si>
  <si>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</si>
  <si>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</si>
  <si>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</si>
  <si>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</si>
  <si>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</si>
  <si>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</si>
  <si>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</si>
  <si>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</si>
  <si>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</si>
  <si>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</si>
  <si>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</si>
  <si>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</si>
  <si>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</si>
  <si>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</si>
  <si>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</si>
  <si>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</si>
  <si>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</si>
  <si>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</si>
  <si>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</si>
  <si>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</si>
  <si>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</si>
  <si>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</si>
  <si>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</si>
  <si>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</si>
  <si>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</si>
  <si>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</si>
  <si>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</si>
  <si>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</si>
  <si>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</si>
  <si>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</si>
  <si>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</si>
  <si>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</si>
  <si>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</si>
  <si>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</si>
  <si>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</si>
  <si>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</si>
  <si>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</si>
  <si>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</si>
  <si>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</si>
  <si>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</si>
  <si>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</si>
  <si>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</si>
  <si>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</si>
  <si>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</si>
  <si>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</si>
  <si>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</si>
  <si>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</si>
  <si>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</si>
  <si>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</si>
  <si>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</si>
  <si>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</si>
  <si>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</si>
  <si>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</si>
  <si>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</si>
  <si>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</si>
  <si>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</si>
  <si>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</si>
  <si>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</si>
  <si>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</si>
  <si>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</si>
  <si>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</si>
  <si>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</si>
  <si>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</si>
  <si>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</si>
  <si>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</si>
  <si>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</si>
  <si>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</si>
  <si>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</si>
  <si>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</si>
  <si>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</si>
  <si>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</si>
  <si>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</si>
  <si>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</si>
  <si>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</si>
  <si>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</si>
  <si>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</si>
  <si>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</si>
  <si>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</si>
  <si>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</si>
  <si>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</si>
  <si>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</si>
  <si>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</si>
  <si>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</si>
  <si>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</si>
  <si>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</si>
  <si>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</si>
  <si>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</si>
  <si>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</si>
  <si>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</si>
  <si>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</si>
  <si>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</si>
  <si>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</si>
  <si>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</si>
  <si>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</si>
  <si>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</si>
  <si>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</si>
  <si>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</si>
  <si>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</si>
  <si>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</si>
  <si>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</si>
  <si>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</si>
  <si>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</si>
  <si>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</si>
  <si>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</si>
  <si>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</si>
  <si>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</si>
  <si>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</si>
  <si>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</si>
  <si>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</si>
  <si>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</si>
  <si>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</si>
  <si>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</si>
  <si>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</si>
  <si>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</si>
  <si>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</si>
  <si>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</si>
  <si>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</si>
  <si>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</si>
  <si>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</si>
  <si>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</si>
  <si>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</si>
  <si>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</si>
  <si>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</si>
  <si>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</si>
  <si>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</si>
  <si>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</si>
  <si>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</si>
  <si>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</si>
  <si>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</si>
  <si>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</si>
  <si>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</si>
  <si>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</si>
  <si>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</si>
  <si>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</si>
  <si>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</si>
  <si>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</si>
  <si>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</si>
  <si>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</si>
  <si>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</si>
  <si>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</si>
  <si>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</si>
  <si>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</si>
  <si>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</si>
  <si>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</si>
  <si>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</si>
  <si>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</si>
  <si>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</si>
  <si>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</si>
  <si>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</si>
  <si>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</si>
  <si>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</si>
  <si>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</si>
  <si>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</si>
  <si>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</si>
  <si>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</si>
  <si>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</si>
  <si>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</si>
  <si>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</si>
  <si>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</si>
  <si>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</si>
  <si>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</si>
  <si>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</si>
  <si>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</si>
  <si>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</si>
  <si>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</si>
  <si>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</si>
  <si>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</si>
  <si>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</si>
  <si>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</si>
  <si>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</si>
  <si>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</si>
  <si>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</si>
  <si>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</si>
  <si>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</si>
  <si>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</si>
  <si>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</si>
  <si>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</si>
  <si>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</si>
  <si>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</si>
  <si>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</si>
  <si>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</si>
  <si>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</si>
  <si>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</si>
  <si>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</si>
  <si>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</si>
  <si>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</si>
  <si>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</si>
  <si>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</si>
  <si>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</si>
  <si>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</si>
  <si>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</si>
  <si>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</si>
  <si>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</si>
  <si>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</si>
  <si>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</si>
  <si>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</si>
  <si>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</si>
  <si>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</si>
  <si>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</si>
  <si>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</si>
  <si>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</si>
  <si>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</si>
  <si>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</si>
  <si>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</si>
  <si>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</si>
  <si>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</si>
  <si>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</si>
  <si>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</si>
  <si>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</si>
  <si>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</si>
  <si>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</si>
  <si>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</si>
  <si>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</si>
  <si>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</si>
  <si>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</si>
  <si>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</si>
  <si>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</si>
  <si>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</si>
  <si>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</si>
  <si>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</si>
  <si>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</si>
  <si>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</si>
  <si>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</si>
  <si>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</si>
  <si>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</si>
  <si>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</si>
  <si>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</si>
  <si>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</si>
  <si>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</si>
  <si>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</si>
  <si>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</si>
  <si>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</si>
  <si>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</si>
  <si>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</si>
  <si>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</si>
  <si>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</si>
  <si>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</si>
  <si>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</si>
  <si>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</si>
  <si>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</si>
  <si>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</si>
  <si>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</si>
  <si>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</si>
  <si>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</si>
  <si>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</si>
  <si>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</si>
  <si>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</si>
  <si>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</si>
  <si>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</si>
  <si>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</si>
  <si>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</si>
  <si>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</si>
  <si>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</si>
  <si>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</si>
  <si>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</si>
  <si>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</si>
  <si>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</si>
  <si>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</si>
  <si>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</si>
  <si>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</si>
  <si>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</si>
  <si>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</si>
  <si>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</si>
  <si>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</si>
  <si>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</si>
  <si>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</si>
  <si>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</si>
  <si>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</si>
  <si>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</si>
  <si>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</si>
  <si>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</si>
  <si>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</si>
  <si>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</si>
  <si>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</si>
  <si>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</si>
  <si>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</si>
  <si>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</si>
  <si>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</si>
  <si>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</si>
  <si>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</si>
  <si>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</si>
  <si>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</si>
  <si>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</si>
  <si>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</si>
  <si>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</si>
  <si>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</si>
  <si>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</si>
  <si>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</si>
  <si>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</si>
  <si>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</si>
  <si>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</si>
  <si>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</si>
  <si>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</si>
  <si>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</si>
  <si>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</si>
  <si>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</si>
  <si>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</si>
  <si>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</si>
  <si>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</si>
  <si>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</si>
  <si>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</si>
  <si>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</si>
  <si>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</si>
  <si>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</si>
  <si>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</si>
  <si>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</si>
  <si>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</si>
  <si>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</si>
  <si>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</si>
  <si>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</si>
  <si>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</si>
  <si>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</si>
  <si>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</si>
  <si>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</si>
  <si>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</si>
  <si>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</si>
  <si>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</si>
  <si>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</si>
  <si>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</si>
  <si>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</si>
  <si>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</si>
  <si>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</si>
  <si>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</si>
  <si>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</si>
  <si>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</si>
  <si>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</si>
  <si>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</si>
  <si>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</si>
  <si>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</si>
  <si>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</si>
  <si>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</si>
  <si>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</si>
  <si>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</si>
  <si>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</si>
  <si>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</si>
  <si>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</si>
  <si>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</si>
  <si>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</si>
  <si>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</si>
  <si>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</si>
  <si>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</si>
  <si>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</si>
  <si>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</si>
  <si>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</si>
  <si>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</si>
  <si>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</si>
  <si>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</si>
  <si>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</si>
  <si>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</si>
  <si>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</si>
  <si>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</si>
  <si>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</si>
  <si>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</si>
  <si>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</si>
  <si>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</si>
  <si>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</si>
  <si>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</si>
  <si>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</si>
  <si>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</si>
  <si>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</si>
  <si>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</si>
  <si>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</si>
  <si>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</si>
  <si>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</si>
  <si>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</si>
  <si>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</si>
  <si>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</si>
  <si>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</si>
  <si>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</si>
  <si>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</si>
  <si>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</si>
  <si>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</si>
  <si>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</si>
  <si>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</si>
  <si>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</si>
  <si>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</si>
  <si>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</si>
  <si>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</si>
  <si>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</si>
  <si>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</si>
  <si>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</si>
  <si>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</si>
  <si>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</si>
  <si>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</si>
  <si>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</si>
  <si>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</si>
  <si>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</si>
  <si>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</si>
  <si>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</si>
  <si>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</si>
  <si>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</si>
  <si>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</si>
  <si>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</si>
  <si>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</si>
  <si>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</si>
  <si>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</si>
  <si>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</si>
  <si>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</si>
  <si>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</si>
  <si>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</si>
  <si>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</si>
  <si>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</si>
  <si>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</si>
  <si>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</si>
  <si>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</si>
  <si>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</si>
  <si>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</si>
  <si>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</si>
  <si>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</si>
  <si>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</si>
  <si>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</si>
  <si>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</si>
  <si>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</si>
  <si>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</si>
  <si>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</si>
  <si>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</si>
  <si>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</si>
  <si>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</si>
  <si>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</si>
  <si>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</si>
  <si>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</si>
  <si>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</si>
  <si>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</si>
  <si>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</si>
  <si>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</si>
  <si>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</si>
  <si>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</si>
  <si>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</si>
  <si>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</si>
  <si>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</si>
  <si>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</si>
  <si>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</si>
  <si>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</si>
  <si>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</si>
  <si>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</si>
  <si>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</si>
  <si>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</si>
  <si>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</si>
  <si>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</si>
  <si>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</si>
  <si>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</si>
  <si>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</si>
  <si>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</si>
  <si>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</si>
  <si>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</si>
  <si>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</si>
  <si>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</si>
  <si>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</si>
  <si>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</si>
  <si>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</si>
  <si>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</si>
  <si>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</si>
  <si>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</si>
  <si>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</si>
  <si>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</si>
  <si>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</si>
  <si>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</si>
  <si>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</si>
  <si>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</si>
  <si>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</si>
  <si>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</si>
  <si>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</si>
  <si>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</si>
  <si>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</si>
  <si>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</si>
  <si>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</si>
  <si>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</si>
  <si>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</si>
  <si>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</si>
  <si>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</si>
  <si>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</si>
  <si>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</si>
  <si>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</si>
  <si>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</si>
  <si>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</si>
  <si>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</si>
  <si>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</si>
  <si>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</si>
  <si>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</si>
  <si>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</si>
  <si>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</si>
  <si>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</si>
  <si>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</si>
  <si>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</si>
  <si>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</si>
  <si>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</si>
  <si>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</si>
  <si>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</si>
  <si>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</si>
  <si>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</si>
  <si>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</si>
  <si>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</si>
  <si>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</si>
  <si>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</si>
  <si>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</si>
  <si>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</si>
  <si>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</si>
  <si>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</si>
  <si>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</si>
  <si>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</si>
  <si>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</si>
  <si>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</si>
  <si>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</si>
  <si>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</si>
  <si>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</si>
  <si>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</si>
  <si>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</si>
  <si>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</si>
  <si>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</si>
  <si>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</si>
  <si>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</si>
  <si>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</si>
  <si>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</si>
  <si>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</si>
  <si>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</si>
  <si>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</si>
  <si>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</si>
  <si>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</si>
  <si>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</si>
  <si>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</si>
  <si>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</si>
  <si>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</si>
  <si>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</si>
  <si>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</si>
  <si>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</si>
  <si>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</si>
  <si>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</si>
  <si>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</si>
  <si>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</si>
  <si>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</si>
  <si>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</si>
  <si>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</si>
  <si>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</si>
  <si>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</si>
  <si>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</si>
  <si>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</si>
  <si>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</si>
  <si>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</si>
  <si>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</si>
  <si>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</si>
  <si>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</si>
  <si>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</si>
  <si>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</si>
  <si>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</si>
  <si>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</si>
  <si>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</si>
  <si>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</si>
  <si>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</si>
  <si>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</si>
  <si>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</si>
  <si>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</si>
  <si>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</si>
  <si>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</si>
  <si>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</si>
  <si>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</si>
  <si>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</si>
  <si>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</si>
  <si>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</si>
  <si>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</si>
  <si>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</si>
  <si>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</si>
  <si>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</si>
  <si>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</si>
  <si>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</si>
  <si>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</si>
  <si>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</si>
  <si>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</si>
  <si>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</si>
  <si>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</si>
  <si>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</si>
  <si>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</si>
  <si>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</si>
  <si>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</si>
  <si>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</si>
  <si>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</si>
  <si>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</si>
  <si>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</si>
  <si>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</si>
  <si>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</si>
  <si>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</si>
  <si>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</si>
  <si>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</si>
  <si>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</si>
  <si>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</si>
  <si>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</si>
  <si>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</si>
  <si>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</si>
  <si>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</si>
  <si>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</si>
  <si>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</si>
  <si>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</si>
  <si>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</si>
  <si>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</si>
  <si>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</si>
  <si>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</si>
  <si>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</si>
  <si>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</si>
  <si>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</si>
  <si>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</si>
  <si>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</si>
  <si>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</si>
  <si>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</si>
  <si>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</si>
  <si>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</si>
  <si>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</si>
  <si>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</si>
  <si>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</si>
  <si>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</si>
  <si>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</si>
  <si>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</si>
  <si>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</si>
  <si>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</si>
  <si>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</si>
  <si>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</si>
  <si>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</si>
  <si>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</si>
  <si>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</si>
  <si>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</si>
  <si>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</si>
  <si>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</si>
  <si>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</si>
  <si>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</si>
  <si>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</si>
  <si>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</si>
  <si>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</si>
  <si>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</si>
  <si>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</si>
  <si>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</si>
  <si>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</si>
  <si>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</si>
  <si>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</si>
  <si>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</si>
  <si>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</si>
  <si>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</si>
  <si>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</si>
  <si>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</si>
  <si>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</si>
  <si>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</si>
  <si>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</si>
  <si>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</si>
  <si>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</si>
  <si>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</si>
  <si>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</si>
  <si>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</si>
  <si>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</si>
  <si>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</si>
  <si>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</si>
  <si>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</si>
  <si>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</si>
  <si>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</si>
  <si>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</si>
  <si>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</si>
  <si>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</si>
  <si>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</si>
  <si>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</si>
  <si>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</si>
  <si>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</si>
  <si>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</si>
  <si>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</si>
  <si>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</si>
  <si>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</si>
  <si>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</si>
  <si>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</si>
  <si>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</si>
  <si>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</si>
  <si>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</si>
  <si>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</si>
  <si>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</si>
  <si>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</si>
  <si>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</si>
  <si>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</si>
  <si>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</si>
  <si>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</si>
  <si>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</si>
  <si>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</si>
  <si>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</si>
  <si>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</si>
  <si>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</si>
  <si>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</si>
  <si>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</si>
  <si>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</si>
  <si>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</si>
  <si>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</si>
  <si>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</si>
  <si>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</si>
  <si>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</si>
  <si>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</si>
  <si>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</si>
  <si>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</si>
  <si>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</si>
  <si>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</si>
  <si>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</si>
  <si>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</si>
  <si>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</si>
  <si>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</si>
  <si>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</si>
  <si>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</si>
  <si>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</si>
  <si>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</si>
  <si>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</si>
  <si>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</si>
  <si>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</si>
  <si>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</si>
  <si>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</si>
  <si>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</si>
  <si>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</si>
  <si>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</si>
  <si>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</si>
  <si>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</si>
  <si>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</si>
  <si>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</si>
  <si>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</si>
  <si>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</si>
  <si>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</si>
  <si>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</si>
  <si>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</si>
  <si>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</si>
  <si>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</si>
  <si>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</si>
  <si>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</si>
  <si>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</si>
  <si>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</si>
  <si>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</si>
  <si>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</si>
  <si>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</si>
  <si>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</si>
  <si>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</si>
  <si>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</si>
  <si>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</si>
  <si>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</si>
  <si>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</si>
  <si>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</si>
  <si>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</si>
  <si>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</si>
  <si>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</si>
  <si>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</si>
  <si>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</si>
  <si>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</si>
  <si>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</si>
  <si>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</si>
  <si>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</si>
  <si>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</si>
  <si>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</si>
  <si>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</si>
  <si>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</si>
  <si>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</si>
  <si>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</si>
  <si>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</si>
  <si>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</si>
  <si>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</si>
  <si>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</si>
  <si>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</si>
  <si>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</si>
  <si>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</si>
  <si>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</si>
  <si>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</si>
  <si>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</si>
  <si>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</si>
  <si>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</si>
  <si>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</si>
  <si>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</si>
  <si>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</si>
  <si>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</si>
  <si>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</si>
  <si>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</si>
  <si>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</si>
  <si>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</si>
  <si>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</si>
  <si>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</si>
  <si>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</si>
  <si>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</si>
  <si>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</si>
  <si>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</si>
  <si>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</si>
  <si>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</si>
  <si>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</si>
  <si>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</si>
  <si>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</si>
  <si>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</si>
  <si>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</si>
  <si>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</si>
  <si>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</si>
  <si>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</si>
  <si>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</si>
  <si>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</si>
  <si>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</si>
  <si>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</si>
  <si>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</si>
  <si>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</si>
  <si>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</si>
  <si>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</si>
  <si>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</si>
  <si>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</si>
  <si>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</si>
  <si>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</si>
  <si>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</si>
  <si>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</si>
  <si>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</si>
  <si>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</si>
  <si>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</si>
  <si>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</si>
  <si>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</si>
  <si>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</si>
  <si>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</si>
  <si>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</si>
  <si>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</si>
  <si>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</si>
  <si>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</si>
  <si>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</si>
  <si>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</si>
  <si>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</si>
  <si>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</si>
  <si>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</si>
  <si>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</si>
  <si>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</si>
  <si>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</si>
  <si>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</si>
  <si>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</si>
  <si>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</si>
  <si>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</si>
  <si>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</si>
  <si>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</si>
  <si>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</si>
  <si>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</si>
  <si>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</si>
  <si>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</si>
  <si>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</si>
  <si>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</si>
  <si>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</si>
  <si>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</si>
  <si>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</si>
  <si>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</si>
  <si>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</si>
  <si>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</si>
  <si>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</si>
  <si>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</si>
  <si>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</si>
  <si>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</si>
  <si>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</si>
  <si>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</si>
  <si>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</si>
  <si>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</si>
  <si>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</si>
  <si>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</si>
  <si>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</si>
  <si>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</si>
  <si>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</si>
  <si>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</si>
  <si>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</si>
  <si>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</si>
  <si>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</si>
  <si>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</si>
  <si>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</si>
  <si>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</si>
  <si>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</si>
  <si>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</si>
  <si>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</si>
  <si>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</si>
  <si>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</si>
  <si>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</si>
  <si>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</si>
  <si>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</si>
  <si>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</si>
  <si>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</si>
  <si>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</si>
  <si>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</si>
  <si>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</si>
  <si>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</si>
  <si>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</si>
  <si>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</si>
  <si>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</si>
  <si>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</si>
  <si>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</si>
  <si>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</si>
  <si>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</si>
  <si>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</si>
  <si>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</si>
  <si>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</si>
  <si>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</si>
  <si>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</si>
  <si>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</si>
  <si>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</si>
  <si>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</si>
  <si>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</si>
  <si>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</si>
  <si>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</si>
  <si>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</si>
  <si>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</si>
  <si>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</si>
  <si>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</si>
  <si>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</si>
  <si>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</si>
  <si>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</si>
  <si>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</si>
  <si>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</si>
  <si>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</si>
  <si>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</si>
  <si>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</si>
  <si>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</si>
  <si>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</si>
  <si>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</si>
  <si>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</si>
  <si>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</si>
  <si>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</si>
  <si>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</si>
  <si>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</si>
  <si>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</si>
  <si>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</si>
  <si>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</si>
  <si>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</si>
  <si>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</si>
  <si>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</si>
  <si>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</si>
  <si>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</si>
  <si>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</si>
  <si>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</si>
  <si>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</si>
  <si>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</si>
  <si>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</si>
  <si>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</si>
  <si>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</si>
  <si>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</si>
  <si>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</si>
  <si>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</si>
  <si>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</si>
  <si>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</si>
  <si>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</si>
  <si>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</si>
  <si>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</si>
  <si>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</si>
  <si>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</si>
  <si>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</si>
  <si>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</si>
  <si>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</si>
  <si>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</si>
  <si>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</si>
  <si>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</si>
  <si>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</si>
  <si>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</si>
  <si>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</si>
  <si>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</si>
  <si>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</si>
  <si>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</si>
  <si>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</si>
  <si>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</si>
  <si>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</si>
  <si>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</si>
  <si>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</si>
  <si>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</si>
  <si>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</si>
  <si>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</si>
  <si>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</si>
  <si>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</si>
  <si>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</si>
  <si>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</si>
  <si>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</si>
  <si>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</si>
  <si>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</si>
  <si>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</si>
  <si>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</si>
  <si>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</si>
  <si>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</si>
  <si>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</si>
  <si>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</si>
  <si>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</si>
  <si>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</si>
  <si>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</si>
  <si>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</si>
  <si>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</si>
  <si>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</si>
  <si>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</si>
  <si>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</si>
  <si>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</si>
  <si>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</si>
  <si>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</si>
  <si>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</si>
  <si>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</si>
  <si>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</si>
  <si>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</si>
  <si>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</si>
  <si>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</si>
  <si>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</si>
  <si>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</si>
  <si>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</si>
  <si>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</si>
  <si>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</si>
  <si>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</si>
  <si>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</si>
  <si>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</si>
  <si>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</si>
  <si>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</si>
  <si>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</si>
  <si>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</si>
  <si>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</si>
  <si>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</si>
  <si>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</si>
  <si>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</si>
  <si>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</si>
  <si>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</si>
  <si>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</si>
  <si>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</si>
  <si>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</si>
  <si>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</si>
  <si>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</si>
  <si>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</si>
  <si>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</si>
  <si>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</si>
  <si>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</si>
  <si>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</si>
  <si>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</si>
  <si>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</si>
  <si>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</si>
  <si>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</si>
  <si>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</si>
  <si>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</si>
  <si>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</si>
  <si>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</si>
  <si>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</si>
  <si>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</si>
  <si>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</si>
  <si>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</si>
  <si>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</si>
  <si>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</si>
  <si>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</si>
  <si>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</si>
  <si>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</si>
  <si>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</si>
  <si>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</si>
  <si>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</si>
  <si>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</si>
  <si>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</si>
  <si>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</si>
  <si>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</si>
  <si>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</si>
  <si>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</si>
  <si>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</si>
  <si>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</si>
  <si>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</si>
  <si>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</si>
  <si>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</si>
  <si>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</si>
  <si>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</si>
  <si>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</si>
  <si>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</si>
  <si>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</si>
  <si>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</si>
  <si>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</si>
  <si>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</si>
  <si>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</si>
  <si>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</si>
  <si>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</si>
  <si>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</si>
  <si>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</si>
  <si>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</si>
  <si>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</si>
  <si>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</si>
  <si>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</si>
  <si>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</si>
  <si>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</si>
  <si>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</si>
  <si>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</si>
  <si>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</si>
  <si>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</si>
  <si>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</si>
  <si>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</si>
  <si>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</si>
  <si>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</si>
  <si>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</si>
  <si>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</si>
  <si>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</si>
  <si>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</si>
  <si>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</si>
  <si>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</si>
  <si>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</si>
  <si>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</si>
  <si>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</si>
  <si>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</si>
  <si>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</si>
  <si>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</si>
  <si>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</si>
  <si>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</si>
  <si>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</si>
  <si>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</si>
  <si>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</si>
  <si>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</si>
  <si>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</si>
  <si>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</si>
  <si>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</si>
  <si>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</si>
  <si>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</si>
  <si>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</si>
  <si>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</si>
  <si>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</si>
  <si>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</si>
  <si>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</si>
  <si>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</si>
  <si>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</si>
  <si>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</si>
  <si>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</si>
  <si>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</si>
  <si>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</si>
  <si>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</si>
  <si>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</si>
  <si>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</si>
  <si>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</si>
  <si>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</si>
  <si>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</si>
  <si>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</si>
  <si>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</si>
  <si>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</si>
  <si>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</si>
  <si>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</si>
  <si>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</si>
  <si>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</si>
  <si>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</si>
  <si>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</si>
  <si>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</si>
  <si>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</si>
  <si>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</si>
  <si>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</si>
  <si>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</si>
  <si>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</si>
  <si>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</si>
  <si>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</si>
  <si>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</si>
  <si>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</si>
  <si>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</si>
  <si>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</si>
  <si>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</si>
  <si>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</si>
  <si>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</si>
  <si>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</si>
  <si>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</si>
  <si>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</si>
  <si>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</si>
  <si>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</si>
  <si>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</si>
  <si>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</si>
  <si>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</si>
  <si>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</si>
  <si>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</si>
  <si>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</si>
  <si>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</si>
  <si>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</si>
  <si>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</si>
  <si>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</si>
  <si>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</si>
  <si>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</si>
  <si>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</si>
  <si>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</si>
  <si>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</si>
  <si>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</si>
  <si>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</si>
  <si>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</si>
  <si>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</si>
  <si>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</si>
  <si>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</si>
  <si>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</si>
  <si>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</si>
  <si>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</si>
  <si>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</si>
  <si>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</si>
  <si>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</si>
  <si>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</si>
  <si>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</si>
  <si>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</si>
  <si>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</si>
  <si>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</si>
  <si>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</si>
  <si>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</si>
  <si>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</si>
  <si>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</si>
  <si>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</si>
  <si>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</si>
  <si>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</si>
  <si>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</si>
  <si>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</si>
  <si>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</si>
  <si>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</si>
  <si>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</si>
  <si>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</si>
  <si>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</si>
  <si>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</si>
  <si>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</si>
  <si>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</si>
  <si>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</si>
  <si>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</si>
  <si>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</si>
  <si>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</si>
  <si>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</si>
  <si>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</si>
  <si>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</si>
  <si>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</si>
  <si>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</si>
  <si>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</si>
  <si>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</si>
  <si>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</si>
  <si>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</si>
  <si>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</si>
  <si>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</si>
  <si>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</si>
  <si>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</si>
  <si>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</si>
  <si>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</si>
  <si>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</si>
  <si>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</si>
  <si>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</si>
  <si>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</si>
  <si>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</si>
  <si>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</si>
  <si>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</si>
  <si>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</si>
  <si>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</si>
  <si>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</si>
  <si>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</si>
  <si>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</si>
  <si>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</si>
  <si>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</si>
  <si>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</si>
  <si>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</si>
  <si>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</si>
  <si>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</si>
  <si>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</si>
  <si>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</si>
  <si>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</si>
  <si>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</si>
  <si>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</si>
  <si>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</si>
  <si>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</si>
  <si>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</si>
  <si>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</si>
  <si>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</si>
  <si>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</si>
  <si>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</si>
  <si>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</si>
  <si>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</si>
  <si>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</si>
  <si>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</si>
  <si>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</si>
  <si>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</si>
  <si>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</si>
  <si>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</si>
  <si>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</si>
  <si>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</si>
  <si>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</si>
  <si>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</si>
  <si>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</si>
  <si>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</si>
  <si>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</si>
  <si>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</si>
  <si>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</si>
  <si>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</si>
  <si>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</si>
  <si>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</si>
  <si>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</si>
  <si>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</si>
  <si>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</si>
  <si>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</si>
  <si>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</si>
  <si>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</si>
  <si>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</si>
  <si>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</si>
  <si>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</si>
  <si>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</si>
  <si>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</si>
  <si>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</si>
  <si>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</si>
  <si>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</si>
  <si>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</si>
  <si>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</si>
  <si>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</si>
  <si>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</si>
  <si>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</si>
  <si>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</si>
  <si>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</si>
  <si>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</si>
  <si>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</si>
  <si>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</si>
  <si>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</si>
  <si>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</si>
  <si>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</si>
  <si>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</si>
  <si>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</si>
  <si>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</si>
  <si>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</si>
  <si>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</si>
  <si>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</si>
  <si>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</si>
  <si>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</si>
  <si>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</si>
  <si>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</si>
  <si>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</si>
  <si>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</si>
  <si>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</si>
  <si>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</si>
  <si>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</si>
  <si>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</si>
  <si>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</si>
  <si>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</si>
  <si>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</si>
  <si>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</si>
  <si>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</si>
  <si>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</si>
  <si>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</si>
  <si>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</si>
  <si>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</si>
  <si>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</si>
  <si>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</si>
  <si>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</si>
  <si>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</si>
  <si>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</si>
  <si>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</si>
  <si>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</si>
  <si>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</si>
  <si>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</si>
  <si>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</si>
  <si>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</si>
  <si>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</si>
  <si>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</si>
  <si>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</si>
  <si>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</si>
  <si>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</si>
  <si>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</si>
  <si>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</si>
  <si>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</si>
  <si>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</si>
  <si>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</si>
  <si>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</si>
  <si>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</si>
  <si>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</si>
  <si>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</si>
  <si>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</si>
  <si>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</si>
  <si>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</si>
  <si>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</si>
  <si>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</si>
  <si>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</si>
  <si>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</si>
  <si>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</si>
  <si>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</si>
  <si>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</si>
  <si>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</si>
  <si>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</si>
  <si>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</si>
  <si>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</si>
  <si>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</si>
  <si>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</si>
  <si>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</si>
  <si>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</si>
  <si>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</si>
  <si>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</si>
  <si>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</si>
  <si>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</si>
  <si>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</si>
  <si>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</si>
  <si>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</si>
  <si>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</si>
  <si>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</si>
  <si>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</si>
  <si>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</si>
  <si>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</si>
  <si>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</si>
  <si>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</si>
  <si>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</si>
  <si>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</si>
  <si>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</si>
  <si>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</si>
  <si>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</si>
  <si>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</si>
  <si>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</si>
  <si>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</si>
  <si>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</si>
  <si>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</si>
  <si>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</si>
  <si>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</si>
  <si>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</si>
  <si>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</si>
  <si>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</si>
  <si>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</si>
  <si>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</si>
  <si>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</si>
  <si>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</si>
  <si>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</si>
  <si>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</si>
  <si>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</si>
  <si>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</si>
  <si>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</si>
  <si>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</si>
  <si>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</si>
  <si>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</si>
  <si>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</si>
  <si>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</si>
  <si>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</si>
  <si>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</si>
  <si>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</si>
  <si>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</si>
  <si>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</si>
  <si>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</si>
  <si>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</si>
  <si>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</si>
  <si>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</si>
  <si>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</si>
  <si>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</si>
  <si>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</si>
  <si>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</si>
  <si>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</si>
  <si>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</si>
  <si>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</si>
  <si>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</si>
  <si>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</si>
  <si>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</si>
  <si>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</si>
  <si>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</si>
  <si>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</si>
  <si>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</si>
  <si>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</si>
  <si>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</si>
  <si>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</si>
  <si>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</si>
  <si>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</si>
  <si>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</si>
  <si>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</si>
  <si>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</si>
  <si>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</si>
  <si>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</si>
  <si>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</si>
  <si>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</si>
  <si>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</si>
  <si>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</si>
  <si>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</si>
  <si>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</si>
  <si>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</si>
  <si>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</si>
  <si>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</si>
  <si>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</si>
  <si>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</si>
  <si>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</si>
  <si>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</si>
  <si>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</si>
  <si>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</si>
  <si>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</si>
  <si>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</si>
  <si>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</si>
  <si>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</si>
  <si>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</si>
  <si>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</si>
  <si>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</si>
  <si>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</si>
  <si>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</si>
  <si>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</si>
  <si>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</si>
  <si>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</si>
  <si>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</si>
  <si>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</si>
  <si>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</si>
  <si>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</si>
  <si>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</si>
  <si>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</si>
  <si>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</si>
  <si>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</si>
  <si>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</si>
  <si>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</si>
  <si>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</si>
  <si>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</si>
  <si>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</si>
  <si>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</si>
  <si>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</si>
  <si>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</si>
  <si>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</si>
  <si>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</si>
  <si>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</si>
  <si>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</si>
  <si>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</si>
  <si>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</si>
  <si>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</si>
  <si>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</si>
  <si>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</si>
  <si>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</si>
  <si>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</si>
  <si>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</si>
  <si>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</si>
  <si>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</si>
  <si>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</si>
  <si>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</si>
  <si>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</si>
  <si>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</si>
  <si>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</si>
  <si>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</si>
  <si>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</si>
  <si>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</si>
  <si>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</si>
  <si>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</si>
  <si>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</si>
  <si>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</si>
  <si>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</si>
  <si>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</si>
  <si>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</si>
  <si>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</si>
  <si>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</si>
  <si>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</si>
  <si>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</si>
  <si>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</si>
  <si>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</si>
  <si>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</si>
  <si>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</si>
  <si>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</si>
  <si>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</si>
  <si>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</si>
  <si>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</si>
  <si>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</si>
  <si>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</si>
  <si>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</si>
  <si>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</si>
  <si>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</si>
  <si>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</si>
  <si>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</si>
  <si>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</si>
  <si>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</si>
  <si>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</si>
  <si>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</si>
  <si>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</si>
  <si>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</si>
  <si>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</si>
  <si>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</si>
  <si>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</si>
  <si>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</si>
  <si>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</si>
  <si>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</si>
  <si>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</si>
  <si>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</si>
  <si>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</si>
  <si>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</si>
  <si>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</si>
  <si>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</si>
  <si>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</si>
  <si>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</si>
  <si>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</si>
  <si>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</si>
  <si>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</si>
  <si>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</si>
  <si>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</si>
  <si>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</si>
  <si>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</si>
  <si>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</si>
  <si>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</si>
  <si>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</si>
  <si>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</si>
  <si>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</si>
  <si>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</si>
  <si>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</si>
  <si>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</si>
  <si>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</si>
  <si>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</si>
  <si>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</si>
  <si>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</si>
  <si>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</si>
  <si>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</si>
  <si>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</si>
  <si>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</si>
  <si>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</si>
  <si>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</si>
  <si>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</si>
  <si>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</si>
  <si>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</si>
  <si>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</si>
  <si>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</si>
  <si>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</si>
  <si>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</si>
  <si>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</si>
  <si>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</si>
  <si>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</si>
  <si>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</si>
  <si>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</si>
  <si>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</si>
  <si>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</si>
  <si>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</si>
  <si>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</si>
  <si>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</si>
  <si>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</si>
  <si>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</si>
  <si>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</si>
  <si>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</si>
  <si>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</si>
  <si>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</si>
  <si>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</si>
  <si>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</si>
  <si>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</si>
  <si>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</si>
  <si>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</si>
  <si>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</si>
  <si>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</si>
  <si>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</si>
  <si>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</si>
  <si>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</si>
  <si>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</si>
  <si>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</si>
  <si>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</si>
  <si>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</si>
  <si>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</si>
  <si>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</si>
  <si>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</si>
  <si>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</si>
  <si>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</si>
  <si>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</si>
  <si>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</si>
  <si>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</si>
  <si>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</si>
  <si>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</si>
  <si>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</si>
  <si>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</si>
  <si>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</si>
  <si>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</si>
  <si>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</si>
  <si>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</si>
  <si>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</si>
  <si>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</si>
  <si>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</si>
  <si>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</si>
  <si>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</si>
  <si>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</si>
  <si>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</si>
  <si>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</si>
  <si>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</si>
  <si>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</si>
  <si>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</si>
  <si>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</si>
  <si>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</si>
  <si>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</si>
  <si>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</si>
  <si>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</si>
  <si>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</si>
  <si>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</si>
  <si>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</si>
  <si>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</si>
  <si>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</si>
  <si>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</si>
  <si>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</si>
  <si>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</si>
  <si>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</si>
  <si>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</si>
  <si>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</si>
  <si>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</si>
  <si>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</si>
  <si>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</si>
  <si>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</si>
  <si>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</si>
  <si>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</si>
  <si>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</si>
  <si>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</si>
  <si>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</si>
  <si>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</si>
  <si>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</si>
  <si>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</si>
  <si>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</si>
  <si>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</si>
  <si>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</si>
  <si>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</si>
  <si>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</si>
  <si>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</si>
  <si>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</si>
  <si>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</si>
  <si>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</si>
  <si>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</si>
  <si>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</si>
  <si>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</si>
  <si>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</si>
  <si>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</si>
  <si>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</si>
  <si>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</si>
  <si>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</si>
  <si>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</si>
  <si>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</si>
  <si>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</si>
  <si>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</si>
  <si>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</si>
  <si>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</si>
  <si>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</si>
  <si>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</si>
  <si>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</si>
  <si>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</si>
  <si>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</si>
  <si>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</si>
  <si>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</si>
  <si>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</si>
  <si>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</si>
  <si>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</si>
  <si>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</si>
  <si>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</si>
  <si>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</si>
  <si>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</si>
  <si>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</si>
  <si>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</si>
  <si>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</si>
  <si>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</si>
  <si>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</si>
  <si>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</si>
  <si>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</si>
  <si>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</si>
  <si>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</si>
  <si>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</si>
  <si>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</si>
  <si>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</si>
  <si>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</si>
  <si>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</si>
  <si>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</si>
  <si>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</si>
  <si>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</si>
  <si>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</si>
  <si>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</si>
  <si>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</si>
  <si>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</si>
  <si>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</si>
  <si>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</si>
  <si>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</si>
  <si>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</si>
  <si>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</si>
  <si>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</si>
  <si>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</si>
  <si>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</si>
  <si>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</si>
  <si>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</si>
  <si>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</si>
  <si>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</si>
  <si>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</si>
  <si>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</si>
  <si>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</si>
  <si>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</si>
  <si>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</si>
  <si>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</si>
  <si>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</si>
  <si>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</si>
  <si>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</si>
  <si>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</si>
  <si>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</si>
  <si>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</si>
  <si>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</si>
  <si>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</si>
  <si>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</si>
  <si>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</si>
  <si>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</si>
  <si>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</si>
  <si>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</si>
  <si>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</si>
  <si>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</si>
  <si>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</si>
  <si>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</si>
  <si>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</si>
  <si>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</si>
  <si>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</si>
  <si>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</si>
  <si>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</si>
  <si>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</si>
  <si>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</si>
  <si>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</si>
  <si>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</si>
  <si>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</si>
  <si>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</si>
  <si>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</si>
  <si>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</si>
  <si>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</si>
  <si>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</si>
  <si>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</si>
  <si>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</si>
  <si>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</si>
  <si>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</si>
  <si>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</si>
  <si>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</si>
  <si>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</si>
  <si>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</si>
  <si>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</si>
  <si>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</si>
  <si>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</si>
  <si>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</si>
  <si>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</si>
  <si>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</si>
  <si>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</si>
  <si>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</si>
  <si>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</si>
  <si>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</si>
  <si>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</si>
  <si>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</si>
  <si>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</si>
  <si>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</si>
  <si>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</si>
  <si>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</si>
  <si>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</si>
  <si>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</si>
  <si>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</si>
  <si>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</si>
  <si>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</si>
  <si>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</si>
  <si>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</si>
  <si>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</si>
  <si>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</si>
  <si>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</si>
  <si>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</si>
  <si>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</si>
  <si>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</si>
  <si>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</si>
  <si>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</si>
  <si>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</si>
  <si>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</si>
  <si>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</si>
  <si>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</si>
  <si>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</si>
  <si>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</si>
  <si>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</si>
  <si>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</si>
  <si>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</si>
  <si>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</si>
  <si>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</si>
  <si>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</si>
  <si>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</si>
  <si>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</si>
  <si>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</si>
  <si>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</si>
  <si>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</si>
  <si>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</si>
  <si>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</si>
  <si>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</si>
  <si>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</si>
  <si>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</si>
  <si>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</si>
  <si>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</si>
  <si>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</si>
  <si>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</si>
  <si>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</si>
  <si>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</si>
  <si>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</si>
  <si>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</si>
  <si>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</si>
  <si>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</si>
  <si>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</si>
  <si>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</si>
  <si>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</si>
  <si>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</si>
  <si>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</si>
  <si>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</si>
  <si>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</si>
  <si>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</si>
  <si>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</si>
  <si>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</si>
  <si>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</si>
  <si>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</si>
  <si>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</si>
  <si>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</si>
  <si>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</si>
  <si>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</si>
  <si>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</si>
  <si>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</si>
  <si>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</si>
  <si>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</si>
  <si>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</si>
  <si>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</si>
  <si>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</si>
  <si>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</si>
  <si>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</si>
  <si>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</si>
  <si>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</si>
  <si>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</si>
  <si>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</si>
  <si>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</si>
  <si>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</si>
  <si>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</si>
  <si>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</si>
  <si>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</si>
  <si>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</si>
  <si>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</si>
  <si>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</si>
  <si>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</si>
  <si>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</si>
  <si>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</si>
  <si>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</si>
  <si>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</si>
  <si>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</si>
  <si>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</si>
  <si>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</si>
  <si>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</si>
  <si>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</si>
  <si>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</si>
  <si>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</si>
  <si>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</si>
  <si>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</si>
  <si>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</si>
  <si>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</si>
  <si>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</si>
  <si>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</si>
  <si>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</si>
  <si>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</si>
  <si>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</si>
  <si>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</si>
  <si>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</si>
  <si>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</si>
  <si>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</si>
  <si>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</si>
  <si>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</si>
  <si>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</si>
  <si>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</si>
  <si>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</si>
  <si>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</si>
  <si>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</si>
  <si>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</si>
  <si>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</si>
  <si>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</si>
  <si>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</si>
  <si>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</si>
  <si>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</si>
  <si>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</si>
  <si>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</si>
  <si>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</si>
  <si>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</si>
  <si>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</si>
  <si>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</si>
  <si>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</si>
  <si>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</si>
  <si>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</si>
  <si>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</si>
  <si>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</si>
  <si>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</si>
  <si>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</si>
  <si>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</si>
  <si>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</si>
  <si>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</si>
  <si>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</si>
  <si>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</si>
  <si>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</si>
  <si>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</si>
  <si>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</si>
  <si>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</si>
  <si>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</si>
  <si>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</si>
  <si>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</si>
  <si>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</si>
  <si>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</si>
  <si>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</si>
  <si>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</si>
  <si>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</si>
  <si>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</si>
  <si>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</si>
  <si>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</si>
  <si>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</si>
  <si>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</si>
  <si>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</si>
  <si>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</si>
  <si>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</si>
  <si>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</si>
  <si>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</si>
  <si>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</si>
  <si>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</si>
  <si>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</si>
  <si>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</si>
  <si>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</si>
  <si>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</si>
  <si>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</si>
  <si>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</si>
  <si>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</si>
  <si>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</si>
  <si>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</si>
  <si>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</si>
  <si>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</si>
  <si>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</si>
  <si>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</si>
  <si>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</si>
  <si>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</si>
  <si>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</si>
  <si>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</si>
  <si>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</si>
  <si>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</si>
  <si>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</si>
  <si>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</si>
  <si>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</si>
  <si>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</si>
  <si>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</si>
  <si>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</si>
  <si>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</si>
  <si>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</si>
  <si>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</si>
  <si>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</si>
  <si>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</si>
  <si>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</si>
  <si>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</si>
  <si>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</si>
  <si>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</si>
  <si>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</si>
  <si>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</si>
  <si>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</si>
  <si>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</si>
  <si>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</si>
  <si>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</si>
  <si>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</si>
  <si>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</si>
  <si>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</si>
  <si>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</si>
  <si>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</si>
  <si>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</si>
  <si>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</si>
  <si>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</si>
  <si>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</si>
  <si>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</si>
  <si>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</si>
  <si>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</si>
  <si>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</si>
  <si>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</si>
  <si>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</si>
  <si>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</si>
  <si>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</si>
  <si>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</si>
  <si>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</si>
  <si>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</si>
  <si>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</si>
  <si>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</si>
  <si>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</si>
  <si>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</si>
  <si>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</si>
  <si>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</si>
  <si>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</si>
  <si>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</si>
  <si>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</si>
  <si>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</si>
  <si>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</si>
  <si>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</si>
  <si>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</si>
  <si>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</si>
  <si>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</si>
  <si>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</si>
  <si>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</si>
  <si>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</si>
  <si>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</si>
  <si>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</si>
  <si>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</si>
  <si>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</si>
  <si>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</si>
  <si>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</si>
  <si>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</si>
  <si>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</si>
  <si>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</si>
  <si>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</si>
  <si>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</si>
  <si>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</si>
  <si>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</si>
  <si>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</si>
  <si>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</si>
  <si>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</si>
  <si>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</si>
  <si>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</si>
  <si>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</si>
  <si>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</si>
  <si>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</si>
  <si>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</si>
  <si>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</si>
  <si>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</si>
  <si>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</si>
  <si>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</si>
  <si>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</si>
  <si>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</si>
  <si>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</si>
  <si>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</si>
  <si>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</si>
  <si>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</si>
  <si>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</si>
  <si>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</si>
  <si>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</si>
  <si>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</si>
  <si>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</si>
  <si>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</si>
  <si>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</si>
  <si>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</si>
  <si>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</si>
  <si>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</si>
  <si>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</si>
  <si>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</si>
  <si>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</si>
  <si>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</si>
  <si>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</si>
  <si>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</si>
  <si>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</si>
  <si>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</si>
  <si>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</si>
  <si>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</si>
  <si>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</si>
  <si>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</si>
  <si>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</si>
  <si>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</si>
  <si>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</si>
  <si>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</si>
  <si>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</si>
  <si>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</si>
  <si>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</si>
  <si>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</si>
  <si>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</si>
  <si>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</si>
  <si>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</si>
  <si>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</si>
  <si>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</si>
  <si>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</si>
  <si>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</si>
  <si>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</si>
  <si>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</si>
  <si>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</si>
  <si>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</si>
  <si>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</si>
  <si>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</si>
  <si>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</si>
  <si>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</si>
  <si>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</si>
  <si>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</si>
  <si>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</si>
  <si>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</si>
  <si>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</si>
  <si>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</si>
  <si>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</si>
  <si>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</si>
  <si>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</si>
  <si>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</si>
  <si>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</si>
  <si>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</si>
  <si>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</si>
  <si>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</si>
  <si>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</si>
  <si>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</si>
  <si>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</si>
  <si>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</si>
  <si>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</si>
  <si>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</si>
  <si>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</si>
  <si>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</si>
  <si>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</si>
  <si>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</si>
  <si>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</si>
  <si>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</si>
  <si>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</si>
  <si>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</si>
  <si>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</si>
  <si>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</si>
  <si>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</si>
  <si>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</si>
  <si>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</si>
  <si>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</si>
  <si>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</si>
  <si>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</si>
  <si>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</si>
  <si>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</si>
  <si>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</si>
  <si>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</si>
  <si>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</si>
  <si>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</si>
  <si>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</si>
  <si>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</si>
  <si>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</si>
  <si>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</si>
  <si>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</si>
  <si>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</si>
  <si>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</si>
  <si>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</si>
  <si>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</si>
  <si>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</si>
  <si>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</si>
  <si>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</si>
  <si>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</si>
  <si>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</si>
  <si>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</si>
  <si>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</si>
  <si>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</si>
  <si>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</si>
  <si>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</si>
  <si>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</si>
  <si>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</si>
  <si>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</si>
  <si>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</si>
  <si>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</si>
  <si>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</si>
  <si>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</si>
  <si>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</si>
  <si>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</si>
  <si>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</si>
  <si>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</si>
  <si>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</si>
  <si>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</si>
  <si>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</si>
  <si>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</si>
  <si>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</si>
  <si>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</si>
  <si>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</si>
  <si>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</si>
  <si>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</si>
  <si>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</si>
  <si>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</si>
  <si>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</si>
  <si>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</si>
  <si>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</si>
  <si>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</si>
  <si>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</si>
  <si>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</si>
  <si>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</si>
  <si>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</si>
  <si>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</si>
  <si>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</si>
  <si>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</si>
  <si>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</si>
  <si>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</si>
  <si>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</si>
  <si>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</si>
  <si>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</si>
  <si>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</si>
  <si>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</si>
  <si>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</si>
  <si>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</si>
  <si>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</si>
  <si>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</si>
  <si>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</si>
  <si>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</si>
  <si>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</si>
  <si>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</si>
  <si>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</si>
  <si>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</si>
  <si>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</si>
  <si>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</si>
  <si>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</si>
  <si>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</si>
  <si>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</si>
  <si>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</si>
  <si>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</si>
  <si>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</si>
  <si>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</si>
  <si>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</si>
  <si>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</si>
  <si>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</si>
  <si>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</si>
  <si>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</si>
  <si>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</si>
  <si>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</si>
  <si>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</si>
  <si>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</si>
  <si>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</si>
  <si>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</si>
  <si>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</si>
  <si>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</si>
  <si>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</si>
  <si>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</si>
  <si>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</si>
  <si>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</si>
  <si>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</si>
  <si>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</si>
  <si>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</si>
  <si>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</si>
  <si>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</si>
  <si>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</si>
  <si>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</si>
  <si>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</si>
  <si>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</si>
  <si>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</si>
  <si>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</si>
  <si>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</si>
  <si>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</si>
  <si>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</si>
  <si>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</si>
  <si>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</si>
  <si>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</si>
  <si>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</si>
  <si>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</si>
  <si>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</si>
  <si>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</si>
  <si>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</si>
  <si>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</si>
  <si>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</si>
  <si>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</si>
  <si>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</si>
  <si>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</si>
  <si>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</si>
  <si>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</si>
  <si>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</si>
  <si>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</si>
  <si>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</si>
  <si>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</si>
  <si>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</si>
  <si>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</si>
  <si>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</si>
  <si>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</si>
  <si>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</si>
  <si>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</si>
  <si>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</si>
  <si>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</si>
  <si>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</si>
  <si>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</si>
  <si>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</si>
  <si>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</si>
  <si>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</si>
  <si>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</si>
  <si>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</si>
  <si>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</si>
  <si>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</si>
  <si>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</si>
  <si>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</si>
  <si>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</si>
  <si>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</si>
  <si>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</si>
  <si>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</si>
  <si>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</si>
  <si>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</si>
  <si>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</si>
  <si>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</si>
  <si>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</si>
  <si>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</si>
  <si>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</si>
  <si>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</si>
  <si>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</si>
  <si>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</si>
  <si>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</si>
  <si>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</si>
  <si>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</si>
  <si>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</si>
  <si>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</si>
  <si>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</si>
  <si>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</si>
  <si>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</si>
  <si>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</si>
  <si>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</si>
  <si>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</si>
  <si>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</si>
  <si>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</si>
  <si>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</si>
  <si>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</si>
  <si>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</si>
  <si>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</si>
  <si>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</si>
  <si>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</si>
  <si>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</si>
  <si>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</si>
  <si>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</si>
  <si>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</si>
  <si>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</si>
  <si>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</si>
  <si>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</si>
  <si>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</si>
  <si>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</si>
  <si>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</si>
  <si>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</si>
  <si>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</si>
  <si>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</si>
  <si>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</si>
  <si>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</si>
  <si>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</si>
  <si>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</si>
  <si>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</si>
  <si>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</si>
  <si>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</si>
  <si>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</si>
  <si>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</si>
  <si>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</si>
  <si>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</si>
  <si>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</si>
  <si>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</si>
  <si>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</si>
  <si>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</si>
  <si>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</si>
  <si>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</si>
  <si>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</si>
  <si>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</si>
  <si>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</si>
  <si>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</si>
  <si>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</si>
  <si>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</si>
  <si>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</si>
  <si>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</si>
  <si>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</si>
  <si>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</si>
  <si>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</si>
  <si>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</si>
  <si>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</si>
  <si>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</si>
  <si>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</si>
  <si>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</si>
  <si>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</si>
  <si>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</si>
  <si>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</si>
  <si>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</si>
  <si>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</si>
  <si>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</si>
  <si>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</si>
  <si>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</si>
  <si>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</si>
  <si>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</si>
  <si>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</si>
  <si>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</si>
  <si>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</si>
  <si>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</si>
  <si>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</si>
  <si>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</si>
  <si>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</si>
  <si>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</si>
  <si>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</si>
  <si>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</si>
  <si>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</si>
  <si>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</si>
  <si>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</si>
  <si>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</si>
  <si>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</si>
  <si>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</si>
  <si>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</si>
  <si>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</si>
  <si>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</si>
  <si>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</si>
  <si>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</si>
  <si>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</si>
  <si>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</si>
  <si>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</si>
  <si>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</si>
  <si>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</si>
  <si>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</si>
  <si>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</si>
  <si>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</si>
  <si>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</si>
  <si>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</si>
  <si>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</si>
  <si>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</si>
  <si>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</si>
  <si>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</si>
  <si>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</si>
  <si>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</si>
  <si>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</si>
  <si>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</si>
  <si>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</si>
  <si>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</si>
  <si>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</si>
  <si>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</si>
  <si>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</si>
  <si>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</si>
  <si>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</si>
  <si>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</si>
  <si>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</si>
  <si>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</si>
  <si>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</si>
  <si>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</si>
  <si>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</si>
  <si>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</si>
  <si>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</si>
  <si>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</si>
  <si>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</si>
  <si>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</si>
  <si>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</si>
  <si>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</si>
  <si>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</si>
  <si>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</si>
  <si>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</si>
  <si>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</si>
  <si>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</si>
  <si>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</si>
  <si>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</si>
  <si>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</si>
  <si>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</si>
  <si>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</si>
  <si>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</si>
  <si>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</si>
  <si>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</si>
  <si>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</si>
  <si>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</si>
  <si>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</si>
  <si>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</si>
  <si>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</si>
  <si>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</si>
  <si>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</si>
  <si>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</si>
  <si>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</si>
  <si>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</si>
  <si>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</si>
  <si>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</si>
  <si>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</si>
  <si>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</si>
  <si>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</si>
  <si>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</si>
  <si>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</si>
  <si>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</si>
  <si>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</si>
  <si>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</si>
  <si>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</si>
  <si>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</si>
  <si>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</si>
  <si>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</si>
  <si>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</si>
  <si>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</si>
  <si>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</si>
  <si>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</si>
  <si>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</si>
  <si>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</si>
  <si>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</si>
  <si>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</si>
  <si>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</si>
  <si>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</si>
  <si>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</si>
  <si>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</si>
  <si>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</si>
  <si>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</si>
  <si>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</si>
  <si>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</si>
  <si>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</si>
  <si>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</si>
  <si>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</si>
  <si>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</si>
  <si>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</si>
  <si>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</si>
  <si>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</si>
  <si>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</si>
  <si>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</si>
  <si>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</si>
  <si>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</si>
  <si>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</si>
  <si>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</si>
  <si>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</si>
  <si>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</si>
  <si>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</si>
  <si>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</si>
  <si>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</si>
  <si>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</si>
  <si>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</si>
  <si>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</si>
  <si>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</si>
  <si>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</si>
  <si>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</si>
  <si>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</si>
  <si>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</si>
  <si>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</si>
  <si>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</si>
  <si>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</si>
  <si>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</si>
  <si>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</si>
  <si>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</si>
  <si>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</si>
  <si>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</si>
  <si>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</si>
  <si>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</si>
  <si>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</si>
  <si>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</si>
  <si>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</si>
  <si>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</si>
  <si>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</si>
  <si>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</si>
  <si>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</si>
  <si>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</si>
  <si>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</si>
  <si>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</si>
  <si>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</si>
  <si>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</si>
  <si>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</si>
  <si>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</si>
  <si>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</si>
  <si>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</si>
  <si>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</si>
  <si>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</si>
  <si>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</si>
  <si>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</si>
  <si>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</si>
  <si>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</si>
  <si>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</si>
  <si>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</si>
  <si>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</si>
  <si>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</si>
  <si>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</si>
  <si>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</si>
  <si>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</si>
  <si>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</si>
  <si>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</si>
  <si>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</si>
  <si>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</si>
  <si>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</si>
  <si>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</si>
  <si>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</si>
  <si>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</si>
  <si>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</si>
  <si>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</si>
  <si>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</si>
  <si>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</si>
  <si>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</si>
  <si>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</si>
  <si>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</si>
  <si>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</si>
  <si>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</si>
  <si>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</si>
  <si>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</si>
  <si>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</si>
  <si>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</si>
  <si>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</si>
  <si>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</si>
  <si>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</si>
  <si>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</si>
  <si>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</si>
  <si>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</si>
  <si>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</si>
  <si>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</si>
  <si>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</si>
  <si>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</si>
  <si>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</si>
  <si>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</si>
  <si>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</si>
  <si>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</si>
  <si>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</si>
  <si>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</si>
  <si>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</si>
  <si>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</si>
  <si>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</si>
  <si>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</si>
  <si>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</si>
  <si>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</si>
  <si>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</si>
  <si>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</si>
  <si>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</si>
  <si>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</si>
  <si>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</si>
  <si>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</si>
  <si>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</si>
  <si>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</si>
  <si>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</si>
  <si>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</si>
  <si>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</si>
  <si>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</si>
  <si>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</si>
  <si>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</si>
  <si>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</si>
  <si>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</si>
  <si>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</si>
  <si>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</si>
  <si>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</si>
  <si>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</si>
  <si>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</si>
  <si>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</si>
  <si>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</si>
  <si>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</si>
  <si>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</si>
  <si>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</si>
  <si>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</si>
  <si>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</si>
  <si>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</si>
  <si>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</si>
  <si>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</si>
  <si>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</si>
  <si>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</si>
  <si>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</si>
  <si>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</si>
  <si>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</si>
  <si>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</si>
  <si>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</si>
  <si>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</si>
  <si>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</si>
  <si>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</si>
  <si>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</si>
  <si>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</si>
  <si>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</si>
  <si>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</si>
  <si>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</si>
  <si>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</si>
  <si>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</si>
  <si>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</si>
  <si>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</si>
  <si>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</si>
  <si>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</si>
  <si>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</si>
  <si>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</si>
  <si>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</si>
  <si>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</si>
  <si>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</si>
  <si>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</si>
  <si>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</si>
  <si>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</si>
  <si>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</si>
  <si>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</si>
  <si>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</si>
  <si>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</si>
  <si>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</si>
  <si>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</si>
  <si>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</si>
  <si>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</si>
  <si>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</si>
  <si>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</si>
  <si>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</si>
  <si>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</si>
  <si>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</si>
  <si>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</si>
  <si>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</si>
  <si>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</si>
  <si>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</si>
  <si>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</si>
  <si>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</si>
  <si>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</si>
  <si>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</si>
  <si>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</si>
  <si>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</si>
  <si>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</si>
  <si>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</si>
  <si>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</si>
  <si>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</si>
  <si>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</si>
  <si>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</si>
  <si>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</si>
  <si>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</si>
  <si>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</si>
  <si>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</si>
  <si>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</si>
  <si>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</si>
  <si>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</si>
  <si>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</si>
  <si>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</si>
  <si>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</si>
  <si>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</si>
  <si>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</si>
  <si>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</si>
  <si>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</si>
  <si>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</si>
  <si>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</si>
  <si>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</si>
  <si>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</si>
  <si>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</si>
  <si>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</si>
  <si>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</si>
  <si>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</si>
  <si>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</si>
  <si>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</si>
  <si>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</si>
  <si>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</si>
  <si>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</si>
  <si>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</si>
  <si>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</si>
  <si>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</si>
  <si>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</si>
  <si>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</si>
  <si>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</si>
  <si>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</si>
  <si>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</si>
  <si>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</si>
  <si>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</si>
  <si>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</si>
  <si>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</si>
  <si>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</si>
  <si>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</si>
  <si>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</si>
  <si>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</si>
  <si>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</si>
  <si>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</si>
  <si>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</si>
  <si>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</si>
  <si>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</si>
  <si>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</si>
  <si>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</si>
  <si>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</si>
  <si>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</si>
  <si>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</si>
  <si>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</si>
  <si>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</si>
  <si>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</si>
  <si>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</si>
  <si>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</si>
  <si>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</si>
  <si>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</si>
  <si>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</si>
  <si>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</si>
  <si>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</si>
  <si>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</si>
  <si>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</si>
  <si>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</si>
  <si>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</si>
  <si>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</si>
  <si>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</si>
  <si>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</si>
  <si>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</si>
  <si>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</si>
  <si>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</si>
  <si>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</si>
  <si>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</si>
  <si>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</si>
  <si>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</si>
  <si>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</si>
  <si>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</si>
  <si>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</si>
  <si>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</si>
  <si>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</si>
  <si>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</si>
  <si>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</si>
  <si>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</si>
  <si>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</si>
  <si>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</si>
  <si>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</si>
  <si>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</si>
  <si>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</si>
  <si>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</si>
  <si>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</si>
  <si>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</si>
  <si>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</si>
  <si>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</si>
  <si>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</si>
  <si>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</si>
  <si>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</si>
  <si>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</si>
  <si>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</si>
  <si>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</si>
  <si>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</si>
  <si>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</si>
  <si>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</si>
  <si>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</si>
  <si>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</si>
  <si>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</si>
  <si>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</si>
  <si>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</si>
  <si>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</si>
  <si>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</si>
  <si>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</si>
  <si>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</si>
  <si>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</si>
  <si>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</si>
  <si>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</si>
  <si>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</si>
  <si>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</si>
  <si>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</si>
  <si>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</si>
  <si>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</si>
  <si>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</si>
  <si>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</si>
  <si>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</si>
  <si>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</si>
  <si>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</si>
  <si>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</si>
  <si>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</si>
  <si>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</si>
  <si>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</si>
  <si>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</si>
  <si>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</si>
  <si>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</si>
  <si>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</si>
  <si>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</si>
  <si>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</si>
  <si>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</si>
  <si>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</si>
  <si>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</si>
  <si>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</si>
  <si>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</si>
  <si>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</si>
  <si>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</si>
  <si>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</si>
  <si>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</si>
  <si>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</si>
  <si>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</si>
  <si>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</si>
  <si>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</si>
  <si>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</si>
  <si>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</si>
  <si>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</si>
  <si>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</si>
  <si>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</si>
  <si>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</si>
  <si>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</si>
  <si>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</si>
  <si>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</si>
  <si>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</si>
  <si>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</si>
  <si>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</si>
  <si>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</si>
  <si>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</si>
  <si>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</si>
  <si>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</si>
  <si>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</si>
  <si>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</si>
  <si>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</si>
  <si>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</si>
  <si>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</si>
  <si>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</si>
  <si>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</si>
  <si>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</si>
  <si>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</si>
  <si>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</si>
  <si>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</si>
  <si>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</si>
  <si>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</si>
  <si>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</si>
  <si>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</si>
  <si>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</si>
  <si>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</si>
  <si>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</si>
  <si>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</si>
  <si>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</si>
  <si>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</si>
  <si>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</si>
  <si>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</si>
  <si>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</si>
  <si>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</si>
  <si>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</si>
  <si>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</si>
  <si>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</si>
  <si>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</si>
  <si>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</si>
  <si>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</si>
  <si>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</si>
  <si>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</si>
  <si>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</si>
  <si>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</si>
  <si>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</si>
  <si>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</si>
  <si>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</si>
  <si>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</si>
  <si>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</si>
  <si>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</si>
  <si>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</si>
  <si>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</si>
  <si>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</si>
  <si>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</si>
  <si>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</si>
  <si>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</si>
  <si>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</si>
  <si>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</si>
  <si>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</si>
  <si>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</si>
  <si>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</si>
  <si>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</si>
  <si>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</si>
  <si>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</si>
  <si>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</si>
  <si>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</si>
  <si>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</si>
  <si>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</si>
  <si>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</si>
  <si>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</si>
  <si>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</si>
  <si>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</si>
  <si>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</si>
  <si>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</si>
  <si>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</si>
  <si>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</si>
  <si>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</si>
  <si>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</si>
  <si>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</si>
  <si>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</si>
  <si>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</si>
  <si>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</si>
  <si>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</si>
  <si>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</si>
  <si>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</si>
  <si>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</si>
  <si>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</si>
  <si>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</si>
  <si>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</si>
  <si>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</si>
  <si>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</si>
  <si>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</si>
  <si>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</si>
  <si>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</si>
  <si>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</si>
  <si>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</si>
  <si>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</si>
  <si>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</si>
  <si>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</si>
  <si>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</si>
  <si>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</si>
  <si>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</si>
  <si>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</si>
  <si>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</si>
  <si>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</si>
  <si>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</si>
  <si>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</si>
  <si>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</si>
  <si>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</si>
  <si>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</si>
  <si>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</si>
  <si>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</si>
  <si>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</si>
  <si>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</si>
  <si>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</si>
  <si>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</si>
  <si>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</si>
  <si>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</si>
  <si>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</si>
  <si>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</si>
  <si>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</si>
  <si>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</si>
  <si>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</si>
  <si>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</si>
  <si>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</si>
  <si>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</si>
  <si>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</si>
  <si>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</si>
  <si>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</si>
  <si>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</si>
  <si>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</si>
  <si>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</si>
  <si>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</si>
  <si>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</si>
  <si>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</si>
  <si>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</si>
  <si>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</si>
  <si>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</si>
  <si>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</si>
  <si>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</si>
  <si>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</si>
  <si>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</si>
  <si>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</si>
  <si>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</si>
  <si>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</si>
  <si>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</si>
  <si>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</si>
  <si>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</si>
  <si>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</si>
  <si>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</si>
  <si>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</si>
  <si>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</si>
  <si>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</si>
  <si>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</si>
  <si>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</si>
  <si>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</si>
  <si>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</si>
  <si>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</si>
  <si>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</si>
  <si>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</si>
  <si>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</si>
  <si>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</si>
  <si>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</si>
  <si>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</si>
  <si>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</si>
  <si>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</si>
  <si>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</si>
  <si>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</si>
  <si>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</si>
  <si>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</si>
  <si>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</si>
  <si>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</si>
  <si>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</si>
  <si>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</si>
  <si>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</si>
  <si>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</si>
  <si>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</si>
  <si>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</si>
  <si>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</si>
  <si>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</si>
  <si>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</si>
  <si>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</si>
  <si>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</si>
  <si>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</si>
  <si>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</si>
  <si>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</si>
  <si>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</si>
  <si>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</si>
  <si>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</si>
  <si>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</si>
  <si>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</si>
  <si>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</si>
  <si>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</si>
  <si>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</si>
  <si>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</si>
  <si>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</si>
  <si>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</si>
  <si>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</si>
  <si>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</si>
  <si>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</si>
  <si>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</si>
  <si>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</si>
  <si>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</si>
  <si>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</si>
  <si>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</si>
  <si>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</si>
  <si>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</si>
  <si>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</si>
  <si>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</si>
  <si>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</si>
  <si>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</si>
  <si>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</si>
  <si>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</si>
  <si>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</si>
  <si>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</si>
  <si>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</si>
  <si>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</si>
  <si>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</si>
  <si>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</si>
  <si>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</si>
  <si>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</si>
  <si>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</si>
  <si>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</si>
  <si>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</si>
  <si>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</si>
  <si>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</si>
  <si>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</si>
  <si>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</si>
  <si>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</si>
  <si>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</si>
  <si>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</si>
  <si>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</si>
  <si>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</si>
  <si>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</si>
  <si>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</si>
  <si>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</si>
  <si>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</si>
  <si>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</si>
  <si>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</si>
  <si>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</si>
  <si>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</si>
  <si>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</si>
  <si>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</si>
  <si>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</si>
  <si>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</si>
  <si>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</si>
  <si>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</si>
  <si>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</si>
  <si>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</si>
  <si>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</si>
  <si>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</si>
  <si>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</si>
  <si>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</si>
  <si>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r>
      <t>God Breaker</t>
    </r>
    <r>
      <rPr>
        <sz val="10"/>
        <color theme="1"/>
        <rFont val="細明體"/>
        <family val="3"/>
        <charset val="136"/>
      </rPr>
      <t>：弒神者</t>
    </r>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</si>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</sst>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 fillId="0" borderId="7" xfId="1" applyFill="1" applyBorder="1"/>
    <xf numFmtId="0" fontId="1" fillId="0" borderId="0" xfId="1" applyFill="1" applyAlignment="1">
      <alignment vertical="center" wrapText="1"/>
    </xf>
    <xf numFmtId="0" fontId="18" fillId="0" borderId="1" xfId="0" applyFont="1" applyBorder="1" applyAlignment="1">
      <alignment wrapText="1"/>
    </xf>
    <xf numFmtId="0" fontId="18" fillId="2" borderId="1" xfId="0" applyFont="1" applyFill="1" applyBorder="1" applyAlignment="1">
      <alignment wrapText="1"/>
    </xf>
    <xf numFmtId="0" fontId="18" fillId="0" borderId="0" xfId="0" applyFont="1"/>
    <xf numFmtId="0" fontId="19" fillId="0" borderId="0" xfId="0" applyFont="1"/>
    <xf numFmtId="0" fontId="14"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33" activePane="bottomRight" state="frozen"/>
      <selection pane="topRight" activeCell="B1" sqref="B1"/>
      <selection pane="bottomLeft" activeCell="A2" sqref="A2"/>
      <selection pane="bottomRight" activeCell="C344" sqref="C344"/>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8" t="s">
        <v>1227</v>
      </c>
      <c r="K103" s="59">
        <v>2551</v>
      </c>
      <c r="L103" s="60" t="s">
        <v>1228</v>
      </c>
      <c r="M103" s="59">
        <v>1323</v>
      </c>
      <c r="N103" s="60" t="s">
        <v>1229</v>
      </c>
      <c r="O103" s="59">
        <v>539</v>
      </c>
      <c r="P103" s="60" t="s">
        <v>1230</v>
      </c>
      <c r="Q103" s="59">
        <v>394</v>
      </c>
      <c r="R103" s="60" t="s">
        <v>1231</v>
      </c>
      <c r="S103" s="59">
        <v>137</v>
      </c>
      <c r="T103" s="60" t="s">
        <v>1232</v>
      </c>
      <c r="U103" s="59">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8" t="s">
        <v>1235</v>
      </c>
      <c r="K104" s="59">
        <v>2551</v>
      </c>
      <c r="L104" s="60" t="s">
        <v>1236</v>
      </c>
      <c r="M104" s="59">
        <v>1323</v>
      </c>
      <c r="N104" s="60" t="s">
        <v>1237</v>
      </c>
      <c r="O104" s="59">
        <v>812</v>
      </c>
      <c r="P104" s="60" t="s">
        <v>1238</v>
      </c>
      <c r="Q104" s="59">
        <v>539</v>
      </c>
      <c r="R104" s="60" t="s">
        <v>1239</v>
      </c>
      <c r="S104" s="59">
        <v>394</v>
      </c>
      <c r="T104" s="60" t="s">
        <v>1240</v>
      </c>
      <c r="U104" s="59">
        <v>267</v>
      </c>
      <c r="V104" s="60" t="s">
        <v>1241</v>
      </c>
      <c r="W104" s="59">
        <v>137</v>
      </c>
      <c r="X104" s="60" t="s">
        <v>1242</v>
      </c>
      <c r="Y104" s="36">
        <v>89</v>
      </c>
      <c r="Z104" s="60" t="s">
        <v>1243</v>
      </c>
      <c r="AA104" s="36">
        <v>53</v>
      </c>
      <c r="AB104" s="60"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8" t="s">
        <v>12</v>
      </c>
      <c r="K105" s="59">
        <v>2551</v>
      </c>
      <c r="L105" s="60" t="s">
        <v>13</v>
      </c>
      <c r="M105" s="59">
        <v>1323</v>
      </c>
      <c r="N105" s="60" t="s">
        <v>14</v>
      </c>
      <c r="O105" s="59">
        <v>539</v>
      </c>
      <c r="P105" s="60" t="s">
        <v>15</v>
      </c>
      <c r="Q105" s="59">
        <v>394</v>
      </c>
      <c r="R105" s="60" t="s">
        <v>16</v>
      </c>
      <c r="S105" s="59">
        <v>137</v>
      </c>
      <c r="T105" s="60" t="s">
        <v>7</v>
      </c>
      <c r="U105" s="59">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8" t="s">
        <v>1249</v>
      </c>
      <c r="K106" s="59">
        <v>2551</v>
      </c>
      <c r="L106" s="60" t="s">
        <v>1250</v>
      </c>
      <c r="M106" s="59">
        <v>1323</v>
      </c>
      <c r="N106" s="60" t="s">
        <v>1251</v>
      </c>
      <c r="O106" s="59">
        <v>803</v>
      </c>
      <c r="P106" s="60" t="s">
        <v>1252</v>
      </c>
      <c r="Q106" s="59">
        <v>539</v>
      </c>
      <c r="R106" s="60" t="s">
        <v>1253</v>
      </c>
      <c r="S106" s="59">
        <v>394</v>
      </c>
      <c r="T106" s="60" t="s">
        <v>1254</v>
      </c>
      <c r="U106" s="59">
        <v>267</v>
      </c>
      <c r="V106" s="60" t="s">
        <v>1255</v>
      </c>
      <c r="W106" s="59">
        <v>137</v>
      </c>
      <c r="X106" s="60" t="s">
        <v>1256</v>
      </c>
      <c r="Y106" s="59">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8" t="s">
        <v>1259</v>
      </c>
      <c r="K107" s="59">
        <v>2551</v>
      </c>
      <c r="L107" s="60" t="s">
        <v>1260</v>
      </c>
      <c r="M107" s="59">
        <v>1631</v>
      </c>
      <c r="N107" s="60" t="s">
        <v>1261</v>
      </c>
      <c r="O107" s="59">
        <v>975</v>
      </c>
      <c r="P107" s="60" t="s">
        <v>1262</v>
      </c>
      <c r="Q107" s="59">
        <v>574</v>
      </c>
      <c r="R107" s="60" t="s">
        <v>1263</v>
      </c>
      <c r="S107" s="59">
        <v>241</v>
      </c>
      <c r="T107" s="60" t="s">
        <v>1264</v>
      </c>
      <c r="U107" s="59">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8" t="s">
        <v>1267</v>
      </c>
      <c r="K108" s="59">
        <v>2551</v>
      </c>
      <c r="L108" s="60" t="s">
        <v>1268</v>
      </c>
      <c r="M108" s="59">
        <v>1323</v>
      </c>
      <c r="N108" s="60" t="s">
        <v>1269</v>
      </c>
      <c r="O108" s="59">
        <v>539</v>
      </c>
      <c r="P108" s="60" t="s">
        <v>232</v>
      </c>
      <c r="Q108" s="59">
        <v>267</v>
      </c>
      <c r="R108" s="60" t="s">
        <v>16</v>
      </c>
      <c r="S108" s="59">
        <v>137</v>
      </c>
      <c r="T108" s="60" t="s">
        <v>1270</v>
      </c>
      <c r="U108" s="59">
        <v>283</v>
      </c>
      <c r="V108" s="60" t="s">
        <v>1271</v>
      </c>
      <c r="W108" s="59">
        <v>812</v>
      </c>
      <c r="X108" s="60" t="s">
        <v>1272</v>
      </c>
      <c r="Y108" s="59">
        <v>137</v>
      </c>
      <c r="Z108" s="60" t="s">
        <v>1273</v>
      </c>
      <c r="AA108" s="59">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6296</v>
      </c>
      <c r="J109" s="58" t="s">
        <v>1275</v>
      </c>
      <c r="K109" s="59">
        <v>2551</v>
      </c>
      <c r="L109" s="60" t="s">
        <v>5</v>
      </c>
      <c r="M109" s="59">
        <v>1323</v>
      </c>
      <c r="N109" s="60" t="s">
        <v>17</v>
      </c>
      <c r="O109" s="59">
        <v>539</v>
      </c>
      <c r="P109" s="60" t="s">
        <v>1276</v>
      </c>
      <c r="Q109" s="59">
        <v>267</v>
      </c>
      <c r="R109" s="60" t="s">
        <v>1277</v>
      </c>
      <c r="S109" s="59">
        <v>137</v>
      </c>
      <c r="T109" s="60" t="s">
        <v>1278</v>
      </c>
      <c r="U109" s="59">
        <v>324</v>
      </c>
      <c r="V109" s="60" t="s">
        <v>1279</v>
      </c>
      <c r="W109" s="59">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8" t="s">
        <v>1282</v>
      </c>
      <c r="K110" s="59">
        <v>2551</v>
      </c>
      <c r="L110" s="60" t="s">
        <v>1283</v>
      </c>
      <c r="M110" s="59">
        <v>1323</v>
      </c>
      <c r="N110" s="60" t="s">
        <v>1284</v>
      </c>
      <c r="O110" s="59">
        <v>812</v>
      </c>
      <c r="P110" s="60" t="s">
        <v>1285</v>
      </c>
      <c r="Q110" s="59">
        <v>394</v>
      </c>
      <c r="R110" s="60" t="s">
        <v>1286</v>
      </c>
      <c r="S110" s="59">
        <v>137</v>
      </c>
      <c r="T110" s="60" t="s">
        <v>1287</v>
      </c>
      <c r="U110" s="59">
        <v>539</v>
      </c>
      <c r="V110" s="60" t="s">
        <v>1288</v>
      </c>
      <c r="W110" s="59">
        <v>267</v>
      </c>
      <c r="X110" s="60" t="s">
        <v>1289</v>
      </c>
      <c r="Y110" s="59">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8" t="s">
        <v>235</v>
      </c>
      <c r="K111" s="59">
        <v>2551</v>
      </c>
      <c r="L111" s="60" t="s">
        <v>236</v>
      </c>
      <c r="M111" s="59">
        <v>1323</v>
      </c>
      <c r="N111" s="60" t="s">
        <v>1292</v>
      </c>
      <c r="O111" s="59">
        <v>812</v>
      </c>
      <c r="P111" s="60" t="s">
        <v>237</v>
      </c>
      <c r="Q111" s="59">
        <v>539</v>
      </c>
      <c r="R111" s="60" t="s">
        <v>238</v>
      </c>
      <c r="S111" s="59">
        <v>267</v>
      </c>
      <c r="T111" s="60" t="s">
        <v>239</v>
      </c>
      <c r="U111" s="59">
        <v>137</v>
      </c>
      <c r="V111" s="60" t="s">
        <v>240</v>
      </c>
      <c r="W111" s="59">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60" t="s">
        <v>7</v>
      </c>
      <c r="S113" s="59">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8" t="s">
        <v>1305</v>
      </c>
      <c r="K114" s="59">
        <v>2442</v>
      </c>
      <c r="L114" s="60" t="s">
        <v>1306</v>
      </c>
      <c r="M114" s="59">
        <v>1234</v>
      </c>
      <c r="N114" s="60" t="s">
        <v>1307</v>
      </c>
      <c r="O114" s="59">
        <v>582</v>
      </c>
      <c r="P114" s="60" t="s">
        <v>1308</v>
      </c>
      <c r="Q114" s="59">
        <v>270</v>
      </c>
      <c r="R114" s="60" t="s">
        <v>1309</v>
      </c>
      <c r="S114" s="59">
        <v>137</v>
      </c>
      <c r="T114" s="60" t="s">
        <v>1310</v>
      </c>
      <c r="U114" s="59">
        <v>27</v>
      </c>
      <c r="V114" s="60" t="s">
        <v>1311</v>
      </c>
      <c r="W114" s="59">
        <v>270</v>
      </c>
      <c r="X114" s="60" t="s">
        <v>1312</v>
      </c>
      <c r="Y114" s="59">
        <v>137</v>
      </c>
      <c r="Z114" s="60" t="s">
        <v>1313</v>
      </c>
      <c r="AA114" s="59">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8" t="s">
        <v>1316</v>
      </c>
      <c r="K115" s="59">
        <v>1232</v>
      </c>
      <c r="L115" s="60" t="s">
        <v>1317</v>
      </c>
      <c r="M115" s="59">
        <v>818</v>
      </c>
      <c r="N115" s="60" t="s">
        <v>1318</v>
      </c>
      <c r="O115" s="59">
        <v>578</v>
      </c>
      <c r="P115" s="60" t="s">
        <v>1319</v>
      </c>
      <c r="Q115" s="59">
        <v>185</v>
      </c>
      <c r="R115" s="60" t="s">
        <v>1320</v>
      </c>
      <c r="S115" s="59">
        <v>83</v>
      </c>
      <c r="T115" s="60" t="s">
        <v>1321</v>
      </c>
      <c r="U115" s="59">
        <v>35</v>
      </c>
      <c r="V115" s="60" t="s">
        <v>1322</v>
      </c>
      <c r="W115" s="59">
        <v>185</v>
      </c>
      <c r="X115" s="60" t="s">
        <v>1323</v>
      </c>
      <c r="Y115" s="59">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8" t="s">
        <v>1326</v>
      </c>
      <c r="K116" s="59">
        <v>578</v>
      </c>
      <c r="L116" s="60" t="s">
        <v>1327</v>
      </c>
      <c r="M116" s="59">
        <v>269</v>
      </c>
      <c r="N116" s="60" t="s">
        <v>1328</v>
      </c>
      <c r="O116" s="59">
        <v>110</v>
      </c>
      <c r="P116" s="60" t="s">
        <v>1329</v>
      </c>
      <c r="Q116" s="59">
        <v>83</v>
      </c>
      <c r="R116" s="60" t="s">
        <v>1330</v>
      </c>
      <c r="S116" s="59">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8" t="s">
        <v>1333</v>
      </c>
      <c r="K117" s="59">
        <v>1622</v>
      </c>
      <c r="L117" s="60" t="s">
        <v>1334</v>
      </c>
      <c r="M117" s="59">
        <v>818</v>
      </c>
      <c r="N117" s="60" t="s">
        <v>1335</v>
      </c>
      <c r="O117" s="59">
        <v>411</v>
      </c>
      <c r="P117" s="60" t="s">
        <v>1336</v>
      </c>
      <c r="Q117" s="59">
        <v>83</v>
      </c>
      <c r="R117" s="60" t="s">
        <v>1337</v>
      </c>
      <c r="S117" s="59">
        <v>35</v>
      </c>
      <c r="T117" s="60" t="s">
        <v>1338</v>
      </c>
      <c r="U117" s="59">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8" t="s">
        <v>1340</v>
      </c>
      <c r="K118" s="59">
        <v>2414</v>
      </c>
      <c r="L118" s="60" t="s">
        <v>1341</v>
      </c>
      <c r="M118" s="59">
        <v>1622</v>
      </c>
      <c r="N118" s="60" t="s">
        <v>1342</v>
      </c>
      <c r="O118" s="59">
        <v>1232</v>
      </c>
      <c r="P118" s="60" t="s">
        <v>1343</v>
      </c>
      <c r="Q118" s="59">
        <v>818</v>
      </c>
      <c r="R118" s="60" t="s">
        <v>1344</v>
      </c>
      <c r="S118" s="59">
        <v>578</v>
      </c>
      <c r="T118" s="60" t="s">
        <v>1345</v>
      </c>
      <c r="U118" s="59">
        <v>269</v>
      </c>
      <c r="V118" s="60" t="s">
        <v>1346</v>
      </c>
      <c r="W118" s="59">
        <v>138</v>
      </c>
      <c r="X118" s="60" t="s">
        <v>1347</v>
      </c>
      <c r="Y118" s="59">
        <v>83</v>
      </c>
      <c r="Z118" s="60" t="s">
        <v>1348</v>
      </c>
      <c r="AA118" s="59">
        <v>35</v>
      </c>
      <c r="AB118" s="60" t="s">
        <v>1349</v>
      </c>
      <c r="AC118" s="59">
        <v>2414</v>
      </c>
      <c r="AD118" s="60" t="s">
        <v>1350</v>
      </c>
      <c r="AE118" s="59">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8" t="s">
        <v>1353</v>
      </c>
      <c r="K119" s="59">
        <v>1867</v>
      </c>
      <c r="L119" s="60" t="s">
        <v>1354</v>
      </c>
      <c r="M119" s="59">
        <v>1232</v>
      </c>
      <c r="N119" s="60" t="s">
        <v>1355</v>
      </c>
      <c r="O119" s="59">
        <v>818</v>
      </c>
      <c r="P119" s="60" t="s">
        <v>1356</v>
      </c>
      <c r="Q119" s="59">
        <v>327</v>
      </c>
      <c r="R119" s="60" t="s">
        <v>1357</v>
      </c>
      <c r="S119" s="59">
        <v>185</v>
      </c>
      <c r="T119" s="60" t="s">
        <v>1358</v>
      </c>
      <c r="U119" s="59">
        <v>110</v>
      </c>
      <c r="V119" s="60" t="s">
        <v>1278</v>
      </c>
      <c r="W119" s="59">
        <v>185</v>
      </c>
      <c r="X119" s="60" t="s">
        <v>1359</v>
      </c>
      <c r="Y119" s="59">
        <v>818</v>
      </c>
      <c r="Z119" s="60" t="s">
        <v>1360</v>
      </c>
      <c r="AA119" s="59">
        <v>578</v>
      </c>
      <c r="AB119" s="60" t="s">
        <v>1361</v>
      </c>
      <c r="AC119" s="59">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8" t="s">
        <v>1364</v>
      </c>
      <c r="K120" s="59">
        <v>2011</v>
      </c>
      <c r="L120" s="60" t="s">
        <v>1365</v>
      </c>
      <c r="M120" s="59">
        <v>1066</v>
      </c>
      <c r="N120" s="60" t="s">
        <v>1366</v>
      </c>
      <c r="O120" s="59">
        <v>244</v>
      </c>
      <c r="P120" s="60" t="s">
        <v>1367</v>
      </c>
      <c r="Q120" s="59">
        <v>110</v>
      </c>
      <c r="R120" s="60" t="s">
        <v>1368</v>
      </c>
      <c r="S120" s="59">
        <v>35</v>
      </c>
      <c r="T120" s="60" t="s">
        <v>9</v>
      </c>
      <c r="U120" s="59">
        <v>653</v>
      </c>
      <c r="V120" s="60" t="s">
        <v>10</v>
      </c>
      <c r="W120" s="59">
        <v>244</v>
      </c>
      <c r="X120" s="60" t="s">
        <v>11</v>
      </c>
      <c r="Y120" s="59">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8" t="s">
        <v>1371</v>
      </c>
      <c r="K121" s="59">
        <v>1948</v>
      </c>
      <c r="L121" s="60" t="s">
        <v>1372</v>
      </c>
      <c r="M121" s="59">
        <v>984</v>
      </c>
      <c r="N121" s="60" t="s">
        <v>1373</v>
      </c>
      <c r="O121" s="59">
        <v>620</v>
      </c>
      <c r="P121" s="60" t="s">
        <v>1374</v>
      </c>
      <c r="Q121" s="59">
        <v>419</v>
      </c>
      <c r="R121" s="60" t="s">
        <v>1375</v>
      </c>
      <c r="S121" s="59">
        <v>210</v>
      </c>
      <c r="T121" s="60" t="s">
        <v>1376</v>
      </c>
      <c r="U121" s="59">
        <v>115</v>
      </c>
      <c r="V121" s="60" t="s">
        <v>1377</v>
      </c>
      <c r="W121" s="59">
        <v>32</v>
      </c>
      <c r="X121" s="60" t="s">
        <v>1378</v>
      </c>
      <c r="Y121" s="59">
        <v>984</v>
      </c>
      <c r="Z121" s="60" t="s">
        <v>1329</v>
      </c>
      <c r="AA121" s="59">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8" t="s">
        <v>18</v>
      </c>
      <c r="K122" s="59">
        <v>2551</v>
      </c>
      <c r="L122" s="60" t="s">
        <v>19</v>
      </c>
      <c r="M122" s="59">
        <v>1323</v>
      </c>
      <c r="N122" s="60" t="s">
        <v>20</v>
      </c>
      <c r="O122" s="59">
        <v>786</v>
      </c>
      <c r="P122" s="60" t="s">
        <v>21</v>
      </c>
      <c r="Q122" s="59">
        <v>539</v>
      </c>
      <c r="R122" s="60" t="s">
        <v>22</v>
      </c>
      <c r="S122" s="59">
        <v>267</v>
      </c>
      <c r="T122" s="60" t="s">
        <v>23</v>
      </c>
      <c r="U122" s="59">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8" t="s">
        <v>12</v>
      </c>
      <c r="K123" s="59">
        <v>2551</v>
      </c>
      <c r="L123" s="60" t="s">
        <v>13</v>
      </c>
      <c r="M123" s="59">
        <v>1323</v>
      </c>
      <c r="N123" s="60" t="s">
        <v>24</v>
      </c>
      <c r="O123" s="59">
        <v>786</v>
      </c>
      <c r="P123" s="60" t="s">
        <v>14</v>
      </c>
      <c r="Q123" s="59">
        <v>539</v>
      </c>
      <c r="R123" s="60" t="s">
        <v>16</v>
      </c>
      <c r="S123" s="59">
        <v>138</v>
      </c>
      <c r="T123" s="60" t="s">
        <v>25</v>
      </c>
      <c r="U123" s="59">
        <v>267</v>
      </c>
      <c r="V123" s="60" t="s">
        <v>26</v>
      </c>
      <c r="W123" s="59">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8" t="s">
        <v>27</v>
      </c>
      <c r="K124" s="59">
        <v>559</v>
      </c>
      <c r="L124" s="60" t="s">
        <v>28</v>
      </c>
      <c r="M124" s="59">
        <v>397</v>
      </c>
      <c r="N124" s="60" t="s">
        <v>29</v>
      </c>
      <c r="O124" s="59">
        <v>236</v>
      </c>
      <c r="P124" s="60" t="s">
        <v>30</v>
      </c>
      <c r="Q124" s="59">
        <v>133</v>
      </c>
      <c r="R124" s="60" t="s">
        <v>31</v>
      </c>
      <c r="S124" s="59">
        <v>80</v>
      </c>
      <c r="T124" s="60" t="s">
        <v>32</v>
      </c>
      <c r="U124" s="59">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8" t="s">
        <v>33</v>
      </c>
      <c r="K125" s="59">
        <v>2450</v>
      </c>
      <c r="L125" s="60" t="s">
        <v>34</v>
      </c>
      <c r="M125" s="59">
        <v>1328</v>
      </c>
      <c r="N125" s="60" t="s">
        <v>35</v>
      </c>
      <c r="O125" s="59">
        <v>808</v>
      </c>
      <c r="P125" s="60" t="s">
        <v>36</v>
      </c>
      <c r="Q125" s="59">
        <v>437</v>
      </c>
      <c r="R125" s="60" t="s">
        <v>37</v>
      </c>
      <c r="S125" s="59">
        <v>273</v>
      </c>
      <c r="T125" s="60" t="s">
        <v>38</v>
      </c>
      <c r="U125" s="59">
        <v>137</v>
      </c>
      <c r="V125" s="60" t="s">
        <v>39</v>
      </c>
      <c r="W125" s="59">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8" t="s">
        <v>40</v>
      </c>
      <c r="K126" s="59">
        <v>2333</v>
      </c>
      <c r="L126" s="60" t="s">
        <v>41</v>
      </c>
      <c r="M126" s="59">
        <v>1030</v>
      </c>
      <c r="N126" s="60" t="s">
        <v>42</v>
      </c>
      <c r="O126" s="59">
        <v>631</v>
      </c>
      <c r="P126" s="60" t="s">
        <v>43</v>
      </c>
      <c r="Q126" s="59">
        <v>236</v>
      </c>
      <c r="R126" s="60" t="s">
        <v>44</v>
      </c>
      <c r="S126" s="59">
        <v>115</v>
      </c>
      <c r="T126" s="60" t="s">
        <v>45</v>
      </c>
      <c r="U126" s="59">
        <v>35</v>
      </c>
      <c r="V126" s="60" t="s">
        <v>46</v>
      </c>
      <c r="W126" s="59">
        <v>2333</v>
      </c>
      <c r="X126" s="60" t="s">
        <v>47</v>
      </c>
      <c r="Y126" s="59">
        <v>1030</v>
      </c>
      <c r="Z126" s="60" t="s">
        <v>9</v>
      </c>
      <c r="AA126" s="59">
        <v>631</v>
      </c>
      <c r="AB126" s="60" t="s">
        <v>10</v>
      </c>
      <c r="AC126" s="59">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8" t="s">
        <v>48</v>
      </c>
      <c r="K127" s="59">
        <v>2333</v>
      </c>
      <c r="L127" s="60" t="s">
        <v>49</v>
      </c>
      <c r="M127" s="59">
        <v>1190</v>
      </c>
      <c r="N127" s="60" t="s">
        <v>50</v>
      </c>
      <c r="O127" s="59">
        <v>539</v>
      </c>
      <c r="P127" s="60" t="s">
        <v>51</v>
      </c>
      <c r="Q127" s="59">
        <v>267</v>
      </c>
      <c r="R127" s="60" t="s">
        <v>52</v>
      </c>
      <c r="S127" s="59">
        <v>115</v>
      </c>
      <c r="T127" s="60" t="s">
        <v>53</v>
      </c>
      <c r="U127" s="59">
        <v>35</v>
      </c>
      <c r="V127" s="60" t="s">
        <v>54</v>
      </c>
      <c r="W127" s="59">
        <v>138</v>
      </c>
      <c r="X127" s="60" t="s">
        <v>55</v>
      </c>
      <c r="Y127" s="59">
        <v>267</v>
      </c>
      <c r="Z127" s="60" t="s">
        <v>56</v>
      </c>
      <c r="AA127" s="59">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8" t="s">
        <v>61</v>
      </c>
      <c r="K128" s="59">
        <v>2551</v>
      </c>
      <c r="L128" s="60" t="s">
        <v>62</v>
      </c>
      <c r="M128" s="59">
        <v>1323</v>
      </c>
      <c r="N128" s="60" t="s">
        <v>63</v>
      </c>
      <c r="O128" s="59">
        <v>786</v>
      </c>
      <c r="P128" s="60" t="s">
        <v>64</v>
      </c>
      <c r="Q128" s="59">
        <v>539</v>
      </c>
      <c r="R128" s="60" t="s">
        <v>65</v>
      </c>
      <c r="S128" s="59">
        <v>267</v>
      </c>
      <c r="T128" s="60" t="s">
        <v>16</v>
      </c>
      <c r="U128" s="59">
        <v>138</v>
      </c>
      <c r="V128" s="60" t="s">
        <v>7</v>
      </c>
      <c r="W128" s="59">
        <v>35</v>
      </c>
      <c r="X128" s="60" t="s">
        <v>66</v>
      </c>
      <c r="Y128" s="59">
        <v>267</v>
      </c>
      <c r="Z128" s="60" t="s">
        <v>67</v>
      </c>
      <c r="AA128" s="59">
        <v>267</v>
      </c>
      <c r="AB128" s="60" t="s">
        <v>68</v>
      </c>
      <c r="AC128" s="59">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8" t="s">
        <v>69</v>
      </c>
      <c r="K129" s="59">
        <v>2551</v>
      </c>
      <c r="L129" s="60" t="s">
        <v>70</v>
      </c>
      <c r="M129" s="59">
        <v>1804</v>
      </c>
      <c r="N129" s="60" t="s">
        <v>71</v>
      </c>
      <c r="O129" s="59">
        <v>1323</v>
      </c>
      <c r="P129" s="60" t="s">
        <v>72</v>
      </c>
      <c r="Q129" s="59">
        <v>786</v>
      </c>
      <c r="R129" s="60" t="s">
        <v>73</v>
      </c>
      <c r="S129" s="59">
        <v>539</v>
      </c>
      <c r="T129" s="60" t="s">
        <v>74</v>
      </c>
      <c r="U129" s="59">
        <v>397</v>
      </c>
      <c r="V129" s="60" t="s">
        <v>75</v>
      </c>
      <c r="W129" s="59">
        <v>138</v>
      </c>
      <c r="X129" s="60" t="s">
        <v>76</v>
      </c>
      <c r="Y129" s="59">
        <v>89</v>
      </c>
      <c r="Z129" s="60" t="s">
        <v>77</v>
      </c>
      <c r="AA129" s="59">
        <v>62</v>
      </c>
      <c r="AB129" s="60" t="s">
        <v>78</v>
      </c>
      <c r="AC129" s="59">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8" t="s">
        <v>79</v>
      </c>
      <c r="K130" s="59">
        <v>2099</v>
      </c>
      <c r="L130" s="60" t="s">
        <v>80</v>
      </c>
      <c r="M130" s="59">
        <v>1410</v>
      </c>
      <c r="N130" s="60" t="s">
        <v>81</v>
      </c>
      <c r="O130" s="59">
        <v>786</v>
      </c>
      <c r="P130" s="60" t="s">
        <v>82</v>
      </c>
      <c r="Q130" s="59">
        <v>539</v>
      </c>
      <c r="R130" s="60" t="s">
        <v>83</v>
      </c>
      <c r="S130" s="59">
        <v>267</v>
      </c>
      <c r="T130" s="60" t="s">
        <v>84</v>
      </c>
      <c r="U130" s="59">
        <v>138</v>
      </c>
      <c r="V130" s="60" t="s">
        <v>85</v>
      </c>
      <c r="W130" s="59">
        <v>138</v>
      </c>
      <c r="X130" s="60" t="s">
        <v>86</v>
      </c>
      <c r="Y130" s="59">
        <v>397</v>
      </c>
      <c r="Z130" s="60" t="s">
        <v>87</v>
      </c>
      <c r="AA130" s="59">
        <v>539</v>
      </c>
      <c r="AB130" s="60" t="s">
        <v>88</v>
      </c>
      <c r="AC130" s="59">
        <v>267</v>
      </c>
      <c r="AD130" s="60" t="s">
        <v>89</v>
      </c>
      <c r="AE130" s="59">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8" t="s">
        <v>90</v>
      </c>
      <c r="K131" s="59">
        <v>2333</v>
      </c>
      <c r="L131" s="60" t="s">
        <v>91</v>
      </c>
      <c r="M131" s="59">
        <v>1190</v>
      </c>
      <c r="N131" s="60" t="s">
        <v>92</v>
      </c>
      <c r="O131" s="59">
        <v>786</v>
      </c>
      <c r="P131" s="60" t="s">
        <v>93</v>
      </c>
      <c r="Q131" s="59">
        <v>559</v>
      </c>
      <c r="R131" s="60" t="s">
        <v>94</v>
      </c>
      <c r="S131" s="59">
        <v>267</v>
      </c>
      <c r="T131" s="60" t="s">
        <v>95</v>
      </c>
      <c r="U131" s="59">
        <v>133</v>
      </c>
      <c r="V131" s="60" t="s">
        <v>96</v>
      </c>
      <c r="W131" s="59">
        <v>27</v>
      </c>
      <c r="X131" s="60" t="s">
        <v>97</v>
      </c>
      <c r="Y131" s="59">
        <v>133</v>
      </c>
      <c r="Z131" s="60" t="s">
        <v>98</v>
      </c>
      <c r="AA131" s="59">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8" t="s">
        <v>12</v>
      </c>
      <c r="K132" s="59">
        <v>2551</v>
      </c>
      <c r="L132" s="60" t="s">
        <v>118</v>
      </c>
      <c r="M132" s="59">
        <v>1804</v>
      </c>
      <c r="N132" s="60" t="s">
        <v>119</v>
      </c>
      <c r="O132" s="59">
        <v>1323</v>
      </c>
      <c r="P132" s="60" t="s">
        <v>24</v>
      </c>
      <c r="Q132" s="59">
        <v>786</v>
      </c>
      <c r="R132" s="60" t="s">
        <v>14</v>
      </c>
      <c r="S132" s="59">
        <v>539</v>
      </c>
      <c r="T132" s="60" t="s">
        <v>15</v>
      </c>
      <c r="U132" s="59">
        <v>397</v>
      </c>
      <c r="V132" s="60" t="s">
        <v>120</v>
      </c>
      <c r="W132" s="59">
        <v>267</v>
      </c>
      <c r="X132" s="60" t="s">
        <v>16</v>
      </c>
      <c r="Y132" s="59">
        <v>138</v>
      </c>
      <c r="Z132" s="60" t="s">
        <v>121</v>
      </c>
      <c r="AA132" s="59">
        <v>89</v>
      </c>
      <c r="AB132" s="60" t="s">
        <v>7</v>
      </c>
      <c r="AC132" s="59">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8" t="s">
        <v>101</v>
      </c>
      <c r="K133" s="59">
        <v>2551</v>
      </c>
      <c r="L133" s="60" t="s">
        <v>102</v>
      </c>
      <c r="M133" s="59">
        <v>1323</v>
      </c>
      <c r="N133" s="60" t="s">
        <v>103</v>
      </c>
      <c r="O133" s="59">
        <v>559</v>
      </c>
      <c r="P133" s="60" t="s">
        <v>104</v>
      </c>
      <c r="Q133" s="59">
        <v>267</v>
      </c>
      <c r="R133" s="60" t="s">
        <v>105</v>
      </c>
      <c r="S133" s="59">
        <v>138</v>
      </c>
      <c r="T133" s="60" t="s">
        <v>106</v>
      </c>
      <c r="U133" s="59">
        <v>35</v>
      </c>
      <c r="V133" s="60" t="s">
        <v>107</v>
      </c>
      <c r="W133" s="59">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8" t="s">
        <v>108</v>
      </c>
      <c r="K134" s="59">
        <v>1943</v>
      </c>
      <c r="L134" s="60" t="s">
        <v>109</v>
      </c>
      <c r="M134" s="59">
        <v>1030</v>
      </c>
      <c r="N134" s="60" t="s">
        <v>110</v>
      </c>
      <c r="O134" s="59">
        <v>631</v>
      </c>
      <c r="P134" s="60" t="s">
        <v>111</v>
      </c>
      <c r="Q134" s="59">
        <v>236</v>
      </c>
      <c r="R134" s="60" t="s">
        <v>112</v>
      </c>
      <c r="S134" s="59">
        <v>53</v>
      </c>
      <c r="T134" s="60" t="s">
        <v>113</v>
      </c>
      <c r="U134" s="59">
        <v>107</v>
      </c>
      <c r="V134" s="60" t="s">
        <v>114</v>
      </c>
      <c r="W134" s="59">
        <v>631</v>
      </c>
      <c r="X134" s="60" t="s">
        <v>115</v>
      </c>
      <c r="Y134" s="59">
        <v>397</v>
      </c>
      <c r="Z134" s="60" t="s">
        <v>116</v>
      </c>
      <c r="AA134" s="59">
        <v>1804</v>
      </c>
      <c r="AB134" s="60" t="s">
        <v>117</v>
      </c>
      <c r="AC134" s="59">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8" t="s">
        <v>125</v>
      </c>
      <c r="K135" s="59">
        <v>2551</v>
      </c>
      <c r="L135" s="60" t="s">
        <v>126</v>
      </c>
      <c r="M135" s="59">
        <v>2386</v>
      </c>
      <c r="N135" s="60" t="s">
        <v>127</v>
      </c>
      <c r="O135" s="59">
        <v>1987</v>
      </c>
      <c r="P135" s="60" t="s">
        <v>128</v>
      </c>
      <c r="Q135" s="59">
        <v>1323</v>
      </c>
      <c r="R135" s="60" t="s">
        <v>129</v>
      </c>
      <c r="S135" s="59">
        <v>1078</v>
      </c>
      <c r="T135" s="60" t="s">
        <v>130</v>
      </c>
      <c r="U135" s="59">
        <v>786</v>
      </c>
      <c r="V135" s="60" t="s">
        <v>131</v>
      </c>
      <c r="W135" s="59">
        <v>539</v>
      </c>
      <c r="X135" s="60" t="s">
        <v>132</v>
      </c>
      <c r="Y135" s="59">
        <v>394</v>
      </c>
      <c r="Z135" s="60" t="s">
        <v>133</v>
      </c>
      <c r="AA135" s="59">
        <v>267</v>
      </c>
      <c r="AB135" s="60" t="s">
        <v>134</v>
      </c>
      <c r="AC135" s="59">
        <v>141</v>
      </c>
      <c r="AD135" s="60" t="s">
        <v>135</v>
      </c>
      <c r="AE135" s="59">
        <v>27</v>
      </c>
      <c r="AF135" s="60" t="s">
        <v>136</v>
      </c>
      <c r="AG135" s="59">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8" t="s">
        <v>4</v>
      </c>
      <c r="K136" s="59">
        <v>2551</v>
      </c>
      <c r="L136" s="60" t="s">
        <v>137</v>
      </c>
      <c r="M136" s="59">
        <v>1323</v>
      </c>
      <c r="N136" s="60" t="s">
        <v>138</v>
      </c>
      <c r="O136" s="59">
        <v>539</v>
      </c>
      <c r="P136" s="60" t="s">
        <v>139</v>
      </c>
      <c r="Q136" s="59">
        <v>267</v>
      </c>
      <c r="R136" s="60" t="s">
        <v>140</v>
      </c>
      <c r="S136" s="59">
        <v>141</v>
      </c>
      <c r="T136" s="60" t="s">
        <v>7</v>
      </c>
      <c r="U136" s="59">
        <v>30</v>
      </c>
      <c r="V136" s="60" t="s">
        <v>141</v>
      </c>
      <c r="W136" s="59">
        <v>141</v>
      </c>
      <c r="X136" s="60" t="s">
        <v>142</v>
      </c>
      <c r="Y136" s="59">
        <v>539</v>
      </c>
      <c r="Z136" s="60" t="s">
        <v>143</v>
      </c>
      <c r="AA136" s="59">
        <v>267</v>
      </c>
      <c r="AB136" s="60" t="s">
        <v>144</v>
      </c>
      <c r="AC136" s="59">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8" t="s">
        <v>145</v>
      </c>
      <c r="K137" s="59">
        <v>1845</v>
      </c>
      <c r="L137" s="60" t="s">
        <v>146</v>
      </c>
      <c r="M137" s="59">
        <v>786</v>
      </c>
      <c r="N137" s="60" t="s">
        <v>147</v>
      </c>
      <c r="O137" s="59">
        <v>539</v>
      </c>
      <c r="P137" s="60" t="s">
        <v>148</v>
      </c>
      <c r="Q137" s="59">
        <v>183</v>
      </c>
      <c r="R137" s="60" t="s">
        <v>149</v>
      </c>
      <c r="S137" s="59">
        <v>109</v>
      </c>
      <c r="T137" s="60" t="s">
        <v>64</v>
      </c>
      <c r="U137" s="59">
        <v>30</v>
      </c>
      <c r="V137" s="60" t="s">
        <v>150</v>
      </c>
      <c r="W137" s="59">
        <v>1603</v>
      </c>
      <c r="X137" s="60" t="s">
        <v>47</v>
      </c>
      <c r="Y137" s="59">
        <v>1054</v>
      </c>
      <c r="Z137" s="60" t="s">
        <v>151</v>
      </c>
      <c r="AA137" s="59">
        <v>786</v>
      </c>
      <c r="AB137" s="60" t="s">
        <v>152</v>
      </c>
      <c r="AC137" s="59">
        <v>539</v>
      </c>
      <c r="AD137" s="60" t="s">
        <v>153</v>
      </c>
      <c r="AE137" s="59">
        <v>394</v>
      </c>
      <c r="AF137" s="60" t="s">
        <v>154</v>
      </c>
      <c r="AG137" s="59">
        <v>158</v>
      </c>
      <c r="AH137" s="60" t="s">
        <v>11</v>
      </c>
      <c r="AI137" s="59">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8" t="s">
        <v>155</v>
      </c>
      <c r="K138" s="59">
        <v>2551</v>
      </c>
      <c r="L138" s="60" t="s">
        <v>156</v>
      </c>
      <c r="M138" s="59">
        <v>1323</v>
      </c>
      <c r="N138" s="60" t="s">
        <v>157</v>
      </c>
      <c r="O138" s="59">
        <v>786</v>
      </c>
      <c r="P138" s="60" t="s">
        <v>158</v>
      </c>
      <c r="Q138" s="59">
        <v>539</v>
      </c>
      <c r="R138" s="60" t="s">
        <v>159</v>
      </c>
      <c r="S138" s="59">
        <v>394</v>
      </c>
      <c r="T138" s="60" t="s">
        <v>160</v>
      </c>
      <c r="U138" s="59">
        <v>267</v>
      </c>
      <c r="V138" s="60" t="s">
        <v>161</v>
      </c>
      <c r="W138" s="59">
        <v>141</v>
      </c>
      <c r="X138" s="60" t="s">
        <v>162</v>
      </c>
      <c r="Y138" s="59">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8" t="s">
        <v>4</v>
      </c>
      <c r="K139" s="59">
        <v>2551</v>
      </c>
      <c r="L139" s="60" t="s">
        <v>5</v>
      </c>
      <c r="M139" s="59">
        <v>1323</v>
      </c>
      <c r="N139" s="60" t="s">
        <v>17</v>
      </c>
      <c r="O139" s="59">
        <v>539</v>
      </c>
      <c r="P139" s="60" t="s">
        <v>163</v>
      </c>
      <c r="Q139" s="59">
        <v>267</v>
      </c>
      <c r="R139" s="60" t="s">
        <v>6</v>
      </c>
      <c r="S139" s="59">
        <v>141</v>
      </c>
      <c r="T139" s="60" t="s">
        <v>164</v>
      </c>
      <c r="U139" s="59">
        <v>30</v>
      </c>
      <c r="V139" s="60" t="s">
        <v>165</v>
      </c>
      <c r="W139" s="59">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8" t="s">
        <v>168</v>
      </c>
      <c r="K140" s="59">
        <v>2551</v>
      </c>
      <c r="L140" s="60" t="s">
        <v>169</v>
      </c>
      <c r="M140" s="59">
        <v>1323</v>
      </c>
      <c r="N140" s="60" t="s">
        <v>170</v>
      </c>
      <c r="O140" s="59">
        <v>786</v>
      </c>
      <c r="P140" s="60" t="s">
        <v>171</v>
      </c>
      <c r="Q140" s="59">
        <v>539</v>
      </c>
      <c r="R140" s="60" t="s">
        <v>172</v>
      </c>
      <c r="S140" s="59">
        <v>394</v>
      </c>
      <c r="T140" s="60" t="s">
        <v>173</v>
      </c>
      <c r="U140" s="59">
        <v>267</v>
      </c>
      <c r="V140" s="60" t="s">
        <v>174</v>
      </c>
      <c r="W140" s="59">
        <v>148</v>
      </c>
      <c r="X140" s="60" t="s">
        <v>175</v>
      </c>
      <c r="Y140" s="59">
        <v>35</v>
      </c>
      <c r="Z140" s="60" t="s">
        <v>176</v>
      </c>
      <c r="AA140" s="59">
        <v>52</v>
      </c>
      <c r="AB140" s="60" t="s">
        <v>177</v>
      </c>
      <c r="AC140" s="59">
        <v>267</v>
      </c>
      <c r="AD140" s="60" t="s">
        <v>178</v>
      </c>
      <c r="AE140" s="59">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8" t="s">
        <v>179</v>
      </c>
      <c r="K141" s="59">
        <v>2753</v>
      </c>
      <c r="L141" s="60" t="s">
        <v>180</v>
      </c>
      <c r="M141" s="59">
        <v>1394</v>
      </c>
      <c r="N141" s="60" t="s">
        <v>181</v>
      </c>
      <c r="O141" s="59">
        <v>850</v>
      </c>
      <c r="P141" s="60" t="s">
        <v>182</v>
      </c>
      <c r="Q141" s="59">
        <v>539</v>
      </c>
      <c r="R141" s="60" t="s">
        <v>183</v>
      </c>
      <c r="S141" s="59">
        <v>289</v>
      </c>
      <c r="T141" s="60" t="s">
        <v>65</v>
      </c>
      <c r="U141" s="59">
        <v>152</v>
      </c>
      <c r="V141" s="60" t="s">
        <v>121</v>
      </c>
      <c r="W141" s="59">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8" t="s">
        <v>4</v>
      </c>
      <c r="K142" s="59">
        <v>2474</v>
      </c>
      <c r="L142" s="60" t="s">
        <v>5</v>
      </c>
      <c r="M142" s="59">
        <v>1257</v>
      </c>
      <c r="N142" s="60" t="s">
        <v>17</v>
      </c>
      <c r="O142" s="59">
        <v>522</v>
      </c>
      <c r="P142" s="60" t="s">
        <v>163</v>
      </c>
      <c r="Q142" s="59">
        <v>267</v>
      </c>
      <c r="R142" s="60" t="s">
        <v>6</v>
      </c>
      <c r="S142" s="59">
        <v>139</v>
      </c>
      <c r="T142" s="60" t="s">
        <v>164</v>
      </c>
      <c r="U142" s="59">
        <v>35</v>
      </c>
      <c r="V142" s="60" t="s">
        <v>184</v>
      </c>
      <c r="W142" s="59">
        <v>522</v>
      </c>
      <c r="X142" s="60" t="s">
        <v>185</v>
      </c>
      <c r="Y142" s="59">
        <v>637</v>
      </c>
      <c r="Z142" s="60" t="s">
        <v>186</v>
      </c>
      <c r="AA142" s="59">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8" t="s">
        <v>188</v>
      </c>
      <c r="K143" s="61">
        <v>2551</v>
      </c>
      <c r="L143" s="60" t="s">
        <v>189</v>
      </c>
      <c r="M143" s="61">
        <v>1764</v>
      </c>
      <c r="N143" s="60" t="s">
        <v>190</v>
      </c>
      <c r="O143" s="61">
        <v>1217</v>
      </c>
      <c r="P143" s="62" t="s">
        <v>191</v>
      </c>
      <c r="Q143" s="61">
        <v>727</v>
      </c>
      <c r="R143" s="62" t="s">
        <v>63</v>
      </c>
      <c r="S143" s="61">
        <v>394</v>
      </c>
      <c r="T143" s="62" t="s">
        <v>192</v>
      </c>
      <c r="U143" s="61">
        <v>267</v>
      </c>
      <c r="V143" s="62" t="s">
        <v>193</v>
      </c>
      <c r="W143" s="61">
        <v>165</v>
      </c>
      <c r="X143" s="62" t="s">
        <v>194</v>
      </c>
      <c r="Y143" s="61">
        <v>61</v>
      </c>
      <c r="Z143" s="62" t="s">
        <v>195</v>
      </c>
      <c r="AA143" s="61">
        <v>35</v>
      </c>
      <c r="AB143" s="62" t="s">
        <v>196</v>
      </c>
      <c r="AC143" s="61">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8" t="s">
        <v>200</v>
      </c>
      <c r="K144" s="61">
        <v>2551</v>
      </c>
      <c r="L144" s="60" t="s">
        <v>201</v>
      </c>
      <c r="M144" s="61">
        <v>1323</v>
      </c>
      <c r="N144" s="60" t="s">
        <v>202</v>
      </c>
      <c r="O144" s="61">
        <v>539</v>
      </c>
      <c r="P144" s="62" t="s">
        <v>203</v>
      </c>
      <c r="Q144" s="61">
        <v>267</v>
      </c>
      <c r="R144" s="62" t="s">
        <v>204</v>
      </c>
      <c r="S144" s="61">
        <v>148</v>
      </c>
      <c r="T144" s="62" t="s">
        <v>205</v>
      </c>
      <c r="U144" s="61">
        <v>35</v>
      </c>
      <c r="V144" s="62" t="s">
        <v>206</v>
      </c>
      <c r="W144" s="61">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8" t="s">
        <v>18</v>
      </c>
      <c r="K145" s="61">
        <v>2386</v>
      </c>
      <c r="L145" s="60" t="s">
        <v>19</v>
      </c>
      <c r="M145" s="61">
        <v>1442</v>
      </c>
      <c r="N145" s="60" t="s">
        <v>20</v>
      </c>
      <c r="O145" s="61">
        <v>786</v>
      </c>
      <c r="P145" s="62" t="s">
        <v>207</v>
      </c>
      <c r="Q145" s="61">
        <v>394</v>
      </c>
      <c r="R145" s="62" t="s">
        <v>23</v>
      </c>
      <c r="S145" s="61">
        <v>130</v>
      </c>
      <c r="T145" s="62" t="s">
        <v>208</v>
      </c>
      <c r="U145" s="61">
        <v>35</v>
      </c>
      <c r="V145" s="62" t="s">
        <v>209</v>
      </c>
      <c r="W145" s="61">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8" t="s">
        <v>210</v>
      </c>
      <c r="K146" s="61">
        <v>2386</v>
      </c>
      <c r="L146" s="60" t="s">
        <v>211</v>
      </c>
      <c r="M146" s="61">
        <v>1603</v>
      </c>
      <c r="N146" s="60" t="s">
        <v>212</v>
      </c>
      <c r="O146" s="61">
        <v>786</v>
      </c>
      <c r="P146" s="62" t="s">
        <v>213</v>
      </c>
      <c r="Q146" s="61">
        <v>278</v>
      </c>
      <c r="R146" s="62" t="s">
        <v>214</v>
      </c>
      <c r="S146" s="61">
        <v>130</v>
      </c>
      <c r="T146" s="62" t="s">
        <v>215</v>
      </c>
      <c r="U146" s="61">
        <v>52</v>
      </c>
      <c r="V146" s="62" t="s">
        <v>216</v>
      </c>
      <c r="W146" s="61">
        <v>130</v>
      </c>
      <c r="X146" s="62" t="s">
        <v>217</v>
      </c>
      <c r="Y146" s="61">
        <v>278</v>
      </c>
      <c r="Z146" s="62" t="s">
        <v>218</v>
      </c>
      <c r="AA146" s="61">
        <v>539</v>
      </c>
      <c r="AB146" s="62" t="s">
        <v>219</v>
      </c>
      <c r="AC146" s="61">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8" t="s">
        <v>4</v>
      </c>
      <c r="K147" s="61">
        <v>2386</v>
      </c>
      <c r="L147" s="60" t="s">
        <v>5</v>
      </c>
      <c r="M147" s="61">
        <v>1217</v>
      </c>
      <c r="N147" s="60" t="s">
        <v>17</v>
      </c>
      <c r="O147" s="61">
        <v>539</v>
      </c>
      <c r="P147" s="62" t="s">
        <v>163</v>
      </c>
      <c r="Q147" s="61">
        <v>278</v>
      </c>
      <c r="R147" s="62" t="s">
        <v>6</v>
      </c>
      <c r="S147" s="61">
        <v>130</v>
      </c>
      <c r="T147" s="62" t="s">
        <v>164</v>
      </c>
      <c r="U147" s="61">
        <v>35</v>
      </c>
      <c r="V147" s="62" t="s">
        <v>221</v>
      </c>
      <c r="W147" s="61">
        <v>278</v>
      </c>
      <c r="X147" s="62" t="s">
        <v>222</v>
      </c>
      <c r="Y147" s="61">
        <v>539</v>
      </c>
      <c r="Z147" s="62" t="s">
        <v>107</v>
      </c>
      <c r="AA147" s="61">
        <v>130</v>
      </c>
      <c r="AB147" s="62" t="s">
        <v>66</v>
      </c>
      <c r="AC147" s="61">
        <v>323</v>
      </c>
      <c r="AD147" s="62" t="s">
        <v>223</v>
      </c>
      <c r="AE147" s="61">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8" t="s">
        <v>12</v>
      </c>
      <c r="K148" s="61">
        <v>2595</v>
      </c>
      <c r="L148" s="60" t="s">
        <v>13</v>
      </c>
      <c r="M148" s="61">
        <v>1323</v>
      </c>
      <c r="N148" s="60" t="s">
        <v>24</v>
      </c>
      <c r="O148" s="61">
        <v>786</v>
      </c>
      <c r="P148" s="62" t="s">
        <v>14</v>
      </c>
      <c r="Q148" s="61">
        <v>548</v>
      </c>
      <c r="R148" s="62" t="s">
        <v>232</v>
      </c>
      <c r="S148" s="61">
        <v>394</v>
      </c>
      <c r="T148" s="62" t="s">
        <v>233</v>
      </c>
      <c r="U148" s="61">
        <v>198</v>
      </c>
      <c r="V148" s="62" t="s">
        <v>121</v>
      </c>
      <c r="W148" s="61">
        <v>86</v>
      </c>
      <c r="X148" s="62" t="s">
        <v>7</v>
      </c>
      <c r="Y148" s="61">
        <v>35</v>
      </c>
      <c r="Z148" s="62" t="s">
        <v>234</v>
      </c>
      <c r="AA148" s="61">
        <v>146</v>
      </c>
      <c r="AB148" s="62" t="s">
        <v>177</v>
      </c>
      <c r="AC148" s="61">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8" t="s">
        <v>235</v>
      </c>
      <c r="K149" s="61">
        <v>2551</v>
      </c>
      <c r="L149" s="60" t="s">
        <v>236</v>
      </c>
      <c r="M149" s="61">
        <v>1323</v>
      </c>
      <c r="N149" s="60" t="s">
        <v>237</v>
      </c>
      <c r="O149" s="61">
        <v>539</v>
      </c>
      <c r="P149" s="62" t="s">
        <v>238</v>
      </c>
      <c r="Q149" s="61">
        <v>266</v>
      </c>
      <c r="R149" s="62" t="s">
        <v>239</v>
      </c>
      <c r="S149" s="61">
        <v>146</v>
      </c>
      <c r="T149" s="62" t="s">
        <v>240</v>
      </c>
      <c r="U149" s="61">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8" t="s">
        <v>245</v>
      </c>
      <c r="K150" s="61">
        <v>1949</v>
      </c>
      <c r="L150" s="60" t="s">
        <v>246</v>
      </c>
      <c r="M150" s="61">
        <v>1010</v>
      </c>
      <c r="N150" s="60" t="s">
        <v>247</v>
      </c>
      <c r="O150" s="61">
        <v>618</v>
      </c>
      <c r="P150" s="62" t="s">
        <v>248</v>
      </c>
      <c r="Q150" s="61">
        <v>310</v>
      </c>
      <c r="R150" s="62" t="s">
        <v>1410</v>
      </c>
      <c r="S150" s="61">
        <v>230</v>
      </c>
      <c r="T150" s="62" t="s">
        <v>17</v>
      </c>
      <c r="U150" s="61">
        <v>76</v>
      </c>
      <c r="V150" s="62" t="s">
        <v>249</v>
      </c>
      <c r="W150" s="61">
        <v>230</v>
      </c>
      <c r="X150" s="62" t="s">
        <v>250</v>
      </c>
      <c r="Y150" s="61">
        <v>175</v>
      </c>
      <c r="Z150" s="62" t="s">
        <v>251</v>
      </c>
      <c r="AA150" s="61">
        <v>127</v>
      </c>
      <c r="AB150" s="62" t="s">
        <v>252</v>
      </c>
      <c r="AC150" s="61">
        <v>101</v>
      </c>
      <c r="AD150" s="62" t="s">
        <v>253</v>
      </c>
      <c r="AE150" s="61">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8" t="s">
        <v>254</v>
      </c>
      <c r="K151" s="61">
        <v>2340</v>
      </c>
      <c r="L151" s="60" t="s">
        <v>255</v>
      </c>
      <c r="M151" s="61">
        <v>1166</v>
      </c>
      <c r="N151" s="60" t="s">
        <v>256</v>
      </c>
      <c r="O151" s="61">
        <v>618</v>
      </c>
      <c r="P151" s="62" t="s">
        <v>257</v>
      </c>
      <c r="Q151" s="61">
        <v>310</v>
      </c>
      <c r="R151" s="62" t="s">
        <v>258</v>
      </c>
      <c r="S151" s="61">
        <v>101</v>
      </c>
      <c r="T151" s="62" t="s">
        <v>259</v>
      </c>
      <c r="U151" s="61">
        <v>1793</v>
      </c>
      <c r="V151" s="62" t="s">
        <v>260</v>
      </c>
      <c r="W151" s="61">
        <v>1558</v>
      </c>
      <c r="X151" s="62" t="s">
        <v>261</v>
      </c>
      <c r="Y151" s="61">
        <v>1010</v>
      </c>
      <c r="Z151" s="62" t="s">
        <v>262</v>
      </c>
      <c r="AA151" s="61">
        <v>775</v>
      </c>
      <c r="AB151" s="62" t="s">
        <v>263</v>
      </c>
      <c r="AC151" s="61">
        <v>618</v>
      </c>
      <c r="AD151" s="62" t="s">
        <v>264</v>
      </c>
      <c r="AE151" s="61">
        <v>548</v>
      </c>
      <c r="AF151" s="62" t="s">
        <v>265</v>
      </c>
      <c r="AG151" s="61">
        <v>254</v>
      </c>
      <c r="AH151" s="62" t="s">
        <v>250</v>
      </c>
      <c r="AI151" s="61">
        <v>175</v>
      </c>
      <c r="AJ151" s="62" t="s">
        <v>252</v>
      </c>
      <c r="AK151" s="61">
        <v>101</v>
      </c>
      <c r="AL151" s="63"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8" t="s">
        <v>270</v>
      </c>
      <c r="K152" s="61">
        <v>2510</v>
      </c>
      <c r="L152" s="60" t="s">
        <v>271</v>
      </c>
      <c r="M152" s="61">
        <v>1308</v>
      </c>
      <c r="N152" s="60" t="s">
        <v>272</v>
      </c>
      <c r="O152" s="61">
        <v>766</v>
      </c>
      <c r="P152" s="62" t="s">
        <v>273</v>
      </c>
      <c r="Q152" s="61">
        <v>385</v>
      </c>
      <c r="R152" s="62" t="s">
        <v>274</v>
      </c>
      <c r="S152" s="61">
        <v>142</v>
      </c>
      <c r="T152" s="62" t="s">
        <v>275</v>
      </c>
      <c r="U152" s="61">
        <v>28</v>
      </c>
      <c r="V152" s="62" t="s">
        <v>276</v>
      </c>
      <c r="W152" s="61">
        <v>142</v>
      </c>
      <c r="X152" s="62" t="s">
        <v>277</v>
      </c>
      <c r="Y152" s="61">
        <v>259</v>
      </c>
      <c r="Z152" s="62" t="s">
        <v>278</v>
      </c>
      <c r="AA152" s="61">
        <v>1308</v>
      </c>
      <c r="AB152" s="62" t="s">
        <v>262</v>
      </c>
      <c r="AC152" s="61">
        <v>766</v>
      </c>
      <c r="AD152" s="62" t="s">
        <v>279</v>
      </c>
      <c r="AE152" s="61">
        <v>526</v>
      </c>
      <c r="AF152" s="62" t="s">
        <v>280</v>
      </c>
      <c r="AG152" s="61">
        <v>259</v>
      </c>
      <c r="AH152" s="62" t="s">
        <v>281</v>
      </c>
      <c r="AI152" s="61">
        <v>142</v>
      </c>
      <c r="AJ152" s="62" t="s">
        <v>282</v>
      </c>
      <c r="AK152" s="61">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8" t="s">
        <v>12</v>
      </c>
      <c r="K153" s="61">
        <v>2314</v>
      </c>
      <c r="L153" s="60" t="s">
        <v>13</v>
      </c>
      <c r="M153" s="61">
        <v>1153</v>
      </c>
      <c r="N153" s="60" t="s">
        <v>24</v>
      </c>
      <c r="O153" s="61">
        <v>766</v>
      </c>
      <c r="P153" s="62" t="s">
        <v>14</v>
      </c>
      <c r="Q153" s="61">
        <v>541</v>
      </c>
      <c r="R153" s="62" t="s">
        <v>15</v>
      </c>
      <c r="S153" s="61">
        <v>385</v>
      </c>
      <c r="T153" s="62" t="s">
        <v>120</v>
      </c>
      <c r="U153" s="61">
        <v>251</v>
      </c>
      <c r="V153" s="62" t="s">
        <v>284</v>
      </c>
      <c r="W153" s="61">
        <v>228</v>
      </c>
      <c r="X153" s="62" t="s">
        <v>16</v>
      </c>
      <c r="Y153" s="61">
        <v>125</v>
      </c>
      <c r="Z153" s="62" t="s">
        <v>121</v>
      </c>
      <c r="AA153" s="61">
        <v>75</v>
      </c>
      <c r="AB153" s="62" t="s">
        <v>285</v>
      </c>
      <c r="AC153" s="61">
        <v>50</v>
      </c>
      <c r="AD153" s="62" t="s">
        <v>7</v>
      </c>
      <c r="AE153" s="61">
        <v>25</v>
      </c>
      <c r="AF153" s="62" t="s">
        <v>286</v>
      </c>
      <c r="AG153" s="61">
        <v>2314</v>
      </c>
      <c r="AH153" s="62" t="s">
        <v>287</v>
      </c>
      <c r="AI153" s="61">
        <v>1153</v>
      </c>
      <c r="AJ153" s="62" t="s">
        <v>288</v>
      </c>
      <c r="AK153" s="61">
        <v>766</v>
      </c>
      <c r="AL153" s="63"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8" t="s">
        <v>295</v>
      </c>
      <c r="K154" s="61">
        <v>2314</v>
      </c>
      <c r="L154" s="60" t="s">
        <v>296</v>
      </c>
      <c r="M154" s="61">
        <v>1153</v>
      </c>
      <c r="N154" s="60" t="s">
        <v>297</v>
      </c>
      <c r="O154" s="61">
        <v>541</v>
      </c>
      <c r="P154" s="62" t="s">
        <v>298</v>
      </c>
      <c r="Q154" s="61">
        <v>251</v>
      </c>
      <c r="R154" s="62" t="s">
        <v>299</v>
      </c>
      <c r="S154" s="61">
        <v>125</v>
      </c>
      <c r="T154" s="62" t="s">
        <v>300</v>
      </c>
      <c r="U154" s="61">
        <v>25</v>
      </c>
      <c r="V154" s="62" t="s">
        <v>301</v>
      </c>
      <c r="W154" s="61">
        <v>2314</v>
      </c>
      <c r="X154" s="62" t="s">
        <v>302</v>
      </c>
      <c r="Y154" s="61">
        <v>1153</v>
      </c>
      <c r="Z154" s="62" t="s">
        <v>262</v>
      </c>
      <c r="AA154" s="61">
        <v>766</v>
      </c>
      <c r="AB154" s="62" t="s">
        <v>264</v>
      </c>
      <c r="AC154" s="61">
        <v>541</v>
      </c>
      <c r="AD154" s="62" t="s">
        <v>303</v>
      </c>
      <c r="AE154" s="61">
        <v>306</v>
      </c>
      <c r="AF154" s="62" t="s">
        <v>265</v>
      </c>
      <c r="AG154" s="61">
        <v>251</v>
      </c>
      <c r="AH154" s="62" t="s">
        <v>250</v>
      </c>
      <c r="AI154" s="61">
        <v>173</v>
      </c>
      <c r="AJ154" s="62" t="s">
        <v>251</v>
      </c>
      <c r="AK154" s="61">
        <v>125</v>
      </c>
      <c r="AL154" s="63"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8" t="s">
        <v>308</v>
      </c>
      <c r="K155" s="61">
        <v>2518</v>
      </c>
      <c r="L155" s="60" t="s">
        <v>309</v>
      </c>
      <c r="M155" s="61">
        <v>1277</v>
      </c>
      <c r="N155" s="60" t="s">
        <v>310</v>
      </c>
      <c r="O155" s="61">
        <v>766</v>
      </c>
      <c r="P155" s="62" t="s">
        <v>311</v>
      </c>
      <c r="Q155" s="61">
        <v>526</v>
      </c>
      <c r="R155" s="62" t="s">
        <v>312</v>
      </c>
      <c r="S155" s="61">
        <v>385</v>
      </c>
      <c r="T155" s="62" t="s">
        <v>313</v>
      </c>
      <c r="U155" s="61">
        <v>259</v>
      </c>
      <c r="V155" s="62" t="s">
        <v>314</v>
      </c>
      <c r="W155" s="61">
        <v>142</v>
      </c>
      <c r="X155" s="62" t="s">
        <v>315</v>
      </c>
      <c r="Y155" s="61">
        <v>113</v>
      </c>
      <c r="Z155" s="62" t="s">
        <v>316</v>
      </c>
      <c r="AA155" s="61">
        <v>84</v>
      </c>
      <c r="AB155" s="62" t="s">
        <v>317</v>
      </c>
      <c r="AC155" s="61">
        <v>58</v>
      </c>
      <c r="AD155" s="62" t="s">
        <v>318</v>
      </c>
      <c r="AE155" s="61">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8" t="s">
        <v>319</v>
      </c>
      <c r="K156" s="61">
        <v>2314</v>
      </c>
      <c r="L156" s="60" t="s">
        <v>320</v>
      </c>
      <c r="M156" s="61">
        <v>1153</v>
      </c>
      <c r="N156" s="60" t="s">
        <v>321</v>
      </c>
      <c r="O156" s="61">
        <v>541</v>
      </c>
      <c r="P156" s="62" t="s">
        <v>15</v>
      </c>
      <c r="Q156" s="61">
        <v>251</v>
      </c>
      <c r="R156" s="62" t="s">
        <v>322</v>
      </c>
      <c r="S156" s="61">
        <v>125</v>
      </c>
      <c r="T156" s="62" t="s">
        <v>7</v>
      </c>
      <c r="U156" s="61">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8" t="s">
        <v>1437</v>
      </c>
      <c r="K157" s="61">
        <v>1860</v>
      </c>
      <c r="L157" s="60" t="s">
        <v>1438</v>
      </c>
      <c r="M157" s="61">
        <v>1860</v>
      </c>
      <c r="N157" s="60" t="s">
        <v>1439</v>
      </c>
      <c r="O157" s="61">
        <v>1160</v>
      </c>
      <c r="P157" s="62" t="s">
        <v>1440</v>
      </c>
      <c r="Q157" s="61">
        <v>1004</v>
      </c>
      <c r="R157" s="62" t="s">
        <v>1441</v>
      </c>
      <c r="S157" s="61">
        <v>624</v>
      </c>
      <c r="T157" s="62" t="s">
        <v>1442</v>
      </c>
      <c r="U157" s="61">
        <v>260</v>
      </c>
      <c r="V157" s="62" t="s">
        <v>1443</v>
      </c>
      <c r="W157" s="61">
        <v>101</v>
      </c>
      <c r="X157" s="62" t="s">
        <v>1444</v>
      </c>
      <c r="Y157" s="61">
        <v>28</v>
      </c>
      <c r="Z157" s="62" t="s">
        <v>1445</v>
      </c>
      <c r="AA157" s="61">
        <v>160</v>
      </c>
      <c r="AB157" s="62" t="s">
        <v>1446</v>
      </c>
      <c r="AC157" s="61">
        <v>101</v>
      </c>
      <c r="AD157" s="62" t="s">
        <v>1447</v>
      </c>
      <c r="AE157" s="61">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8" t="s">
        <v>1417</v>
      </c>
      <c r="K158" s="61">
        <v>1803</v>
      </c>
      <c r="L158" s="60" t="s">
        <v>1418</v>
      </c>
      <c r="M158" s="61">
        <v>937</v>
      </c>
      <c r="N158" s="60" t="s">
        <v>1419</v>
      </c>
      <c r="O158" s="61">
        <v>551</v>
      </c>
      <c r="P158" s="62" t="s">
        <v>1420</v>
      </c>
      <c r="Q158" s="61">
        <v>391</v>
      </c>
      <c r="R158" s="62" t="s">
        <v>1421</v>
      </c>
      <c r="S158" s="61">
        <v>279</v>
      </c>
      <c r="T158" s="62" t="s">
        <v>1422</v>
      </c>
      <c r="U158" s="61">
        <v>176</v>
      </c>
      <c r="V158" s="62" t="s">
        <v>1423</v>
      </c>
      <c r="W158" s="61">
        <v>102</v>
      </c>
      <c r="X158" s="62" t="s">
        <v>1424</v>
      </c>
      <c r="Y158" s="61">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8" t="s">
        <v>12</v>
      </c>
      <c r="K159" s="61">
        <v>2554</v>
      </c>
      <c r="L159" s="60" t="s">
        <v>13</v>
      </c>
      <c r="M159" s="61">
        <v>1330</v>
      </c>
      <c r="N159" s="60" t="s">
        <v>24</v>
      </c>
      <c r="O159" s="61">
        <v>779</v>
      </c>
      <c r="P159" s="62" t="s">
        <v>120</v>
      </c>
      <c r="Q159" s="61">
        <v>263</v>
      </c>
      <c r="R159" s="62" t="s">
        <v>16</v>
      </c>
      <c r="S159" s="61">
        <v>145</v>
      </c>
      <c r="T159" s="62" t="s">
        <v>7</v>
      </c>
      <c r="U159" s="61">
        <v>28</v>
      </c>
      <c r="V159" s="62" t="s">
        <v>1425</v>
      </c>
      <c r="W159" s="61">
        <v>145</v>
      </c>
      <c r="X159" s="62" t="s">
        <v>1426</v>
      </c>
      <c r="Y159" s="61">
        <v>263</v>
      </c>
      <c r="Z159" s="62" t="s">
        <v>1427</v>
      </c>
      <c r="AA159" s="61">
        <v>2554</v>
      </c>
      <c r="AB159" s="62" t="s">
        <v>278</v>
      </c>
      <c r="AC159" s="61">
        <v>1330</v>
      </c>
      <c r="AD159" s="62" t="s">
        <v>262</v>
      </c>
      <c r="AE159" s="61">
        <v>779</v>
      </c>
      <c r="AF159" s="62" t="s">
        <v>279</v>
      </c>
      <c r="AG159" s="61">
        <v>535</v>
      </c>
      <c r="AH159" s="62" t="s">
        <v>280</v>
      </c>
      <c r="AI159" s="61">
        <v>263</v>
      </c>
      <c r="AJ159" s="62" t="s">
        <v>281</v>
      </c>
      <c r="AK159" s="61">
        <v>145</v>
      </c>
      <c r="AL159" s="63"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8" t="s">
        <v>1459</v>
      </c>
      <c r="K160" s="61">
        <v>2525</v>
      </c>
      <c r="L160" s="60" t="s">
        <v>1460</v>
      </c>
      <c r="M160" s="61">
        <v>1315</v>
      </c>
      <c r="N160" s="60" t="s">
        <v>1461</v>
      </c>
      <c r="O160" s="61">
        <v>529</v>
      </c>
      <c r="P160" s="62" t="s">
        <v>1462</v>
      </c>
      <c r="Q160" s="61">
        <v>260</v>
      </c>
      <c r="R160" s="62" t="s">
        <v>1463</v>
      </c>
      <c r="S160" s="61">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8" t="s">
        <v>1429</v>
      </c>
      <c r="K161" s="61">
        <v>2525</v>
      </c>
      <c r="L161" s="60" t="s">
        <v>1430</v>
      </c>
      <c r="M161" s="61">
        <v>1938</v>
      </c>
      <c r="N161" s="60" t="s">
        <v>1431</v>
      </c>
      <c r="O161" s="61">
        <v>1160</v>
      </c>
      <c r="P161" s="62" t="s">
        <v>1432</v>
      </c>
      <c r="Q161" s="61">
        <v>771</v>
      </c>
      <c r="R161" s="62" t="s">
        <v>1433</v>
      </c>
      <c r="S161" s="61">
        <v>387</v>
      </c>
      <c r="T161" s="62" t="s">
        <v>1434</v>
      </c>
      <c r="U161" s="61">
        <v>143</v>
      </c>
      <c r="V161" s="62" t="s">
        <v>1435</v>
      </c>
      <c r="W161" s="61">
        <v>28</v>
      </c>
      <c r="X161" s="62" t="s">
        <v>1436</v>
      </c>
      <c r="Y161" s="61">
        <v>308</v>
      </c>
      <c r="Z161" s="62" t="s">
        <v>107</v>
      </c>
      <c r="AA161" s="61">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8" t="s">
        <v>1450</v>
      </c>
      <c r="K162" s="61">
        <v>1160</v>
      </c>
      <c r="L162" s="60" t="s">
        <v>1451</v>
      </c>
      <c r="M162" s="61">
        <v>693</v>
      </c>
      <c r="N162" s="60" t="s">
        <v>1452</v>
      </c>
      <c r="O162" s="61">
        <v>466</v>
      </c>
      <c r="P162" s="62" t="s">
        <v>1453</v>
      </c>
      <c r="Q162" s="61">
        <v>237</v>
      </c>
      <c r="R162" s="62" t="s">
        <v>1454</v>
      </c>
      <c r="S162" s="61">
        <v>126</v>
      </c>
      <c r="T162" s="62" t="s">
        <v>1455</v>
      </c>
      <c r="U162" s="61">
        <v>25</v>
      </c>
      <c r="V162" s="62" t="s">
        <v>1456</v>
      </c>
      <c r="W162" s="61">
        <v>1751</v>
      </c>
      <c r="X162" s="62" t="s">
        <v>302</v>
      </c>
      <c r="Y162" s="61">
        <v>1160</v>
      </c>
      <c r="Z162" s="62" t="s">
        <v>1457</v>
      </c>
      <c r="AA162" s="61">
        <v>466</v>
      </c>
      <c r="AB162" s="62" t="s">
        <v>1458</v>
      </c>
      <c r="AC162" s="61">
        <v>237</v>
      </c>
      <c r="AD162" s="62" t="s">
        <v>251</v>
      </c>
      <c r="AE162" s="61">
        <v>126</v>
      </c>
      <c r="AF162" s="62" t="s">
        <v>253</v>
      </c>
      <c r="AG162" s="61">
        <v>50</v>
      </c>
      <c r="AH162" s="62" t="s">
        <v>267</v>
      </c>
      <c r="AI162" s="61">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8" t="s">
        <v>12</v>
      </c>
      <c r="K163" s="61">
        <v>2327</v>
      </c>
      <c r="L163" s="60" t="s">
        <v>13</v>
      </c>
      <c r="M163" s="61">
        <v>1160</v>
      </c>
      <c r="N163" s="60" t="s">
        <v>24</v>
      </c>
      <c r="O163" s="61">
        <v>771</v>
      </c>
      <c r="P163" s="62" t="s">
        <v>14</v>
      </c>
      <c r="Q163" s="61">
        <v>529</v>
      </c>
      <c r="R163" s="62" t="s">
        <v>15</v>
      </c>
      <c r="S163" s="61">
        <v>387</v>
      </c>
      <c r="T163" s="62" t="s">
        <v>120</v>
      </c>
      <c r="U163" s="61">
        <v>260</v>
      </c>
      <c r="V163" s="62" t="s">
        <v>65</v>
      </c>
      <c r="W163" s="61">
        <v>229</v>
      </c>
      <c r="X163" s="62" t="s">
        <v>6</v>
      </c>
      <c r="Y163" s="61">
        <v>229</v>
      </c>
      <c r="Z163" s="62" t="s">
        <v>233</v>
      </c>
      <c r="AA163" s="61">
        <v>174</v>
      </c>
      <c r="AB163" s="62" t="s">
        <v>16</v>
      </c>
      <c r="AC163" s="61">
        <v>126</v>
      </c>
      <c r="AD163" s="62" t="s">
        <v>121</v>
      </c>
      <c r="AE163" s="61">
        <v>84</v>
      </c>
      <c r="AF163" s="62" t="s">
        <v>285</v>
      </c>
      <c r="AG163" s="61">
        <v>59</v>
      </c>
      <c r="AH163" s="62" t="s">
        <v>7</v>
      </c>
      <c r="AI163" s="61">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8" t="s">
        <v>12</v>
      </c>
      <c r="K164" s="61">
        <v>2327</v>
      </c>
      <c r="L164" s="60" t="s">
        <v>13</v>
      </c>
      <c r="M164" s="61">
        <v>1160</v>
      </c>
      <c r="N164" s="60" t="s">
        <v>24</v>
      </c>
      <c r="O164" s="61">
        <v>771</v>
      </c>
      <c r="P164" s="62" t="s">
        <v>14</v>
      </c>
      <c r="Q164" s="61">
        <v>529</v>
      </c>
      <c r="R164" s="62" t="s">
        <v>120</v>
      </c>
      <c r="S164" s="61">
        <v>260</v>
      </c>
      <c r="T164" s="62" t="s">
        <v>16</v>
      </c>
      <c r="U164" s="61">
        <v>143</v>
      </c>
      <c r="V164" s="62" t="s">
        <v>7</v>
      </c>
      <c r="W164" s="61">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8" t="s">
        <v>1466</v>
      </c>
      <c r="K165" s="61">
        <v>2494</v>
      </c>
      <c r="L165" s="60" t="s">
        <v>1467</v>
      </c>
      <c r="M165" s="61">
        <v>2413</v>
      </c>
      <c r="N165" s="60" t="s">
        <v>5</v>
      </c>
      <c r="O165" s="61">
        <v>1946</v>
      </c>
      <c r="P165" s="62" t="s">
        <v>13</v>
      </c>
      <c r="Q165" s="61">
        <v>1276</v>
      </c>
      <c r="R165" s="62" t="s">
        <v>62</v>
      </c>
      <c r="S165" s="61">
        <v>1167</v>
      </c>
      <c r="T165" s="62" t="s">
        <v>24</v>
      </c>
      <c r="U165" s="61">
        <v>771</v>
      </c>
      <c r="V165" s="62" t="s">
        <v>1468</v>
      </c>
      <c r="W165" s="61">
        <v>654</v>
      </c>
      <c r="X165" s="62" t="s">
        <v>14</v>
      </c>
      <c r="Y165" s="61">
        <v>505</v>
      </c>
      <c r="Z165" s="62" t="s">
        <v>15</v>
      </c>
      <c r="AA165" s="61">
        <v>387</v>
      </c>
      <c r="AB165" s="62" t="s">
        <v>1469</v>
      </c>
      <c r="AC165" s="61">
        <v>347</v>
      </c>
      <c r="AD165" s="62" t="s">
        <v>120</v>
      </c>
      <c r="AE165" s="61">
        <v>268</v>
      </c>
      <c r="AF165" s="62" t="s">
        <v>322</v>
      </c>
      <c r="AG165" s="61">
        <v>160</v>
      </c>
      <c r="AH165" s="62" t="s">
        <v>16</v>
      </c>
      <c r="AI165" s="61">
        <v>126</v>
      </c>
      <c r="AJ165" s="62" t="s">
        <v>1327</v>
      </c>
      <c r="AK165" s="61">
        <v>118</v>
      </c>
      <c r="AL165" s="63"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8" t="s">
        <v>4</v>
      </c>
      <c r="K166" s="61">
        <v>2335</v>
      </c>
      <c r="L166" s="60" t="s">
        <v>190</v>
      </c>
      <c r="M166" s="61">
        <v>1284</v>
      </c>
      <c r="N166" s="60" t="s">
        <v>1476</v>
      </c>
      <c r="O166" s="61">
        <v>521</v>
      </c>
      <c r="P166" s="62" t="s">
        <v>163</v>
      </c>
      <c r="Q166" s="61">
        <v>260</v>
      </c>
      <c r="R166" s="62" t="s">
        <v>233</v>
      </c>
      <c r="S166" s="61">
        <v>139</v>
      </c>
      <c r="T166" s="62" t="s">
        <v>1477</v>
      </c>
      <c r="U166" s="61">
        <v>83</v>
      </c>
      <c r="V166" s="62" t="s">
        <v>1478</v>
      </c>
      <c r="W166" s="61">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8" t="s">
        <v>1479</v>
      </c>
      <c r="K167" s="61">
        <v>2296</v>
      </c>
      <c r="L167" s="60" t="s">
        <v>1480</v>
      </c>
      <c r="M167" s="61">
        <v>1144</v>
      </c>
      <c r="N167" s="60" t="s">
        <v>1481</v>
      </c>
      <c r="O167" s="61">
        <v>529</v>
      </c>
      <c r="P167" s="62" t="s">
        <v>1482</v>
      </c>
      <c r="Q167" s="61">
        <v>260</v>
      </c>
      <c r="R167" s="62" t="s">
        <v>1483</v>
      </c>
      <c r="S167" s="61">
        <v>143</v>
      </c>
      <c r="T167" s="62" t="s">
        <v>1484</v>
      </c>
      <c r="U167" s="61">
        <v>50</v>
      </c>
    </row>
    <row r="168" spans="1:43" ht="22.5" customHeight="1" thickBot="1">
      <c r="A168" s="65" t="s">
        <v>1485</v>
      </c>
      <c r="F168" s="36" t="str">
        <f t="shared" si="4"/>
        <v>https://www.ssbuy.tw/detail_giftcode/dist/giftcodes/東方幻想ECLIPSE.html</v>
      </c>
      <c r="H168" s="36" t="str">
        <f t="shared" si="5"/>
        <v>https://www.ssbuy.tw/detail_giftcode/dist/gamedetail/東方幻想ECLIPSE.html</v>
      </c>
      <c r="I168" s="54" t="s">
        <v>1486</v>
      </c>
      <c r="J168" s="58" t="s">
        <v>1487</v>
      </c>
      <c r="K168" s="61">
        <v>2539</v>
      </c>
      <c r="L168" s="60" t="s">
        <v>1488</v>
      </c>
      <c r="M168" s="61">
        <v>1323</v>
      </c>
      <c r="N168" s="60" t="s">
        <v>1489</v>
      </c>
      <c r="O168" s="61">
        <v>775</v>
      </c>
      <c r="P168" s="62" t="s">
        <v>1490</v>
      </c>
      <c r="Q168" s="61">
        <v>389</v>
      </c>
      <c r="R168" s="62" t="s">
        <v>1491</v>
      </c>
      <c r="S168" s="61">
        <v>144</v>
      </c>
      <c r="T168" s="62" t="s">
        <v>1492</v>
      </c>
      <c r="U168" s="61">
        <v>28</v>
      </c>
      <c r="V168" s="62" t="s">
        <v>1427</v>
      </c>
      <c r="W168" s="61">
        <v>2539</v>
      </c>
      <c r="X168" s="62" t="s">
        <v>260</v>
      </c>
      <c r="Y168" s="61">
        <v>1558</v>
      </c>
      <c r="Z168" s="62" t="s">
        <v>278</v>
      </c>
      <c r="AA168" s="61">
        <v>1323</v>
      </c>
      <c r="AB168" s="62" t="s">
        <v>261</v>
      </c>
      <c r="AC168" s="61">
        <v>1010</v>
      </c>
      <c r="AD168" s="62" t="s">
        <v>262</v>
      </c>
      <c r="AE168" s="61">
        <v>775</v>
      </c>
      <c r="AF168" s="62" t="s">
        <v>1493</v>
      </c>
      <c r="AG168" s="61">
        <v>389</v>
      </c>
      <c r="AH168" s="62" t="s">
        <v>280</v>
      </c>
      <c r="AI168" s="61">
        <v>262</v>
      </c>
      <c r="AJ168" s="62" t="s">
        <v>1494</v>
      </c>
      <c r="AK168" s="61">
        <v>198</v>
      </c>
      <c r="AL168" s="63"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8" t="s">
        <v>1498</v>
      </c>
      <c r="K169" s="61">
        <v>2508</v>
      </c>
      <c r="L169" s="60" t="s">
        <v>1499</v>
      </c>
      <c r="M169" s="61">
        <v>1268</v>
      </c>
      <c r="N169" s="60" t="s">
        <v>1500</v>
      </c>
      <c r="O169" s="61">
        <v>548</v>
      </c>
      <c r="P169" s="62" t="s">
        <v>3979</v>
      </c>
      <c r="Q169" s="61">
        <v>278</v>
      </c>
      <c r="R169" s="62" t="s">
        <v>1501</v>
      </c>
      <c r="S169" s="61">
        <v>127</v>
      </c>
      <c r="T169" s="62" t="s">
        <v>1502</v>
      </c>
      <c r="U169" s="61">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8" t="s">
        <v>61</v>
      </c>
      <c r="K170" s="61">
        <v>2539</v>
      </c>
      <c r="L170" s="60" t="s">
        <v>62</v>
      </c>
      <c r="M170" s="61">
        <v>1323</v>
      </c>
      <c r="N170" s="60" t="s">
        <v>3980</v>
      </c>
      <c r="O170" s="61">
        <v>579</v>
      </c>
      <c r="P170" s="62" t="s">
        <v>1326</v>
      </c>
      <c r="Q170" s="61">
        <v>294</v>
      </c>
      <c r="R170" s="62" t="s">
        <v>16</v>
      </c>
      <c r="S170" s="61">
        <v>144</v>
      </c>
      <c r="T170" s="62" t="s">
        <v>7</v>
      </c>
      <c r="U170" s="61">
        <v>28</v>
      </c>
      <c r="V170" s="62" t="s">
        <v>177</v>
      </c>
      <c r="W170" s="61">
        <v>294</v>
      </c>
      <c r="X170" s="62" t="s">
        <v>1295</v>
      </c>
      <c r="Y170" s="61">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8" t="s">
        <v>1506</v>
      </c>
      <c r="K171" s="61">
        <v>2340</v>
      </c>
      <c r="L171" s="60" t="s">
        <v>1507</v>
      </c>
      <c r="M171" s="61">
        <v>1166</v>
      </c>
      <c r="N171" s="60" t="s">
        <v>1508</v>
      </c>
      <c r="O171" s="61">
        <v>775</v>
      </c>
      <c r="P171" s="62" t="s">
        <v>1509</v>
      </c>
      <c r="Q171" s="61">
        <v>532</v>
      </c>
      <c r="R171" s="62" t="s">
        <v>1510</v>
      </c>
      <c r="S171" s="61">
        <v>262</v>
      </c>
      <c r="T171" s="62" t="s">
        <v>1511</v>
      </c>
      <c r="U171" s="61">
        <v>144</v>
      </c>
      <c r="V171" s="62" t="s">
        <v>1512</v>
      </c>
      <c r="W171" s="61">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8" t="s">
        <v>1514</v>
      </c>
      <c r="K172" s="61">
        <v>2539</v>
      </c>
      <c r="L172" s="60" t="s">
        <v>1515</v>
      </c>
      <c r="M172" s="61">
        <v>1323</v>
      </c>
      <c r="N172" s="60" t="s">
        <v>1516</v>
      </c>
      <c r="O172" s="61">
        <v>532</v>
      </c>
      <c r="P172" s="62" t="s">
        <v>1517</v>
      </c>
      <c r="Q172" s="61">
        <v>389</v>
      </c>
      <c r="R172" s="62" t="s">
        <v>318</v>
      </c>
      <c r="S172" s="61">
        <v>144</v>
      </c>
      <c r="T172" s="62" t="s">
        <v>1518</v>
      </c>
      <c r="U172" s="61">
        <v>28</v>
      </c>
      <c r="V172" s="62" t="s">
        <v>1519</v>
      </c>
      <c r="W172" s="61">
        <v>681</v>
      </c>
      <c r="X172" s="62" t="s">
        <v>107</v>
      </c>
      <c r="Y172" s="61">
        <v>144</v>
      </c>
      <c r="Z172" s="62" t="s">
        <v>176</v>
      </c>
      <c r="AA172" s="61">
        <v>28</v>
      </c>
    </row>
    <row r="173" spans="1:43" ht="22.5" customHeight="1" thickBot="1">
      <c r="A173" s="65" t="s">
        <v>3981</v>
      </c>
      <c r="F173" s="36" t="str">
        <f t="shared" si="4"/>
        <v>https://www.ssbuy.tw/detail_giftcode/dist/giftcodes/奇蹟MU：暴走之翼.html</v>
      </c>
      <c r="H173" s="36" t="str">
        <f t="shared" si="5"/>
        <v>https://www.ssbuy.tw/detail_giftcode/dist/gamedetail/奇蹟MU：暴走之翼.html</v>
      </c>
      <c r="I173" s="37" t="s">
        <v>3982</v>
      </c>
      <c r="J173" s="58" t="s">
        <v>155</v>
      </c>
      <c r="K173" s="61">
        <v>2525</v>
      </c>
      <c r="L173" s="60" t="s">
        <v>1520</v>
      </c>
      <c r="M173" s="61">
        <v>1284</v>
      </c>
      <c r="N173" s="60" t="s">
        <v>1521</v>
      </c>
      <c r="O173" s="61">
        <v>624</v>
      </c>
      <c r="P173" s="62" t="s">
        <v>1522</v>
      </c>
      <c r="Q173" s="61">
        <v>545</v>
      </c>
      <c r="R173" s="62" t="s">
        <v>159</v>
      </c>
      <c r="S173" s="61">
        <v>387</v>
      </c>
      <c r="T173" s="62" t="s">
        <v>160</v>
      </c>
      <c r="U173" s="61">
        <v>260</v>
      </c>
      <c r="V173" s="62" t="s">
        <v>1523</v>
      </c>
      <c r="W173" s="61">
        <v>174</v>
      </c>
      <c r="X173" s="62" t="s">
        <v>1524</v>
      </c>
      <c r="Y173" s="61">
        <v>160</v>
      </c>
      <c r="Z173" s="62" t="s">
        <v>1525</v>
      </c>
      <c r="AA173" s="61">
        <v>139</v>
      </c>
      <c r="AB173" s="62" t="s">
        <v>162</v>
      </c>
      <c r="AC173" s="61">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8" t="s">
        <v>235</v>
      </c>
      <c r="K174" s="61">
        <v>2539</v>
      </c>
      <c r="L174" s="60" t="s">
        <v>236</v>
      </c>
      <c r="M174" s="61">
        <v>1323</v>
      </c>
      <c r="N174" s="60" t="s">
        <v>1292</v>
      </c>
      <c r="O174" s="61">
        <v>775</v>
      </c>
      <c r="P174" s="62" t="s">
        <v>237</v>
      </c>
      <c r="Q174" s="61">
        <v>532</v>
      </c>
      <c r="R174" s="62" t="s">
        <v>238</v>
      </c>
      <c r="S174" s="61">
        <v>262</v>
      </c>
      <c r="T174" s="62" t="s">
        <v>239</v>
      </c>
      <c r="U174" s="61">
        <v>144</v>
      </c>
      <c r="V174" s="62" t="s">
        <v>240</v>
      </c>
      <c r="W174" s="61">
        <v>28</v>
      </c>
      <c r="X174" s="62" t="s">
        <v>1531</v>
      </c>
      <c r="Y174" s="61">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8" t="s">
        <v>235</v>
      </c>
      <c r="K175" s="61">
        <v>2539</v>
      </c>
      <c r="L175" s="60" t="s">
        <v>236</v>
      </c>
      <c r="M175" s="61">
        <v>1323</v>
      </c>
      <c r="N175" s="60" t="s">
        <v>237</v>
      </c>
      <c r="O175" s="61">
        <v>775</v>
      </c>
      <c r="P175" s="62" t="s">
        <v>238</v>
      </c>
      <c r="Q175" s="61">
        <v>262</v>
      </c>
      <c r="R175" s="62" t="s">
        <v>239</v>
      </c>
      <c r="S175" s="61">
        <v>144</v>
      </c>
      <c r="T175" s="62" t="s">
        <v>240</v>
      </c>
      <c r="U175" s="61">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8" t="s">
        <v>1536</v>
      </c>
      <c r="K176" s="61">
        <v>2340</v>
      </c>
      <c r="L176" s="60" t="s">
        <v>1537</v>
      </c>
      <c r="M176" s="61">
        <v>1323</v>
      </c>
      <c r="N176" s="60" t="s">
        <v>1538</v>
      </c>
      <c r="O176" s="61">
        <v>532</v>
      </c>
      <c r="P176" s="62" t="s">
        <v>1539</v>
      </c>
      <c r="Q176" s="61">
        <v>262</v>
      </c>
      <c r="R176" s="62" t="s">
        <v>1540</v>
      </c>
      <c r="S176" s="61">
        <v>144</v>
      </c>
      <c r="T176" s="62" t="s">
        <v>1541</v>
      </c>
      <c r="U176" s="61">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8" t="s">
        <v>1542</v>
      </c>
      <c r="K177" s="61">
        <v>2340</v>
      </c>
      <c r="L177" s="60" t="s">
        <v>1543</v>
      </c>
      <c r="M177" s="61">
        <v>1166</v>
      </c>
      <c r="N177" s="60" t="s">
        <v>1544</v>
      </c>
      <c r="O177" s="61">
        <v>548</v>
      </c>
      <c r="P177" s="62" t="s">
        <v>1545</v>
      </c>
      <c r="Q177" s="61">
        <v>254</v>
      </c>
      <c r="R177" s="62" t="s">
        <v>1546</v>
      </c>
      <c r="S177" s="61">
        <v>127</v>
      </c>
      <c r="T177" s="62" t="s">
        <v>1547</v>
      </c>
      <c r="U177" s="61">
        <v>25</v>
      </c>
    </row>
    <row r="178" spans="1:35" ht="22.5" customHeight="1" thickBot="1">
      <c r="A178" s="35" t="s">
        <v>1548</v>
      </c>
      <c r="C178" s="78"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9" t="s">
        <v>4001</v>
      </c>
      <c r="J178" s="58" t="s">
        <v>1553</v>
      </c>
      <c r="K178" s="61">
        <v>2340</v>
      </c>
      <c r="L178" s="60" t="s">
        <v>1554</v>
      </c>
      <c r="M178" s="61">
        <v>1166</v>
      </c>
      <c r="N178" s="60" t="s">
        <v>1555</v>
      </c>
      <c r="O178" s="61">
        <v>775</v>
      </c>
      <c r="P178" s="62" t="s">
        <v>1556</v>
      </c>
      <c r="Q178" s="61">
        <v>532</v>
      </c>
      <c r="R178" s="62" t="s">
        <v>1557</v>
      </c>
      <c r="S178" s="61">
        <v>262</v>
      </c>
      <c r="T178" s="62" t="s">
        <v>1558</v>
      </c>
      <c r="U178" s="61">
        <v>144</v>
      </c>
      <c r="V178" s="62" t="s">
        <v>1559</v>
      </c>
      <c r="W178" s="61">
        <v>28</v>
      </c>
      <c r="X178" s="62" t="s">
        <v>1560</v>
      </c>
      <c r="Y178" s="61">
        <v>262</v>
      </c>
      <c r="Z178" s="62" t="s">
        <v>107</v>
      </c>
      <c r="AA178" s="61">
        <v>144</v>
      </c>
      <c r="AB178" s="62" t="s">
        <v>1561</v>
      </c>
      <c r="AC178" s="61">
        <v>775</v>
      </c>
    </row>
    <row r="179" spans="1:35" ht="22.5" customHeight="1" thickBot="1">
      <c r="A179" s="35" t="s">
        <v>1562</v>
      </c>
      <c r="C179" s="78"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8" t="s">
        <v>1567</v>
      </c>
      <c r="K179" s="61">
        <v>2340</v>
      </c>
      <c r="L179" s="60" t="s">
        <v>1568</v>
      </c>
      <c r="M179" s="61">
        <v>1166</v>
      </c>
      <c r="N179" s="60" t="s">
        <v>1569</v>
      </c>
      <c r="O179" s="61">
        <v>697</v>
      </c>
      <c r="P179" s="62" t="s">
        <v>1570</v>
      </c>
      <c r="Q179" s="61">
        <v>357</v>
      </c>
      <c r="R179" s="62" t="s">
        <v>1571</v>
      </c>
      <c r="S179" s="61">
        <v>127</v>
      </c>
      <c r="T179" s="62" t="s">
        <v>1572</v>
      </c>
      <c r="U179" s="61">
        <v>25</v>
      </c>
      <c r="V179" s="62" t="s">
        <v>1573</v>
      </c>
      <c r="W179" s="61">
        <v>230</v>
      </c>
      <c r="X179" s="62" t="s">
        <v>1574</v>
      </c>
      <c r="Y179" s="61">
        <v>697</v>
      </c>
      <c r="Z179" s="62" t="s">
        <v>1575</v>
      </c>
      <c r="AA179" s="61">
        <v>230</v>
      </c>
      <c r="AB179" s="62" t="s">
        <v>1576</v>
      </c>
      <c r="AC179" s="61">
        <v>25</v>
      </c>
      <c r="AD179" s="62" t="s">
        <v>1577</v>
      </c>
      <c r="AE179" s="61">
        <v>357</v>
      </c>
      <c r="AF179" s="62" t="s">
        <v>1578</v>
      </c>
      <c r="AG179" s="61">
        <v>127</v>
      </c>
      <c r="AH179" s="62" t="s">
        <v>1579</v>
      </c>
      <c r="AI179" s="61">
        <v>25</v>
      </c>
    </row>
    <row r="180" spans="1:35" ht="22.5" customHeight="1" thickBot="1">
      <c r="A180" s="35" t="s">
        <v>1580</v>
      </c>
      <c r="C180" s="78"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8" t="s">
        <v>1586</v>
      </c>
      <c r="K180" s="61">
        <v>2539</v>
      </c>
      <c r="L180" s="60" t="s">
        <v>1587</v>
      </c>
      <c r="M180" s="61">
        <v>1323</v>
      </c>
      <c r="N180" s="60" t="s">
        <v>1588</v>
      </c>
      <c r="O180" s="61">
        <v>262</v>
      </c>
      <c r="P180" s="62" t="s">
        <v>1589</v>
      </c>
      <c r="Q180" s="61">
        <v>144</v>
      </c>
      <c r="R180" s="62" t="s">
        <v>1590</v>
      </c>
      <c r="S180" s="61">
        <v>28</v>
      </c>
      <c r="T180" s="62" t="s">
        <v>1591</v>
      </c>
      <c r="U180" s="61">
        <v>532</v>
      </c>
    </row>
    <row r="181" spans="1:35" ht="22.5" customHeight="1" thickBot="1">
      <c r="A181" s="65"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8" t="s">
        <v>1603</v>
      </c>
      <c r="K181" s="61">
        <v>2539</v>
      </c>
      <c r="L181" s="60" t="s">
        <v>1602</v>
      </c>
      <c r="M181" s="61">
        <v>1323</v>
      </c>
      <c r="N181" s="60" t="s">
        <v>1604</v>
      </c>
      <c r="O181" s="61">
        <v>783</v>
      </c>
      <c r="P181" s="62" t="s">
        <v>1605</v>
      </c>
      <c r="Q181" s="61">
        <v>397</v>
      </c>
      <c r="R181" s="62" t="s">
        <v>1606</v>
      </c>
      <c r="S181" s="61">
        <v>144</v>
      </c>
      <c r="T181" s="62" t="s">
        <v>1607</v>
      </c>
      <c r="U181" s="61">
        <v>25</v>
      </c>
      <c r="V181" s="62" t="s">
        <v>1608</v>
      </c>
      <c r="W181" s="61">
        <v>1252</v>
      </c>
      <c r="X181" s="62" t="s">
        <v>1609</v>
      </c>
      <c r="Y181" s="61">
        <v>135</v>
      </c>
      <c r="Z181" s="62" t="s">
        <v>1610</v>
      </c>
      <c r="AA181" s="61">
        <v>85</v>
      </c>
    </row>
    <row r="182" spans="1:35" ht="22.5" customHeight="1" thickBot="1">
      <c r="A182" s="65" t="s">
        <v>1597</v>
      </c>
      <c r="C182" s="78"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9" t="s">
        <v>4002</v>
      </c>
      <c r="J182" s="58" t="s">
        <v>1611</v>
      </c>
      <c r="K182" s="61">
        <v>2539</v>
      </c>
      <c r="L182" s="60" t="s">
        <v>1612</v>
      </c>
      <c r="M182" s="61">
        <v>1793</v>
      </c>
      <c r="N182" s="60" t="s">
        <v>1613</v>
      </c>
      <c r="O182" s="61">
        <v>1323</v>
      </c>
      <c r="P182" s="62" t="s">
        <v>1614</v>
      </c>
      <c r="Q182" s="61">
        <v>775</v>
      </c>
      <c r="R182" s="62" t="s">
        <v>1615</v>
      </c>
      <c r="S182" s="61">
        <v>532</v>
      </c>
      <c r="T182" s="62" t="s">
        <v>1616</v>
      </c>
      <c r="U182" s="61">
        <v>389</v>
      </c>
      <c r="V182" s="62" t="s">
        <v>1617</v>
      </c>
      <c r="W182" s="61">
        <v>262</v>
      </c>
      <c r="X182" s="62" t="s">
        <v>1618</v>
      </c>
      <c r="Y182" s="61">
        <v>238</v>
      </c>
      <c r="Z182" s="62" t="s">
        <v>1619</v>
      </c>
      <c r="AA182" s="61">
        <v>144</v>
      </c>
      <c r="AB182" s="62" t="s">
        <v>1620</v>
      </c>
      <c r="AC182" s="61">
        <v>110</v>
      </c>
    </row>
    <row r="183" spans="1:35" ht="22.5" customHeight="1" thickBot="1">
      <c r="A183" s="65" t="s">
        <v>1622</v>
      </c>
      <c r="C183" s="78"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8" t="s">
        <v>1627</v>
      </c>
      <c r="K183" s="61">
        <v>2539</v>
      </c>
      <c r="L183" s="60" t="s">
        <v>313</v>
      </c>
      <c r="M183" s="61">
        <v>1323</v>
      </c>
      <c r="N183" s="60" t="s">
        <v>1628</v>
      </c>
      <c r="O183" s="61">
        <v>775</v>
      </c>
      <c r="P183" s="62" t="s">
        <v>1629</v>
      </c>
      <c r="Q183" s="61">
        <v>532</v>
      </c>
      <c r="R183" s="62" t="s">
        <v>1630</v>
      </c>
      <c r="S183" s="61">
        <v>262</v>
      </c>
      <c r="T183" s="62" t="s">
        <v>1631</v>
      </c>
      <c r="U183" s="61">
        <v>144</v>
      </c>
      <c r="V183" s="62" t="s">
        <v>1632</v>
      </c>
      <c r="W183" s="61">
        <v>59</v>
      </c>
      <c r="X183" s="62" t="s">
        <v>1518</v>
      </c>
      <c r="Y183" s="61">
        <v>28</v>
      </c>
    </row>
    <row r="184" spans="1:35" ht="22.5" customHeight="1" thickBot="1">
      <c r="A184" s="65" t="s">
        <v>1637</v>
      </c>
      <c r="C184" s="78"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9" t="s">
        <v>4003</v>
      </c>
      <c r="J184" s="58" t="s">
        <v>235</v>
      </c>
      <c r="K184" s="61">
        <v>3010</v>
      </c>
      <c r="L184" s="60" t="s">
        <v>236</v>
      </c>
      <c r="M184" s="61">
        <v>1550</v>
      </c>
      <c r="N184" s="60" t="s">
        <v>1292</v>
      </c>
      <c r="O184" s="61">
        <v>932</v>
      </c>
      <c r="P184" s="62" t="s">
        <v>1638</v>
      </c>
      <c r="Q184" s="61">
        <v>475</v>
      </c>
      <c r="R184" s="62" t="s">
        <v>239</v>
      </c>
      <c r="S184" s="61">
        <v>156</v>
      </c>
      <c r="T184" s="62" t="s">
        <v>240</v>
      </c>
      <c r="U184" s="61">
        <v>28</v>
      </c>
    </row>
    <row r="185" spans="1:35" ht="22.5" customHeight="1" thickBot="1">
      <c r="A185" s="65" t="s">
        <v>1645</v>
      </c>
      <c r="C185" s="78"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8" t="s">
        <v>12</v>
      </c>
      <c r="K185" s="61">
        <v>2415</v>
      </c>
      <c r="L185" s="60" t="s">
        <v>13</v>
      </c>
      <c r="M185" s="61">
        <v>1225</v>
      </c>
      <c r="N185" s="60" t="s">
        <v>24</v>
      </c>
      <c r="O185" s="61">
        <v>735</v>
      </c>
      <c r="P185" s="62" t="s">
        <v>15</v>
      </c>
      <c r="Q185" s="61">
        <v>372</v>
      </c>
      <c r="R185" s="62" t="s">
        <v>16</v>
      </c>
      <c r="S185" s="61">
        <v>132</v>
      </c>
      <c r="T185" s="62" t="s">
        <v>7</v>
      </c>
      <c r="U185" s="61">
        <v>26</v>
      </c>
      <c r="V185" s="62" t="s">
        <v>107</v>
      </c>
      <c r="W185" s="61">
        <v>132</v>
      </c>
      <c r="X185" s="62" t="s">
        <v>1436</v>
      </c>
      <c r="Y185" s="61">
        <v>372</v>
      </c>
      <c r="Z185" s="62" t="s">
        <v>1643</v>
      </c>
      <c r="AA185" s="61">
        <v>1127</v>
      </c>
      <c r="AB185" s="62" t="s">
        <v>1644</v>
      </c>
      <c r="AC185" s="61">
        <v>472</v>
      </c>
    </row>
    <row r="186" spans="1:35" ht="22.5" customHeight="1" thickBot="1">
      <c r="A186" s="53" t="s">
        <v>1646</v>
      </c>
      <c r="C186" s="78"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9" t="s">
        <v>4004</v>
      </c>
      <c r="J186" s="58" t="s">
        <v>1655</v>
      </c>
      <c r="K186" s="61">
        <v>2355</v>
      </c>
      <c r="L186" s="60" t="s">
        <v>1656</v>
      </c>
      <c r="M186" s="61">
        <v>937</v>
      </c>
      <c r="N186" s="60" t="s">
        <v>1657</v>
      </c>
      <c r="O186" s="61">
        <v>232</v>
      </c>
      <c r="P186" s="62" t="s">
        <v>1658</v>
      </c>
      <c r="Q186" s="61">
        <v>176</v>
      </c>
      <c r="R186" s="62" t="s">
        <v>1659</v>
      </c>
      <c r="S186" s="61">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9" t="s">
        <v>4005</v>
      </c>
      <c r="J187" s="58" t="s">
        <v>1660</v>
      </c>
      <c r="K187" s="61">
        <v>2555</v>
      </c>
      <c r="L187" s="60" t="s">
        <v>1661</v>
      </c>
      <c r="M187" s="61">
        <v>1331</v>
      </c>
      <c r="N187" s="60" t="s">
        <v>1662</v>
      </c>
      <c r="O187" s="61">
        <v>788</v>
      </c>
      <c r="P187" s="62" t="s">
        <v>1663</v>
      </c>
      <c r="Q187" s="61">
        <v>535</v>
      </c>
      <c r="R187" s="62" t="s">
        <v>1664</v>
      </c>
      <c r="S187" s="61">
        <v>391</v>
      </c>
      <c r="T187" s="62" t="s">
        <v>1665</v>
      </c>
      <c r="U187" s="61">
        <v>343</v>
      </c>
      <c r="V187" s="62" t="s">
        <v>1666</v>
      </c>
      <c r="W187" s="61">
        <v>264</v>
      </c>
      <c r="X187" s="62" t="s">
        <v>1667</v>
      </c>
      <c r="Y187" s="61">
        <v>145</v>
      </c>
      <c r="Z187" s="62" t="s">
        <v>1668</v>
      </c>
      <c r="AA187" s="61">
        <v>28</v>
      </c>
    </row>
    <row r="188" spans="1:35" ht="22.5" customHeight="1" thickBot="1">
      <c r="A188" s="35" t="s">
        <v>1669</v>
      </c>
      <c r="C188" s="78"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9" t="s">
        <v>4006</v>
      </c>
      <c r="J188" s="58" t="s">
        <v>1674</v>
      </c>
      <c r="K188" s="61">
        <v>1961</v>
      </c>
      <c r="L188" s="60" t="s">
        <v>1675</v>
      </c>
      <c r="M188" s="61">
        <v>1804</v>
      </c>
      <c r="N188" s="60" t="s">
        <v>1676</v>
      </c>
      <c r="O188" s="61">
        <v>1331</v>
      </c>
      <c r="P188" s="62" t="s">
        <v>1677</v>
      </c>
      <c r="Q188" s="61">
        <v>1174</v>
      </c>
      <c r="R188" s="62" t="s">
        <v>1678</v>
      </c>
      <c r="S188" s="61">
        <v>937</v>
      </c>
      <c r="T188" s="62" t="s">
        <v>151</v>
      </c>
      <c r="U188" s="61">
        <v>780</v>
      </c>
      <c r="V188" s="62" t="s">
        <v>1679</v>
      </c>
      <c r="W188" s="61">
        <v>535</v>
      </c>
      <c r="X188" s="62" t="s">
        <v>1680</v>
      </c>
      <c r="Y188" s="61">
        <v>264</v>
      </c>
      <c r="Z188" s="62" t="s">
        <v>1681</v>
      </c>
      <c r="AA188" s="61">
        <v>184</v>
      </c>
      <c r="AB188" s="62" t="s">
        <v>1682</v>
      </c>
      <c r="AC188" s="61">
        <v>145</v>
      </c>
      <c r="AD188" s="62" t="s">
        <v>1683</v>
      </c>
      <c r="AE188" s="61">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8" t="s">
        <v>61</v>
      </c>
      <c r="K189" s="61">
        <v>2555</v>
      </c>
      <c r="L189" s="60" t="s">
        <v>62</v>
      </c>
      <c r="M189" s="61">
        <v>1331</v>
      </c>
      <c r="N189" s="60" t="s">
        <v>63</v>
      </c>
      <c r="O189" s="61">
        <v>780</v>
      </c>
      <c r="P189" s="62" t="s">
        <v>64</v>
      </c>
      <c r="Q189" s="61">
        <v>535</v>
      </c>
      <c r="R189" s="62" t="s">
        <v>1276</v>
      </c>
      <c r="S189" s="61">
        <v>391</v>
      </c>
      <c r="T189" s="62" t="s">
        <v>65</v>
      </c>
      <c r="U189" s="61">
        <v>264</v>
      </c>
      <c r="V189" s="62" t="s">
        <v>16</v>
      </c>
      <c r="W189" s="61">
        <v>145</v>
      </c>
      <c r="X189" s="62" t="s">
        <v>7</v>
      </c>
      <c r="Y189" s="61">
        <v>28</v>
      </c>
    </row>
    <row r="190" spans="1:35" ht="22.5" customHeight="1" thickBot="1">
      <c r="A190" s="35" t="s">
        <v>3495</v>
      </c>
      <c r="C190" s="78"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8"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8" t="s">
        <v>3512</v>
      </c>
      <c r="K191" s="61">
        <v>1961</v>
      </c>
      <c r="L191" s="60" t="s">
        <v>3513</v>
      </c>
      <c r="M191" s="61">
        <v>1567</v>
      </c>
      <c r="N191" s="60" t="s">
        <v>3514</v>
      </c>
      <c r="O191" s="61">
        <v>1016</v>
      </c>
      <c r="P191" s="62" t="s">
        <v>3515</v>
      </c>
      <c r="Q191" s="61">
        <v>622</v>
      </c>
      <c r="R191" s="62" t="s">
        <v>3516</v>
      </c>
      <c r="S191" s="61">
        <v>232</v>
      </c>
      <c r="T191" s="62" t="s">
        <v>3517</v>
      </c>
      <c r="U191" s="61">
        <v>102</v>
      </c>
      <c r="V191" s="62" t="s">
        <v>3518</v>
      </c>
      <c r="W191" s="61">
        <v>51</v>
      </c>
      <c r="X191" s="62" t="s">
        <v>3519</v>
      </c>
      <c r="Y191" s="61">
        <v>232</v>
      </c>
    </row>
    <row r="192" spans="1:35" ht="22.5" customHeight="1" thickBot="1">
      <c r="A192" s="53" t="s">
        <v>3540</v>
      </c>
      <c r="C192" s="78"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8" t="s">
        <v>3554</v>
      </c>
      <c r="K192" s="61">
        <v>2415</v>
      </c>
      <c r="L192" s="60" t="s">
        <v>3555</v>
      </c>
      <c r="M192" s="61">
        <v>1225</v>
      </c>
      <c r="N192" s="60" t="s">
        <v>3556</v>
      </c>
      <c r="O192" s="61">
        <v>497</v>
      </c>
      <c r="P192" s="62" t="s">
        <v>3557</v>
      </c>
      <c r="Q192" s="61">
        <v>248</v>
      </c>
      <c r="R192" s="62" t="s">
        <v>3558</v>
      </c>
      <c r="S192" s="61">
        <v>132</v>
      </c>
      <c r="T192" s="62" t="s">
        <v>32</v>
      </c>
      <c r="U192" s="61">
        <v>53</v>
      </c>
    </row>
    <row r="193" spans="1:33" ht="22.5" customHeight="1" thickBot="1">
      <c r="A193" s="53" t="s">
        <v>3539</v>
      </c>
      <c r="C193" s="78"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8" t="s">
        <v>3559</v>
      </c>
      <c r="K193" s="61">
        <v>1890</v>
      </c>
      <c r="L193" s="60" t="s">
        <v>3560</v>
      </c>
      <c r="M193" s="61">
        <v>945</v>
      </c>
      <c r="N193" s="60" t="s">
        <v>3561</v>
      </c>
      <c r="O193" s="61">
        <v>575</v>
      </c>
      <c r="P193" s="62" t="s">
        <v>3562</v>
      </c>
      <c r="Q193" s="61">
        <v>192</v>
      </c>
      <c r="R193" s="62" t="s">
        <v>3563</v>
      </c>
      <c r="S193" s="61">
        <v>102</v>
      </c>
      <c r="T193" s="62" t="s">
        <v>3564</v>
      </c>
      <c r="U193" s="61">
        <v>64</v>
      </c>
      <c r="V193" s="62" t="s">
        <v>3565</v>
      </c>
      <c r="W193" s="61">
        <v>192</v>
      </c>
    </row>
    <row r="194" spans="1:33" ht="22.5" customHeight="1" thickBot="1">
      <c r="A194" s="53" t="s">
        <v>3526</v>
      </c>
      <c r="C194" s="78"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9" t="s">
        <v>4007</v>
      </c>
      <c r="J194" s="58" t="s">
        <v>3571</v>
      </c>
      <c r="K194" s="61">
        <v>622</v>
      </c>
      <c r="L194" s="60" t="s">
        <v>3572</v>
      </c>
      <c r="M194" s="61">
        <v>312</v>
      </c>
      <c r="N194" s="60" t="s">
        <v>3573</v>
      </c>
      <c r="O194" s="61">
        <v>176</v>
      </c>
      <c r="P194" s="62" t="s">
        <v>3574</v>
      </c>
      <c r="Q194" s="61">
        <v>102</v>
      </c>
      <c r="R194" s="62" t="s">
        <v>3575</v>
      </c>
      <c r="S194" s="61">
        <v>51</v>
      </c>
      <c r="T194" s="62" t="s">
        <v>3576</v>
      </c>
      <c r="U194" s="61">
        <v>26</v>
      </c>
      <c r="V194" s="62" t="s">
        <v>3577</v>
      </c>
      <c r="W194" s="61">
        <v>391</v>
      </c>
      <c r="X194" s="62" t="s">
        <v>3578</v>
      </c>
      <c r="Y194" s="61">
        <v>391</v>
      </c>
      <c r="Z194" s="62" t="s">
        <v>3579</v>
      </c>
      <c r="AA194" s="61">
        <v>622</v>
      </c>
    </row>
    <row r="195" spans="1:33" ht="22.5" customHeight="1" thickBot="1">
      <c r="A195" s="35" t="s">
        <v>3566</v>
      </c>
      <c r="C195" s="78"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8" t="s">
        <v>3571</v>
      </c>
      <c r="K195" s="61">
        <v>622</v>
      </c>
      <c r="L195" s="60" t="s">
        <v>3572</v>
      </c>
      <c r="M195" s="61">
        <v>312</v>
      </c>
      <c r="N195" s="60" t="s">
        <v>3573</v>
      </c>
      <c r="O195" s="61">
        <v>176</v>
      </c>
      <c r="P195" s="62" t="s">
        <v>3574</v>
      </c>
      <c r="Q195" s="61">
        <v>102</v>
      </c>
      <c r="R195" s="62" t="s">
        <v>3575</v>
      </c>
      <c r="S195" s="61">
        <v>51</v>
      </c>
      <c r="T195" s="62" t="s">
        <v>3576</v>
      </c>
      <c r="U195" s="61">
        <v>26</v>
      </c>
      <c r="V195" s="62" t="s">
        <v>3577</v>
      </c>
      <c r="W195" s="61">
        <v>391</v>
      </c>
      <c r="X195" s="62" t="s">
        <v>3578</v>
      </c>
      <c r="Y195" s="61">
        <v>391</v>
      </c>
      <c r="Z195" s="62" t="s">
        <v>3579</v>
      </c>
      <c r="AA195" s="61">
        <v>622</v>
      </c>
    </row>
    <row r="196" spans="1:33" ht="22.5" customHeight="1" thickBot="1">
      <c r="A196" s="65"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8" t="s">
        <v>3590</v>
      </c>
      <c r="K196" s="61">
        <v>2355</v>
      </c>
      <c r="L196" s="60" t="s">
        <v>3591</v>
      </c>
      <c r="M196" s="61">
        <v>1174</v>
      </c>
      <c r="N196" s="60" t="s">
        <v>3592</v>
      </c>
      <c r="O196" s="61">
        <v>359</v>
      </c>
      <c r="P196" s="62" t="s">
        <v>239</v>
      </c>
      <c r="Q196" s="61">
        <v>240</v>
      </c>
      <c r="R196" s="62" t="s">
        <v>3593</v>
      </c>
      <c r="S196" s="61">
        <v>153</v>
      </c>
      <c r="T196" s="62" t="s">
        <v>3594</v>
      </c>
      <c r="U196" s="61">
        <v>77</v>
      </c>
      <c r="V196" s="62" t="s">
        <v>3595</v>
      </c>
      <c r="W196" s="61">
        <v>26</v>
      </c>
      <c r="X196" s="62" t="s">
        <v>3596</v>
      </c>
      <c r="Y196" s="61">
        <v>359</v>
      </c>
      <c r="Z196" s="62" t="s">
        <v>3597</v>
      </c>
      <c r="AA196" s="61">
        <v>240</v>
      </c>
      <c r="AB196" s="62" t="s">
        <v>3598</v>
      </c>
      <c r="AC196" s="61">
        <v>240</v>
      </c>
      <c r="AD196" s="62" t="s">
        <v>3599</v>
      </c>
      <c r="AE196" s="61">
        <v>128</v>
      </c>
      <c r="AF196" s="62" t="s">
        <v>3600</v>
      </c>
      <c r="AG196" s="61">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8" t="s">
        <v>235</v>
      </c>
      <c r="K197" s="61">
        <v>2355</v>
      </c>
      <c r="L197" s="60" t="s">
        <v>236</v>
      </c>
      <c r="M197" s="61">
        <v>1174</v>
      </c>
      <c r="N197" s="60" t="s">
        <v>1292</v>
      </c>
      <c r="O197" s="61">
        <v>780</v>
      </c>
      <c r="P197" s="62" t="s">
        <v>237</v>
      </c>
      <c r="Q197" s="61">
        <v>535</v>
      </c>
      <c r="R197" s="62" t="s">
        <v>1638</v>
      </c>
      <c r="S197" s="61">
        <v>391</v>
      </c>
      <c r="T197" s="62" t="s">
        <v>238</v>
      </c>
      <c r="U197" s="61">
        <v>264</v>
      </c>
      <c r="V197" s="62" t="s">
        <v>239</v>
      </c>
      <c r="W197" s="61">
        <v>145</v>
      </c>
      <c r="X197" s="62" t="s">
        <v>240</v>
      </c>
      <c r="Y197" s="61">
        <v>28</v>
      </c>
      <c r="Z197" s="62" t="s">
        <v>1313</v>
      </c>
      <c r="AA197" s="61">
        <v>780</v>
      </c>
      <c r="AB197" s="62" t="s">
        <v>3618</v>
      </c>
      <c r="AC197" s="61">
        <v>264</v>
      </c>
      <c r="AD197" s="62" t="s">
        <v>3619</v>
      </c>
      <c r="AE197" s="61">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8" t="s">
        <v>3627</v>
      </c>
      <c r="K198" s="61">
        <v>780</v>
      </c>
      <c r="L198" s="60" t="s">
        <v>3628</v>
      </c>
      <c r="M198" s="61">
        <v>232</v>
      </c>
      <c r="N198" s="60" t="s">
        <v>3629</v>
      </c>
      <c r="O198" s="61">
        <v>51</v>
      </c>
      <c r="P198" s="62" t="s">
        <v>3630</v>
      </c>
      <c r="Q198" s="61">
        <v>232</v>
      </c>
      <c r="R198" s="62" t="s">
        <v>3631</v>
      </c>
      <c r="S198" s="61">
        <v>391</v>
      </c>
      <c r="T198" s="62" t="s">
        <v>3632</v>
      </c>
      <c r="U198" s="61">
        <v>256</v>
      </c>
    </row>
    <row r="199" spans="1:33" ht="22.5" customHeight="1" thickBot="1">
      <c r="A199" s="35" t="s">
        <v>3634</v>
      </c>
      <c r="C199" s="78"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8" t="s">
        <v>3643</v>
      </c>
      <c r="K199" s="61">
        <v>2555</v>
      </c>
      <c r="L199" s="60" t="s">
        <v>3644</v>
      </c>
      <c r="M199" s="61">
        <v>2119</v>
      </c>
      <c r="N199" s="60" t="s">
        <v>3645</v>
      </c>
      <c r="O199" s="61">
        <v>1063</v>
      </c>
      <c r="P199" s="62" t="s">
        <v>3646</v>
      </c>
      <c r="Q199" s="61">
        <v>701</v>
      </c>
      <c r="R199" s="62" t="s">
        <v>3647</v>
      </c>
      <c r="S199" s="61">
        <v>312</v>
      </c>
      <c r="T199" s="62" t="s">
        <v>3648</v>
      </c>
      <c r="U199" s="61">
        <v>162</v>
      </c>
      <c r="V199" s="62" t="s">
        <v>3649</v>
      </c>
      <c r="W199" s="61">
        <v>85</v>
      </c>
      <c r="X199" s="62" t="s">
        <v>3650</v>
      </c>
      <c r="Y199" s="61">
        <v>51</v>
      </c>
      <c r="Z199" s="62" t="s">
        <v>3651</v>
      </c>
      <c r="AA199" s="61">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8" t="s">
        <v>1427</v>
      </c>
      <c r="K200" s="61">
        <v>2415</v>
      </c>
      <c r="L200" s="60" t="s">
        <v>3697</v>
      </c>
      <c r="M200" s="61">
        <v>1348</v>
      </c>
      <c r="N200" s="60" t="s">
        <v>262</v>
      </c>
      <c r="O200" s="61">
        <v>735</v>
      </c>
      <c r="P200" s="62" t="s">
        <v>3698</v>
      </c>
      <c r="Q200" s="61">
        <v>621</v>
      </c>
      <c r="R200" s="62" t="s">
        <v>279</v>
      </c>
      <c r="S200" s="61">
        <v>497</v>
      </c>
      <c r="T200" s="62" t="s">
        <v>1493</v>
      </c>
      <c r="U200" s="61">
        <v>373</v>
      </c>
      <c r="V200" s="62" t="s">
        <v>280</v>
      </c>
      <c r="W200" s="61">
        <v>248</v>
      </c>
      <c r="X200" s="62" t="s">
        <v>3699</v>
      </c>
      <c r="Y200" s="61">
        <v>199</v>
      </c>
      <c r="Z200" s="62" t="s">
        <v>281</v>
      </c>
      <c r="AA200" s="61">
        <v>132</v>
      </c>
      <c r="AB200" s="62" t="s">
        <v>3700</v>
      </c>
      <c r="AC200" s="61">
        <v>106</v>
      </c>
      <c r="AD200" s="62" t="s">
        <v>3701</v>
      </c>
      <c r="AE200" s="61">
        <v>53</v>
      </c>
      <c r="AF200" s="62" t="s">
        <v>1428</v>
      </c>
      <c r="AG200" s="61">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9" t="s">
        <v>4008</v>
      </c>
      <c r="J201" s="58" t="s">
        <v>3702</v>
      </c>
      <c r="K201" s="61">
        <v>1961</v>
      </c>
      <c r="L201" s="60" t="s">
        <v>261</v>
      </c>
      <c r="M201" s="61">
        <v>1016</v>
      </c>
      <c r="N201" s="60" t="s">
        <v>263</v>
      </c>
      <c r="O201" s="61">
        <v>622</v>
      </c>
      <c r="P201" s="62" t="s">
        <v>249</v>
      </c>
      <c r="Q201" s="61">
        <v>232</v>
      </c>
      <c r="R201" s="62" t="s">
        <v>252</v>
      </c>
      <c r="S201" s="61">
        <v>102</v>
      </c>
      <c r="T201" s="62" t="s">
        <v>253</v>
      </c>
      <c r="U201" s="61">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9" t="s">
        <v>4009</v>
      </c>
      <c r="J202" s="58" t="s">
        <v>301</v>
      </c>
      <c r="K202" s="61">
        <v>2355</v>
      </c>
      <c r="L202" s="60" t="s">
        <v>302</v>
      </c>
      <c r="M202" s="61">
        <v>1174</v>
      </c>
      <c r="N202" s="60" t="s">
        <v>262</v>
      </c>
      <c r="O202" s="61">
        <v>780</v>
      </c>
      <c r="P202" s="62" t="s">
        <v>264</v>
      </c>
      <c r="Q202" s="61">
        <v>551</v>
      </c>
      <c r="R202" s="62" t="s">
        <v>1493</v>
      </c>
      <c r="S202" s="61">
        <v>391</v>
      </c>
      <c r="T202" s="62" t="s">
        <v>303</v>
      </c>
      <c r="U202" s="61">
        <v>312</v>
      </c>
      <c r="V202" s="62" t="s">
        <v>265</v>
      </c>
      <c r="W202" s="61">
        <v>256</v>
      </c>
      <c r="X202" s="62" t="s">
        <v>251</v>
      </c>
      <c r="Y202" s="61">
        <v>128</v>
      </c>
      <c r="Z202" s="62" t="s">
        <v>252</v>
      </c>
      <c r="AA202" s="61">
        <v>102</v>
      </c>
      <c r="AB202" s="62" t="s">
        <v>266</v>
      </c>
      <c r="AC202" s="61">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8" t="s">
        <v>3703</v>
      </c>
      <c r="K203" s="61">
        <v>2555</v>
      </c>
      <c r="L203" s="60" t="s">
        <v>3704</v>
      </c>
      <c r="M203" s="61">
        <v>1331</v>
      </c>
      <c r="N203" s="60" t="s">
        <v>3705</v>
      </c>
      <c r="O203" s="61">
        <v>780</v>
      </c>
      <c r="P203" s="62" t="s">
        <v>3706</v>
      </c>
      <c r="Q203" s="61">
        <v>535</v>
      </c>
      <c r="R203" s="62" t="s">
        <v>3707</v>
      </c>
      <c r="S203" s="61">
        <v>391</v>
      </c>
      <c r="T203" s="62" t="s">
        <v>3708</v>
      </c>
      <c r="U203" s="61">
        <v>264</v>
      </c>
      <c r="V203" s="62" t="s">
        <v>3709</v>
      </c>
      <c r="W203" s="61">
        <v>232</v>
      </c>
      <c r="X203" s="62" t="s">
        <v>3710</v>
      </c>
      <c r="Y203" s="61">
        <v>208</v>
      </c>
      <c r="Z203" s="62" t="s">
        <v>3711</v>
      </c>
      <c r="AA203" s="61">
        <v>111</v>
      </c>
      <c r="AB203" s="62" t="s">
        <v>3712</v>
      </c>
      <c r="AC203" s="61">
        <v>85</v>
      </c>
    </row>
    <row r="204" spans="1:33" ht="22.5" customHeight="1" thickBot="1">
      <c r="A204" s="53" t="s">
        <v>3665</v>
      </c>
      <c r="C204" s="78" t="s">
        <v>3693</v>
      </c>
      <c r="D204" s="43" t="s">
        <v>3694</v>
      </c>
      <c r="E204" s="36" t="s">
        <v>3671</v>
      </c>
      <c r="F204" s="36" t="str">
        <f t="shared" si="6"/>
        <v>https://www.ssbuy.tw/detail_giftcode/dist/giftcodes/小兵來支援.html</v>
      </c>
      <c r="G204" s="66" t="s">
        <v>3692</v>
      </c>
      <c r="H204" s="36" t="str">
        <f t="shared" si="7"/>
        <v>https://www.ssbuy.tw/detail_giftcode/dist/gamedetail/小兵來支援.html</v>
      </c>
      <c r="I204" s="79" t="s">
        <v>4010</v>
      </c>
      <c r="J204" s="58" t="s">
        <v>3713</v>
      </c>
      <c r="K204" s="61">
        <v>2555</v>
      </c>
      <c r="L204" s="60" t="s">
        <v>3714</v>
      </c>
      <c r="M204" s="61">
        <v>1331</v>
      </c>
      <c r="N204" s="60" t="s">
        <v>3715</v>
      </c>
      <c r="O204" s="61">
        <v>535</v>
      </c>
      <c r="P204" s="62" t="s">
        <v>3716</v>
      </c>
      <c r="Q204" s="61">
        <v>145</v>
      </c>
      <c r="R204" s="62" t="s">
        <v>3717</v>
      </c>
      <c r="S204" s="61">
        <v>391</v>
      </c>
      <c r="T204" s="62" t="s">
        <v>3718</v>
      </c>
      <c r="U204" s="61">
        <v>780</v>
      </c>
      <c r="V204" s="62" t="s">
        <v>3719</v>
      </c>
      <c r="W204" s="61">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9" t="s">
        <v>4011</v>
      </c>
      <c r="J205" s="58" t="s">
        <v>1427</v>
      </c>
      <c r="K205" s="61">
        <v>2555</v>
      </c>
      <c r="L205" s="60" t="s">
        <v>278</v>
      </c>
      <c r="M205" s="61">
        <v>1331</v>
      </c>
      <c r="N205" s="60" t="s">
        <v>262</v>
      </c>
      <c r="O205" s="61">
        <v>780</v>
      </c>
      <c r="P205" s="62" t="s">
        <v>279</v>
      </c>
      <c r="Q205" s="61">
        <v>535</v>
      </c>
      <c r="R205" s="62" t="s">
        <v>1493</v>
      </c>
      <c r="S205" s="61">
        <v>391</v>
      </c>
      <c r="T205" s="62" t="s">
        <v>280</v>
      </c>
      <c r="U205" s="61">
        <v>264</v>
      </c>
      <c r="V205" s="62" t="s">
        <v>281</v>
      </c>
      <c r="W205" s="61">
        <v>145</v>
      </c>
      <c r="X205" s="62" t="s">
        <v>1428</v>
      </c>
      <c r="Y205" s="61">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9" t="s">
        <v>4012</v>
      </c>
      <c r="J206" s="58" t="s">
        <v>3720</v>
      </c>
      <c r="K206" s="61">
        <v>2363</v>
      </c>
      <c r="L206" s="60" t="s">
        <v>3721</v>
      </c>
      <c r="M206" s="61">
        <v>1182</v>
      </c>
      <c r="N206" s="60" t="s">
        <v>262</v>
      </c>
      <c r="O206" s="61">
        <v>780</v>
      </c>
      <c r="P206" s="62" t="s">
        <v>3722</v>
      </c>
      <c r="Q206" s="61">
        <v>599</v>
      </c>
      <c r="R206" s="62" t="s">
        <v>3723</v>
      </c>
      <c r="S206" s="61">
        <v>479</v>
      </c>
      <c r="T206" s="62" t="s">
        <v>3724</v>
      </c>
      <c r="U206" s="61">
        <v>359</v>
      </c>
      <c r="V206" s="62" t="s">
        <v>1458</v>
      </c>
      <c r="W206" s="61">
        <v>240</v>
      </c>
      <c r="X206" s="62" t="s">
        <v>251</v>
      </c>
      <c r="Y206" s="61">
        <v>128</v>
      </c>
    </row>
    <row r="207" spans="1:33" ht="22.5" customHeight="1" thickBot="1">
      <c r="A207" s="53" t="s">
        <v>3668</v>
      </c>
      <c r="C207" s="78"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8" t="s">
        <v>3725</v>
      </c>
      <c r="K207" s="61">
        <v>2363</v>
      </c>
      <c r="L207" s="60" t="s">
        <v>3725</v>
      </c>
      <c r="M207" s="61">
        <v>1182</v>
      </c>
      <c r="N207" s="60" t="s">
        <v>3726</v>
      </c>
      <c r="O207" s="61">
        <v>599</v>
      </c>
      <c r="P207" s="62" t="s">
        <v>3727</v>
      </c>
      <c r="Q207" s="61">
        <v>240</v>
      </c>
      <c r="R207" s="62" t="s">
        <v>3728</v>
      </c>
      <c r="S207" s="61">
        <v>128</v>
      </c>
      <c r="T207" s="62" t="s">
        <v>3729</v>
      </c>
      <c r="U207" s="61">
        <v>26</v>
      </c>
      <c r="V207" s="62" t="s">
        <v>3730</v>
      </c>
      <c r="W207" s="61">
        <v>128</v>
      </c>
      <c r="X207" s="62" t="s">
        <v>3731</v>
      </c>
      <c r="Y207" s="61">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8" t="s">
        <v>3841</v>
      </c>
      <c r="K208" s="61">
        <v>2555</v>
      </c>
      <c r="L208" s="60" t="s">
        <v>3842</v>
      </c>
      <c r="M208" s="61">
        <v>1331</v>
      </c>
      <c r="N208" s="60" t="s">
        <v>3843</v>
      </c>
      <c r="O208" s="61">
        <v>780</v>
      </c>
      <c r="P208" s="62" t="s">
        <v>3844</v>
      </c>
      <c r="Q208" s="61">
        <v>535</v>
      </c>
      <c r="R208" s="62" t="s">
        <v>3845</v>
      </c>
      <c r="S208" s="61">
        <v>264</v>
      </c>
      <c r="T208" s="62" t="s">
        <v>3846</v>
      </c>
      <c r="U208" s="61">
        <v>145</v>
      </c>
      <c r="V208" s="62" t="s">
        <v>3847</v>
      </c>
      <c r="W208" s="61">
        <v>145</v>
      </c>
    </row>
    <row r="209" spans="1:35"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8" t="s">
        <v>3826</v>
      </c>
      <c r="K209" s="61">
        <v>2555</v>
      </c>
      <c r="L209" s="60" t="s">
        <v>3827</v>
      </c>
      <c r="M209" s="61">
        <v>1331</v>
      </c>
      <c r="N209" s="60" t="s">
        <v>3828</v>
      </c>
      <c r="O209" s="61">
        <v>535</v>
      </c>
      <c r="P209" s="62" t="s">
        <v>3829</v>
      </c>
      <c r="Q209" s="61">
        <v>288</v>
      </c>
      <c r="R209" s="62" t="s">
        <v>3830</v>
      </c>
      <c r="S209" s="61">
        <v>145</v>
      </c>
      <c r="T209" s="62" t="s">
        <v>3831</v>
      </c>
      <c r="U209" s="61">
        <v>60</v>
      </c>
      <c r="V209" s="62" t="s">
        <v>3832</v>
      </c>
      <c r="W209" s="61">
        <v>28</v>
      </c>
      <c r="X209" s="62" t="s">
        <v>3833</v>
      </c>
      <c r="Y209" s="61">
        <v>145</v>
      </c>
      <c r="Z209" s="62" t="s">
        <v>3834</v>
      </c>
      <c r="AA209" s="61">
        <v>85</v>
      </c>
    </row>
    <row r="210" spans="1:35"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8" t="s">
        <v>3835</v>
      </c>
      <c r="K210" s="61">
        <v>2355</v>
      </c>
      <c r="L210" s="60" t="s">
        <v>3836</v>
      </c>
      <c r="M210" s="61">
        <v>1174</v>
      </c>
      <c r="N210" s="60" t="s">
        <v>3837</v>
      </c>
      <c r="O210" s="61">
        <v>551</v>
      </c>
      <c r="P210" s="62" t="s">
        <v>3838</v>
      </c>
      <c r="Q210" s="61">
        <v>256</v>
      </c>
      <c r="R210" s="62" t="s">
        <v>62</v>
      </c>
      <c r="S210" s="61">
        <v>102</v>
      </c>
      <c r="T210" s="62" t="s">
        <v>65</v>
      </c>
      <c r="U210" s="61">
        <v>26</v>
      </c>
      <c r="V210" s="62" t="s">
        <v>3839</v>
      </c>
      <c r="W210" s="61">
        <v>102</v>
      </c>
      <c r="X210" s="62" t="s">
        <v>3840</v>
      </c>
      <c r="Y210" s="61">
        <v>102</v>
      </c>
      <c r="Z210" s="62" t="s">
        <v>1561</v>
      </c>
      <c r="AA210" s="61">
        <v>780</v>
      </c>
    </row>
    <row r="211" spans="1:35" ht="22.5" customHeight="1" thickBot="1">
      <c r="A211" s="53" t="s">
        <v>4024</v>
      </c>
      <c r="C211" s="78"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8" t="s">
        <v>3943</v>
      </c>
      <c r="K211" s="61">
        <v>2355</v>
      </c>
      <c r="L211" s="60" t="s">
        <v>3944</v>
      </c>
      <c r="M211" s="61">
        <v>1174</v>
      </c>
      <c r="N211" s="60" t="s">
        <v>3945</v>
      </c>
      <c r="O211" s="61">
        <v>551</v>
      </c>
      <c r="P211" s="62" t="s">
        <v>3946</v>
      </c>
      <c r="Q211" s="61">
        <v>256</v>
      </c>
      <c r="R211" s="62" t="s">
        <v>3947</v>
      </c>
      <c r="S211" s="61">
        <v>128</v>
      </c>
      <c r="T211" s="62" t="s">
        <v>3948</v>
      </c>
      <c r="U211" s="61">
        <v>51</v>
      </c>
      <c r="V211" s="62" t="s">
        <v>3949</v>
      </c>
      <c r="W211" s="61">
        <v>232</v>
      </c>
    </row>
    <row r="212" spans="1:35" ht="22.5" customHeight="1" thickBot="1">
      <c r="A212" s="53" t="s">
        <v>3870</v>
      </c>
      <c r="C212" s="78"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8" t="s">
        <v>3969</v>
      </c>
      <c r="K212" s="61">
        <v>1725</v>
      </c>
      <c r="L212" s="60" t="s">
        <v>3970</v>
      </c>
      <c r="M212" s="61">
        <v>827</v>
      </c>
      <c r="N212" s="60" t="s">
        <v>3971</v>
      </c>
      <c r="O212" s="61">
        <v>471</v>
      </c>
      <c r="P212" s="62" t="s">
        <v>3972</v>
      </c>
      <c r="Q212" s="61">
        <v>216</v>
      </c>
      <c r="R212" s="62" t="s">
        <v>64</v>
      </c>
      <c r="S212" s="61">
        <v>111</v>
      </c>
      <c r="T212" s="62" t="s">
        <v>65</v>
      </c>
      <c r="U212" s="61">
        <v>60</v>
      </c>
      <c r="V212" s="62" t="s">
        <v>3949</v>
      </c>
      <c r="W212" s="61">
        <v>232</v>
      </c>
      <c r="X212" s="62" t="s">
        <v>3973</v>
      </c>
      <c r="Y212" s="61">
        <v>391</v>
      </c>
      <c r="Z212" s="61"/>
    </row>
    <row r="213" spans="1:35" ht="22.5" customHeight="1" thickBot="1">
      <c r="A213" s="53" t="s">
        <v>3871</v>
      </c>
      <c r="C213" s="78"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4" t="s">
        <v>2640</v>
      </c>
      <c r="K213" s="55" t="s">
        <v>2640</v>
      </c>
      <c r="L213" s="55" t="s">
        <v>2640</v>
      </c>
      <c r="M213" s="55" t="s">
        <v>2640</v>
      </c>
    </row>
    <row r="214" spans="1:35" ht="22.5" customHeight="1" thickBot="1">
      <c r="A214" s="53" t="s">
        <v>3916</v>
      </c>
      <c r="C214" s="78"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8" t="s">
        <v>3974</v>
      </c>
      <c r="K214" s="61">
        <v>162</v>
      </c>
      <c r="L214" s="60" t="s">
        <v>3975</v>
      </c>
      <c r="M214" s="61">
        <v>77</v>
      </c>
      <c r="N214" s="60" t="s">
        <v>3976</v>
      </c>
      <c r="O214" s="61">
        <v>77</v>
      </c>
      <c r="P214" s="62" t="s">
        <v>3977</v>
      </c>
      <c r="Q214" s="61">
        <v>77</v>
      </c>
      <c r="R214" s="62" t="s">
        <v>3978</v>
      </c>
      <c r="S214" s="61">
        <v>162</v>
      </c>
    </row>
    <row r="215" spans="1:35" ht="22.5" customHeight="1" thickBot="1">
      <c r="A215" s="53" t="s">
        <v>4000</v>
      </c>
      <c r="C215" s="78"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8" t="s">
        <v>4013</v>
      </c>
      <c r="K215" s="61">
        <v>1567</v>
      </c>
      <c r="L215" s="60" t="s">
        <v>4014</v>
      </c>
      <c r="M215" s="61">
        <v>780</v>
      </c>
      <c r="N215" s="60" t="s">
        <v>4015</v>
      </c>
      <c r="O215" s="61">
        <v>551</v>
      </c>
      <c r="P215" s="62" t="s">
        <v>4016</v>
      </c>
      <c r="Q215" s="61">
        <v>256</v>
      </c>
      <c r="R215" s="62" t="s">
        <v>4017</v>
      </c>
      <c r="S215" s="61">
        <v>162</v>
      </c>
      <c r="T215" s="62" t="s">
        <v>4018</v>
      </c>
      <c r="U215" s="61">
        <v>77</v>
      </c>
      <c r="V215" s="62" t="s">
        <v>4019</v>
      </c>
      <c r="W215" s="61">
        <v>26</v>
      </c>
      <c r="X215" s="62" t="s">
        <v>4020</v>
      </c>
      <c r="Y215" s="61">
        <v>102</v>
      </c>
      <c r="Z215" s="62" t="s">
        <v>4021</v>
      </c>
      <c r="AA215" s="61">
        <v>391</v>
      </c>
      <c r="AB215" s="62" t="s">
        <v>4022</v>
      </c>
      <c r="AC215" s="61">
        <v>256</v>
      </c>
      <c r="AD215" s="62" t="s">
        <v>4023</v>
      </c>
      <c r="AE215" s="61">
        <v>256</v>
      </c>
    </row>
    <row r="216" spans="1:35" ht="22.5" customHeight="1" thickBot="1">
      <c r="A216" s="53" t="s">
        <v>3872</v>
      </c>
      <c r="C216" s="78"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8" t="s">
        <v>4026</v>
      </c>
      <c r="K216" s="61">
        <v>2355</v>
      </c>
      <c r="L216" s="60" t="s">
        <v>4027</v>
      </c>
      <c r="M216" s="61">
        <v>1174</v>
      </c>
      <c r="N216" s="60" t="s">
        <v>4028</v>
      </c>
      <c r="O216" s="61">
        <v>780</v>
      </c>
      <c r="P216" s="62" t="s">
        <v>4029</v>
      </c>
      <c r="Q216" s="61">
        <v>391</v>
      </c>
      <c r="R216" s="62" t="s">
        <v>4030</v>
      </c>
      <c r="S216" s="61">
        <v>128</v>
      </c>
      <c r="T216" s="62" t="s">
        <v>4031</v>
      </c>
      <c r="U216" s="61">
        <v>26</v>
      </c>
      <c r="V216" s="62" t="s">
        <v>4032</v>
      </c>
      <c r="W216" s="61">
        <v>128</v>
      </c>
    </row>
    <row r="217" spans="1:35" ht="22.5" customHeight="1" thickBot="1">
      <c r="A217" s="53" t="s">
        <v>3873</v>
      </c>
      <c r="C217" s="78"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8" t="s">
        <v>4033</v>
      </c>
      <c r="K217" s="61">
        <v>2555</v>
      </c>
      <c r="L217" s="60" t="s">
        <v>13</v>
      </c>
      <c r="M217" s="61">
        <v>1292</v>
      </c>
      <c r="N217" s="60" t="s">
        <v>14</v>
      </c>
      <c r="O217" s="61">
        <v>511</v>
      </c>
      <c r="P217" s="62" t="s">
        <v>120</v>
      </c>
      <c r="Q217" s="61">
        <v>272</v>
      </c>
      <c r="R217" s="62" t="s">
        <v>16</v>
      </c>
      <c r="S217" s="61">
        <v>128</v>
      </c>
      <c r="T217" s="62" t="s">
        <v>285</v>
      </c>
      <c r="U217" s="61">
        <v>51</v>
      </c>
      <c r="V217" s="62" t="s">
        <v>4034</v>
      </c>
      <c r="W217" s="61">
        <v>77</v>
      </c>
      <c r="X217" s="62" t="s">
        <v>4035</v>
      </c>
      <c r="Y217" s="61">
        <v>128</v>
      </c>
    </row>
    <row r="218" spans="1:35" ht="22.5" customHeight="1" thickBot="1">
      <c r="A218" s="53" t="s">
        <v>3874</v>
      </c>
      <c r="C218" s="78"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8" t="s">
        <v>301</v>
      </c>
      <c r="K218" s="61">
        <v>2355</v>
      </c>
      <c r="L218" s="60" t="s">
        <v>3950</v>
      </c>
      <c r="M218" s="61">
        <v>937</v>
      </c>
      <c r="N218" s="60" t="s">
        <v>3951</v>
      </c>
      <c r="O218" s="61">
        <v>827</v>
      </c>
      <c r="P218" s="62" t="s">
        <v>3952</v>
      </c>
      <c r="Q218" s="61">
        <v>764</v>
      </c>
      <c r="R218" s="62" t="s">
        <v>3953</v>
      </c>
      <c r="S218" s="61">
        <v>583</v>
      </c>
      <c r="T218" s="62" t="s">
        <v>279</v>
      </c>
      <c r="U218" s="61">
        <v>535</v>
      </c>
      <c r="V218" s="62" t="s">
        <v>1493</v>
      </c>
      <c r="W218" s="61">
        <v>391</v>
      </c>
      <c r="X218" s="62" t="s">
        <v>3954</v>
      </c>
      <c r="Y218" s="61">
        <v>375</v>
      </c>
      <c r="Z218" s="62" t="s">
        <v>249</v>
      </c>
      <c r="AA218" s="61">
        <v>232</v>
      </c>
      <c r="AB218" s="62" t="s">
        <v>3955</v>
      </c>
      <c r="AC218" s="61">
        <v>162</v>
      </c>
    </row>
    <row r="219" spans="1:35" ht="22.5" customHeight="1" thickBot="1">
      <c r="A219" s="53" t="s">
        <v>3875</v>
      </c>
      <c r="C219" s="78"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8" t="s">
        <v>3958</v>
      </c>
      <c r="K219" s="61">
        <v>2555</v>
      </c>
      <c r="L219" s="60" t="s">
        <v>3959</v>
      </c>
      <c r="M219" s="61">
        <v>1331</v>
      </c>
      <c r="N219" s="60" t="s">
        <v>3960</v>
      </c>
      <c r="O219" s="61">
        <v>780</v>
      </c>
      <c r="P219" s="62" t="s">
        <v>3961</v>
      </c>
      <c r="Q219" s="61">
        <v>733</v>
      </c>
      <c r="R219" s="62" t="s">
        <v>3962</v>
      </c>
      <c r="S219" s="61">
        <v>685</v>
      </c>
      <c r="T219" s="62" t="s">
        <v>3963</v>
      </c>
      <c r="U219" s="61">
        <v>583</v>
      </c>
      <c r="V219" s="62" t="s">
        <v>3964</v>
      </c>
      <c r="W219" s="61">
        <v>535</v>
      </c>
      <c r="X219" s="62" t="s">
        <v>3965</v>
      </c>
      <c r="Y219" s="61">
        <v>471</v>
      </c>
      <c r="Z219" s="62" t="s">
        <v>3966</v>
      </c>
      <c r="AA219" s="61">
        <v>423</v>
      </c>
      <c r="AB219" s="62" t="s">
        <v>3967</v>
      </c>
      <c r="AC219" s="61">
        <v>391</v>
      </c>
      <c r="AD219" s="62" t="s">
        <v>3968</v>
      </c>
      <c r="AE219" s="61">
        <v>264</v>
      </c>
      <c r="AF219" s="62" t="s">
        <v>134</v>
      </c>
      <c r="AG219" s="61">
        <v>145</v>
      </c>
    </row>
    <row r="220" spans="1:35" ht="22.5" customHeight="1" thickBot="1">
      <c r="A220" s="53" t="s">
        <v>3876</v>
      </c>
      <c r="C220" s="78"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8" t="s">
        <v>189</v>
      </c>
      <c r="K220" s="61">
        <v>1638</v>
      </c>
      <c r="L220" s="60" t="s">
        <v>1268</v>
      </c>
      <c r="M220" s="61">
        <v>811</v>
      </c>
      <c r="N220" s="60" t="s">
        <v>3956</v>
      </c>
      <c r="O220" s="61">
        <v>479</v>
      </c>
      <c r="P220" s="62" t="s">
        <v>64</v>
      </c>
      <c r="Q220" s="61">
        <v>248</v>
      </c>
      <c r="R220" s="62" t="s">
        <v>139</v>
      </c>
      <c r="S220" s="61">
        <v>164</v>
      </c>
      <c r="T220" s="62" t="s">
        <v>1252</v>
      </c>
      <c r="U220" s="61">
        <v>28</v>
      </c>
      <c r="V220" s="62" t="s">
        <v>3957</v>
      </c>
      <c r="W220" s="61">
        <v>170</v>
      </c>
    </row>
    <row r="221" spans="1:35" ht="22.5" customHeight="1" thickBot="1">
      <c r="A221" s="53" t="s">
        <v>4066</v>
      </c>
      <c r="C221" s="78"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8" t="s">
        <v>4058</v>
      </c>
      <c r="K221" s="61">
        <v>2555</v>
      </c>
      <c r="L221" s="60" t="s">
        <v>4059</v>
      </c>
      <c r="M221" s="61">
        <v>1331</v>
      </c>
      <c r="N221" s="60" t="s">
        <v>4060</v>
      </c>
      <c r="O221" s="61">
        <v>535</v>
      </c>
      <c r="P221" s="62" t="s">
        <v>4061</v>
      </c>
      <c r="Q221" s="61">
        <v>264</v>
      </c>
      <c r="R221" s="62" t="s">
        <v>4062</v>
      </c>
      <c r="S221" s="61">
        <v>145</v>
      </c>
    </row>
    <row r="222" spans="1:35" ht="22.5" customHeight="1" thickBot="1">
      <c r="A222" s="53" t="s">
        <v>4067</v>
      </c>
      <c r="C222" s="78"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8" t="s">
        <v>61</v>
      </c>
      <c r="K222" s="61">
        <v>2555</v>
      </c>
      <c r="L222" s="60" t="s">
        <v>62</v>
      </c>
      <c r="M222" s="61">
        <v>1331</v>
      </c>
      <c r="N222" s="60" t="s">
        <v>63</v>
      </c>
      <c r="O222" s="61">
        <v>780</v>
      </c>
      <c r="P222" s="62" t="s">
        <v>1276</v>
      </c>
      <c r="Q222" s="61">
        <v>391</v>
      </c>
      <c r="R222" s="62" t="s">
        <v>16</v>
      </c>
      <c r="S222" s="61">
        <v>145</v>
      </c>
      <c r="T222" s="62" t="s">
        <v>7</v>
      </c>
      <c r="U222" s="61">
        <v>28</v>
      </c>
    </row>
    <row r="223" spans="1:35" ht="22.5" customHeight="1" thickBot="1">
      <c r="A223" s="53" t="s">
        <v>4068</v>
      </c>
      <c r="C223" s="78"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8" t="s">
        <v>4080</v>
      </c>
      <c r="K223" s="61">
        <v>2555</v>
      </c>
      <c r="L223" s="60" t="s">
        <v>4081</v>
      </c>
      <c r="M223" s="61">
        <v>1300</v>
      </c>
      <c r="N223" s="60" t="s">
        <v>4082</v>
      </c>
      <c r="O223" s="61">
        <v>788</v>
      </c>
      <c r="P223" s="62" t="s">
        <v>235</v>
      </c>
      <c r="Q223" s="61">
        <v>2555</v>
      </c>
      <c r="R223" s="62" t="s">
        <v>236</v>
      </c>
      <c r="S223" s="61">
        <v>1300</v>
      </c>
      <c r="T223" s="62" t="s">
        <v>1292</v>
      </c>
      <c r="U223" s="61">
        <v>788</v>
      </c>
      <c r="V223" s="62" t="s">
        <v>237</v>
      </c>
      <c r="W223" s="61">
        <v>535</v>
      </c>
      <c r="X223" s="62" t="s">
        <v>238</v>
      </c>
      <c r="Y223" s="61">
        <v>264</v>
      </c>
      <c r="Z223" s="62" t="s">
        <v>239</v>
      </c>
      <c r="AA223" s="61">
        <v>145</v>
      </c>
      <c r="AB223" s="62" t="s">
        <v>240</v>
      </c>
      <c r="AC223" s="61">
        <v>28</v>
      </c>
      <c r="AD223" s="62" t="s">
        <v>176</v>
      </c>
      <c r="AE223" s="61">
        <v>85</v>
      </c>
      <c r="AF223" s="62" t="s">
        <v>176</v>
      </c>
      <c r="AG223" s="61">
        <v>85</v>
      </c>
      <c r="AH223" s="82" t="s">
        <v>5422</v>
      </c>
      <c r="AI223" s="85" t="s">
        <v>5451</v>
      </c>
    </row>
    <row r="224" spans="1:35" ht="22.5" customHeight="1" thickBot="1">
      <c r="A224" s="53" t="s">
        <v>4083</v>
      </c>
      <c r="C224" s="78"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8" t="s">
        <v>12</v>
      </c>
      <c r="K224" s="61">
        <v>2555</v>
      </c>
      <c r="L224" s="60" t="s">
        <v>13</v>
      </c>
      <c r="M224" s="61">
        <v>1331</v>
      </c>
      <c r="N224" s="60" t="s">
        <v>14</v>
      </c>
      <c r="O224" s="61">
        <v>551</v>
      </c>
      <c r="P224" s="62" t="s">
        <v>120</v>
      </c>
      <c r="Q224" s="61">
        <v>264</v>
      </c>
      <c r="R224" s="62" t="s">
        <v>16</v>
      </c>
      <c r="S224" s="61">
        <v>145</v>
      </c>
      <c r="T224" s="62" t="s">
        <v>7</v>
      </c>
      <c r="U224" s="61">
        <v>28</v>
      </c>
      <c r="V224" s="82" t="s">
        <v>5422</v>
      </c>
      <c r="W224" s="85" t="s">
        <v>5451</v>
      </c>
    </row>
    <row r="225" spans="1:35" ht="22.5" customHeight="1" thickBot="1">
      <c r="A225" s="65" t="s">
        <v>4124</v>
      </c>
      <c r="C225" s="78"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4" t="s">
        <v>2640</v>
      </c>
      <c r="K225" s="55" t="s">
        <v>2640</v>
      </c>
      <c r="L225" s="55" t="s">
        <v>2640</v>
      </c>
      <c r="M225" s="55" t="s">
        <v>2640</v>
      </c>
      <c r="N225" s="55" t="s">
        <v>2640</v>
      </c>
      <c r="O225" s="55" t="s">
        <v>2640</v>
      </c>
    </row>
    <row r="226" spans="1:35" ht="22.5" customHeight="1" thickBot="1">
      <c r="A226" s="65"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8" t="s">
        <v>4125</v>
      </c>
      <c r="K226" s="61">
        <v>171</v>
      </c>
      <c r="L226" s="60" t="s">
        <v>4126</v>
      </c>
      <c r="M226" s="61">
        <v>612</v>
      </c>
      <c r="N226" s="60" t="s">
        <v>4127</v>
      </c>
      <c r="O226" s="61">
        <v>2286</v>
      </c>
      <c r="P226" s="62" t="s">
        <v>4128</v>
      </c>
      <c r="Q226" s="61">
        <v>1139</v>
      </c>
      <c r="R226" s="62" t="s">
        <v>4129</v>
      </c>
      <c r="S226" s="61">
        <v>535</v>
      </c>
      <c r="T226" s="62" t="s">
        <v>4130</v>
      </c>
      <c r="U226" s="61">
        <v>124</v>
      </c>
      <c r="V226" s="82" t="s">
        <v>5422</v>
      </c>
      <c r="W226" s="85" t="s">
        <v>5451</v>
      </c>
    </row>
    <row r="227" spans="1:35" ht="22.5" customHeight="1" thickBot="1">
      <c r="A227" s="35" t="s">
        <v>4113</v>
      </c>
      <c r="C227" s="78"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8" t="s">
        <v>12</v>
      </c>
      <c r="K227" s="61">
        <v>2479</v>
      </c>
      <c r="L227" s="60" t="s">
        <v>13</v>
      </c>
      <c r="M227" s="61">
        <v>1292</v>
      </c>
      <c r="N227" s="60" t="s">
        <v>24</v>
      </c>
      <c r="O227" s="61">
        <v>757</v>
      </c>
      <c r="P227" s="62" t="s">
        <v>14</v>
      </c>
      <c r="Q227" s="61">
        <v>519</v>
      </c>
      <c r="R227" s="62" t="s">
        <v>120</v>
      </c>
      <c r="S227" s="61">
        <v>256</v>
      </c>
      <c r="T227" s="62" t="s">
        <v>16</v>
      </c>
      <c r="U227" s="61">
        <v>140</v>
      </c>
      <c r="V227" s="62" t="s">
        <v>7</v>
      </c>
      <c r="W227" s="61">
        <v>27</v>
      </c>
      <c r="X227" s="62" t="s">
        <v>4131</v>
      </c>
      <c r="Y227" s="61">
        <v>256</v>
      </c>
      <c r="Z227" s="62" t="s">
        <v>4132</v>
      </c>
      <c r="AA227" s="61">
        <v>757</v>
      </c>
      <c r="AB227" s="62" t="s">
        <v>4133</v>
      </c>
      <c r="AC227" s="61">
        <v>380</v>
      </c>
      <c r="AD227" s="62" t="s">
        <v>4134</v>
      </c>
      <c r="AE227" s="61">
        <v>519</v>
      </c>
      <c r="AF227" s="82" t="s">
        <v>5422</v>
      </c>
      <c r="AG227" s="85" t="s">
        <v>5451</v>
      </c>
    </row>
    <row r="228" spans="1:35" ht="22.5" customHeight="1" thickBot="1">
      <c r="A228" s="35" t="s">
        <v>4122</v>
      </c>
      <c r="C228" s="78"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8" t="s">
        <v>1660</v>
      </c>
      <c r="K228" s="61">
        <v>2487</v>
      </c>
      <c r="L228" s="60" t="s">
        <v>1661</v>
      </c>
      <c r="M228" s="61">
        <v>1261</v>
      </c>
      <c r="N228" s="60" t="s">
        <v>4135</v>
      </c>
      <c r="O228" s="61">
        <v>1009</v>
      </c>
      <c r="P228" s="62" t="s">
        <v>4136</v>
      </c>
      <c r="Q228" s="61">
        <v>887</v>
      </c>
      <c r="R228" s="62" t="s">
        <v>4137</v>
      </c>
      <c r="S228" s="61">
        <v>631</v>
      </c>
      <c r="T228" s="62" t="s">
        <v>1663</v>
      </c>
      <c r="U228" s="61">
        <v>512</v>
      </c>
      <c r="V228" s="62" t="s">
        <v>1666</v>
      </c>
      <c r="W228" s="61">
        <v>256</v>
      </c>
      <c r="X228" s="62" t="s">
        <v>1667</v>
      </c>
      <c r="Y228" s="61">
        <v>136</v>
      </c>
      <c r="Z228" s="62" t="s">
        <v>4138</v>
      </c>
      <c r="AA228" s="61">
        <v>57</v>
      </c>
      <c r="AB228" s="62" t="s">
        <v>1668</v>
      </c>
      <c r="AC228" s="61">
        <v>27</v>
      </c>
      <c r="AD228" s="82" t="s">
        <v>5422</v>
      </c>
      <c r="AE228" s="85" t="s">
        <v>5451</v>
      </c>
    </row>
    <row r="229" spans="1:35" ht="22.5" customHeight="1" thickBot="1">
      <c r="A229" s="53" t="s">
        <v>4246</v>
      </c>
      <c r="C229" s="78"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5" t="s">
        <v>5133</v>
      </c>
      <c r="J229" s="58" t="s">
        <v>3720</v>
      </c>
      <c r="K229" s="61">
        <v>2293</v>
      </c>
      <c r="L229" s="60" t="s">
        <v>4199</v>
      </c>
      <c r="M229" s="61">
        <v>1529</v>
      </c>
      <c r="N229" s="60" t="s">
        <v>4200</v>
      </c>
      <c r="O229" s="61">
        <v>764</v>
      </c>
      <c r="P229" s="62" t="s">
        <v>262</v>
      </c>
      <c r="Q229" s="61">
        <v>757</v>
      </c>
      <c r="R229" s="62" t="s">
        <v>4194</v>
      </c>
      <c r="S229" s="61">
        <v>388</v>
      </c>
      <c r="T229" s="62" t="s">
        <v>4195</v>
      </c>
      <c r="U229" s="61">
        <v>372</v>
      </c>
      <c r="V229" s="62" t="s">
        <v>4196</v>
      </c>
      <c r="W229" s="61">
        <v>271</v>
      </c>
      <c r="X229" s="62" t="s">
        <v>265</v>
      </c>
      <c r="Y229" s="61">
        <v>248</v>
      </c>
      <c r="Z229" s="62" t="s">
        <v>4197</v>
      </c>
      <c r="AA229" s="61">
        <v>202</v>
      </c>
      <c r="AB229" s="62" t="s">
        <v>4198</v>
      </c>
      <c r="AC229" s="61">
        <v>132</v>
      </c>
      <c r="AD229" s="82" t="s">
        <v>5422</v>
      </c>
      <c r="AE229" s="85" t="s">
        <v>5451</v>
      </c>
    </row>
    <row r="230" spans="1:35" ht="22.5" customHeight="1" thickBot="1">
      <c r="A230" s="53" t="s">
        <v>5125</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5" t="s">
        <v>5134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c r="AH230" s="82" t="s">
        <v>5422</v>
      </c>
      <c r="AI230" s="85" t="s">
        <v>5451</v>
      </c>
    </row>
    <row r="231" spans="1:35" ht="22.5" customHeight="1" thickBot="1">
      <c r="A231" s="53" t="s">
        <v>5126</v>
      </c>
      <c r="C231" s="78"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5" t="s">
        <v>5135</v>
      </c>
      <c r="J231" s="58" t="s">
        <v>4159</v>
      </c>
      <c r="K231" s="61">
        <v>2286</v>
      </c>
      <c r="L231" s="60" t="s">
        <v>4160</v>
      </c>
      <c r="M231" s="61">
        <v>1521</v>
      </c>
      <c r="N231" s="60" t="s">
        <v>4161</v>
      </c>
      <c r="O231" s="61">
        <v>612</v>
      </c>
      <c r="P231" s="62" t="s">
        <v>4162</v>
      </c>
      <c r="Q231" s="61">
        <v>380</v>
      </c>
      <c r="R231" s="62" t="s">
        <v>1461</v>
      </c>
      <c r="S231" s="61">
        <v>248</v>
      </c>
      <c r="T231" s="62" t="s">
        <v>4163</v>
      </c>
      <c r="U231" s="61">
        <v>50</v>
      </c>
      <c r="V231" s="62" t="s">
        <v>4164</v>
      </c>
      <c r="W231" s="61">
        <v>612</v>
      </c>
      <c r="X231" s="62" t="s">
        <v>4165</v>
      </c>
      <c r="Y231" s="61">
        <v>302</v>
      </c>
      <c r="Z231" s="62" t="s">
        <v>4166</v>
      </c>
      <c r="AA231" s="61">
        <v>535</v>
      </c>
      <c r="AB231" s="82" t="s">
        <v>5422</v>
      </c>
      <c r="AC231" s="85" t="s">
        <v>5451</v>
      </c>
    </row>
    <row r="232" spans="1:35" ht="22.5" customHeight="1" thickBot="1">
      <c r="A232" s="53" t="s">
        <v>4243</v>
      </c>
      <c r="C232" s="78"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5" t="s">
        <v>5136</v>
      </c>
      <c r="J232" s="58" t="s">
        <v>4167</v>
      </c>
      <c r="K232" s="61">
        <v>1521</v>
      </c>
      <c r="L232" s="60" t="s">
        <v>4168</v>
      </c>
      <c r="M232" s="61">
        <v>986</v>
      </c>
      <c r="N232" s="60" t="s">
        <v>1320</v>
      </c>
      <c r="O232" s="61">
        <v>380</v>
      </c>
      <c r="P232" s="62" t="s">
        <v>4169</v>
      </c>
      <c r="Q232" s="61">
        <v>248</v>
      </c>
      <c r="R232" s="62" t="s">
        <v>4170</v>
      </c>
      <c r="S232" s="61">
        <v>99</v>
      </c>
      <c r="T232" s="62" t="s">
        <v>3628</v>
      </c>
      <c r="U232" s="61">
        <v>25</v>
      </c>
      <c r="V232" s="62" t="s">
        <v>4171</v>
      </c>
      <c r="W232" s="61">
        <v>780</v>
      </c>
      <c r="X232" s="62" t="s">
        <v>4172</v>
      </c>
      <c r="Y232" s="61">
        <v>157</v>
      </c>
      <c r="Z232" s="62" t="s">
        <v>4173</v>
      </c>
      <c r="AA232" s="61">
        <v>248</v>
      </c>
      <c r="AB232" s="62" t="s">
        <v>4174</v>
      </c>
      <c r="AC232" s="61">
        <v>279</v>
      </c>
      <c r="AD232" s="82" t="s">
        <v>5422</v>
      </c>
      <c r="AE232" s="85" t="s">
        <v>5451</v>
      </c>
    </row>
    <row r="233" spans="1:35" ht="22.5" customHeight="1" thickBot="1">
      <c r="A233" s="53" t="s">
        <v>4201</v>
      </c>
      <c r="C233" s="78"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5" t="s">
        <v>5137</v>
      </c>
      <c r="J233" s="58" t="s">
        <v>4175</v>
      </c>
      <c r="K233" s="61">
        <v>171</v>
      </c>
    </row>
    <row r="234" spans="1:35" ht="22.5" customHeight="1" thickBot="1">
      <c r="A234" s="53" t="s">
        <v>4247</v>
      </c>
      <c r="C234" s="78"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c r="AD234" s="82" t="s">
        <v>5422</v>
      </c>
      <c r="AE234" s="85" t="s">
        <v>5451</v>
      </c>
    </row>
    <row r="235" spans="1:35"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c r="AB235" s="82" t="s">
        <v>5422</v>
      </c>
      <c r="AC235" s="85" t="s">
        <v>5451</v>
      </c>
    </row>
    <row r="236" spans="1:35"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c r="AF236" s="82" t="s">
        <v>5422</v>
      </c>
      <c r="AG236" s="85" t="s">
        <v>5451</v>
      </c>
    </row>
    <row r="237" spans="1:35"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c r="AD237" s="82" t="s">
        <v>5422</v>
      </c>
      <c r="AE237" s="85" t="s">
        <v>5451</v>
      </c>
    </row>
    <row r="238" spans="1:35"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c r="X238" s="82" t="s">
        <v>5422</v>
      </c>
      <c r="Y238" s="85" t="s">
        <v>5451</v>
      </c>
    </row>
    <row r="239" spans="1:35"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c r="AB239" s="82" t="s">
        <v>5422</v>
      </c>
      <c r="AC239" s="85" t="s">
        <v>5451</v>
      </c>
    </row>
    <row r="240" spans="1:35" ht="22.5" customHeight="1" thickBot="1">
      <c r="A240" s="80"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c r="V240" s="82" t="s">
        <v>5422</v>
      </c>
      <c r="W240" s="85" t="s">
        <v>5451</v>
      </c>
    </row>
    <row r="241" spans="1:33"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5" t="s">
        <v>5138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c r="AB241" s="82" t="s">
        <v>5422</v>
      </c>
      <c r="AC241" s="85" t="s">
        <v>5451</v>
      </c>
    </row>
    <row r="242" spans="1:33"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5" t="s">
        <v>5139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c r="X242" s="82" t="s">
        <v>5422</v>
      </c>
      <c r="Y242" s="85" t="s">
        <v>5451</v>
      </c>
    </row>
    <row r="243" spans="1:33"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5" t="s">
        <v>5140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c r="AB243" s="82" t="s">
        <v>5422</v>
      </c>
      <c r="AC243" s="85" t="s">
        <v>5451</v>
      </c>
    </row>
    <row r="244" spans="1:33" ht="22.5" customHeight="1" thickBot="1">
      <c r="A244" s="53" t="s">
        <v>5127</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5" t="s">
        <v>5141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c r="AD244" s="82" t="s">
        <v>5422</v>
      </c>
      <c r="AE244" s="85" t="s">
        <v>5451</v>
      </c>
    </row>
    <row r="245" spans="1:33" ht="22.5" customHeight="1" thickBot="1">
      <c r="A245" s="53" t="s">
        <v>5128</v>
      </c>
      <c r="C245" s="78"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c r="X245" s="82" t="s">
        <v>5422</v>
      </c>
      <c r="Y245" s="85" t="s">
        <v>5451</v>
      </c>
    </row>
    <row r="246" spans="1:33"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5129</v>
      </c>
      <c r="K246" s="50">
        <v>1139</v>
      </c>
      <c r="L246" s="51" t="s">
        <v>4497</v>
      </c>
      <c r="M246" s="50">
        <v>225</v>
      </c>
      <c r="N246" s="51" t="s">
        <v>4498</v>
      </c>
      <c r="O246" s="50">
        <v>99</v>
      </c>
      <c r="P246" s="51" t="s">
        <v>4499</v>
      </c>
      <c r="Q246" s="50">
        <v>25</v>
      </c>
      <c r="R246" s="82" t="s">
        <v>5422</v>
      </c>
      <c r="S246" s="85" t="s">
        <v>5451</v>
      </c>
    </row>
    <row r="247" spans="1:33"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c r="X247" s="82" t="s">
        <v>5422</v>
      </c>
      <c r="Y247" s="85" t="s">
        <v>5451</v>
      </c>
    </row>
    <row r="248" spans="1:33"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c r="AB248" s="82" t="s">
        <v>5422</v>
      </c>
      <c r="AC248" s="85" t="s">
        <v>5451</v>
      </c>
    </row>
    <row r="249" spans="1:33"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c r="Z249" s="82" t="s">
        <v>5422</v>
      </c>
      <c r="AA249" s="85" t="s">
        <v>5451</v>
      </c>
    </row>
    <row r="250" spans="1:33" ht="22.5" customHeight="1" thickBot="1">
      <c r="A250" s="53" t="s">
        <v>4536</v>
      </c>
      <c r="C250" s="78"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c r="X250" s="82" t="s">
        <v>5422</v>
      </c>
      <c r="Y250" s="85" t="s">
        <v>5451</v>
      </c>
    </row>
    <row r="251" spans="1:33" ht="22.5" customHeight="1" thickBot="1">
      <c r="A251" s="53" t="s">
        <v>4537</v>
      </c>
      <c r="C251" s="78"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c r="V251" s="82" t="s">
        <v>5422</v>
      </c>
      <c r="W251" s="85" t="s">
        <v>5451</v>
      </c>
    </row>
    <row r="252" spans="1:33" ht="22.5" customHeight="1" thickBot="1">
      <c r="A252" s="53" t="s">
        <v>4550</v>
      </c>
      <c r="C252" s="78"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c r="AD252" s="82" t="s">
        <v>5422</v>
      </c>
      <c r="AE252" s="85" t="s">
        <v>5451</v>
      </c>
    </row>
    <row r="253" spans="1:33" ht="22.5" customHeight="1" thickBot="1">
      <c r="A253" s="53" t="s">
        <v>4618</v>
      </c>
      <c r="C253" s="78"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c r="AF253" s="82" t="s">
        <v>5422</v>
      </c>
      <c r="AG253" s="85" t="s">
        <v>5451</v>
      </c>
    </row>
    <row r="254" spans="1:33" ht="22.5" customHeight="1" thickBot="1">
      <c r="A254" s="53" t="s">
        <v>4619</v>
      </c>
      <c r="C254" s="78"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5130</v>
      </c>
      <c r="Q254" s="53">
        <v>194</v>
      </c>
      <c r="R254" s="51" t="s">
        <v>4657</v>
      </c>
      <c r="S254" s="53">
        <v>74</v>
      </c>
      <c r="T254" s="51" t="s">
        <v>4658</v>
      </c>
      <c r="U254" s="53">
        <v>17</v>
      </c>
      <c r="V254" s="51" t="s">
        <v>4659</v>
      </c>
      <c r="W254" s="53">
        <v>194</v>
      </c>
      <c r="X254" s="51" t="s">
        <v>4660</v>
      </c>
      <c r="Y254" s="53">
        <v>74</v>
      </c>
      <c r="Z254" s="82" t="s">
        <v>5422</v>
      </c>
      <c r="AA254" s="85" t="s">
        <v>5451</v>
      </c>
    </row>
    <row r="255" spans="1:33" ht="22.5" customHeight="1" thickBot="1">
      <c r="A255" s="53" t="s">
        <v>4682</v>
      </c>
      <c r="C255" s="78"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c r="X255" s="82" t="s">
        <v>5422</v>
      </c>
      <c r="Y255" s="85" t="s">
        <v>5451</v>
      </c>
    </row>
    <row r="256" spans="1:33" ht="22.5" customHeight="1" thickBot="1">
      <c r="A256" s="53" t="s">
        <v>4665</v>
      </c>
      <c r="C256" s="78"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c r="X256" s="82" t="s">
        <v>5422</v>
      </c>
      <c r="Y256" s="85" t="s">
        <v>5451</v>
      </c>
    </row>
    <row r="257" spans="1:35" ht="22.5" customHeight="1" thickBot="1">
      <c r="A257" s="53" t="s">
        <v>4666</v>
      </c>
      <c r="C257" s="78"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c r="AD257" s="82" t="s">
        <v>5422</v>
      </c>
      <c r="AE257" s="85" t="s">
        <v>5451</v>
      </c>
    </row>
    <row r="258" spans="1:35" ht="22.5" customHeight="1" thickBot="1">
      <c r="A258" s="53" t="s">
        <v>4667</v>
      </c>
      <c r="C258" s="78"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c r="AF258" s="82" t="s">
        <v>5422</v>
      </c>
      <c r="AG258" s="85" t="s">
        <v>5451</v>
      </c>
    </row>
    <row r="259" spans="1:35" ht="22.5" customHeight="1" thickBot="1">
      <c r="A259" s="65" t="s">
        <v>4726</v>
      </c>
      <c r="C259" s="78"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c r="AB259" s="82" t="s">
        <v>5422</v>
      </c>
      <c r="AC259" s="85" t="s">
        <v>5451</v>
      </c>
    </row>
    <row r="260" spans="1:35" ht="22.5" customHeight="1" thickBot="1">
      <c r="A260" s="65" t="s">
        <v>4767</v>
      </c>
      <c r="C260" s="35" t="s">
        <v>4761</v>
      </c>
      <c r="D260" s="78"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c r="AD260" s="82" t="s">
        <v>5422</v>
      </c>
      <c r="AE260" s="85" t="s">
        <v>5451</v>
      </c>
    </row>
    <row r="261" spans="1:35" ht="22.5" customHeight="1" thickBot="1">
      <c r="A261" s="53" t="s">
        <v>4733</v>
      </c>
      <c r="C261" s="78"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c r="Z261" s="82" t="s">
        <v>5422</v>
      </c>
      <c r="AA261" s="85" t="s">
        <v>5451</v>
      </c>
    </row>
    <row r="262" spans="1:35"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c r="V262" s="82" t="s">
        <v>5422</v>
      </c>
      <c r="W262" s="85" t="s">
        <v>5451</v>
      </c>
    </row>
    <row r="263" spans="1:35" ht="22.5" customHeight="1" thickBot="1">
      <c r="A263" s="65" t="s">
        <v>5131</v>
      </c>
      <c r="C263" s="78"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4855</v>
      </c>
      <c r="K263" s="53">
        <v>2371</v>
      </c>
      <c r="L263" s="51" t="s">
        <v>4856</v>
      </c>
      <c r="M263" s="53">
        <v>1204</v>
      </c>
      <c r="N263" s="51" t="s">
        <v>4857</v>
      </c>
      <c r="O263" s="53">
        <v>563</v>
      </c>
      <c r="P263" s="51" t="s">
        <v>4858</v>
      </c>
      <c r="Q263" s="53">
        <v>261</v>
      </c>
      <c r="R263" s="51" t="s">
        <v>4859</v>
      </c>
      <c r="S263" s="53">
        <v>128</v>
      </c>
      <c r="T263" s="51" t="s">
        <v>4860</v>
      </c>
      <c r="U263" s="53">
        <v>26</v>
      </c>
      <c r="V263" s="51" t="s">
        <v>4861</v>
      </c>
      <c r="W263" s="53">
        <v>400</v>
      </c>
      <c r="X263" s="51" t="s">
        <v>4862</v>
      </c>
      <c r="Y263" s="53">
        <v>128</v>
      </c>
      <c r="Z263" s="51" t="s">
        <v>4863</v>
      </c>
      <c r="AA263" s="53">
        <v>2371</v>
      </c>
      <c r="AB263" s="51" t="s">
        <v>4864</v>
      </c>
      <c r="AC263" s="53">
        <v>1204</v>
      </c>
      <c r="AD263" s="51" t="s">
        <v>4865</v>
      </c>
      <c r="AE263" s="53">
        <v>400</v>
      </c>
      <c r="AF263" s="51" t="s">
        <v>4866</v>
      </c>
      <c r="AG263" s="53">
        <v>26</v>
      </c>
      <c r="AH263" s="82" t="s">
        <v>5422</v>
      </c>
      <c r="AI263" s="85" t="s">
        <v>5451</v>
      </c>
    </row>
    <row r="264" spans="1:35"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5" ht="22.5" customHeight="1" thickBot="1">
      <c r="A265" s="53" t="s">
        <v>4807</v>
      </c>
      <c r="C265" s="78"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5" t="s">
        <v>5142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4867</v>
      </c>
      <c r="W265" s="53">
        <v>247</v>
      </c>
      <c r="X265" s="51" t="s">
        <v>196</v>
      </c>
      <c r="Y265" s="53">
        <v>261</v>
      </c>
      <c r="Z265" s="51" t="s">
        <v>4833</v>
      </c>
      <c r="AA265" s="53">
        <v>162</v>
      </c>
      <c r="AB265" s="51" t="s">
        <v>4832</v>
      </c>
      <c r="AC265" s="53">
        <v>162</v>
      </c>
      <c r="AD265" s="82" t="s">
        <v>5422</v>
      </c>
      <c r="AE265" s="85" t="s">
        <v>5451</v>
      </c>
    </row>
    <row r="266" spans="1:35" ht="22.5" customHeight="1" thickBot="1">
      <c r="A266" s="53" t="s">
        <v>4819</v>
      </c>
      <c r="C266" s="78"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c r="Z266" s="82" t="s">
        <v>5422</v>
      </c>
      <c r="AA266" s="85" t="s">
        <v>5451</v>
      </c>
    </row>
    <row r="267" spans="1:35" ht="22.5" customHeight="1" thickBot="1">
      <c r="A267" s="53" t="s">
        <v>4808</v>
      </c>
      <c r="C267" s="78"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4916</v>
      </c>
      <c r="K267" s="53">
        <v>2371</v>
      </c>
      <c r="L267" s="51" t="s">
        <v>4917</v>
      </c>
      <c r="M267" s="53">
        <v>1204</v>
      </c>
      <c r="N267" s="51" t="s">
        <v>4918</v>
      </c>
      <c r="O267" s="53">
        <v>807</v>
      </c>
      <c r="P267" s="51" t="s">
        <v>4919</v>
      </c>
      <c r="Q267" s="53">
        <v>530</v>
      </c>
      <c r="R267" s="51" t="s">
        <v>4920</v>
      </c>
      <c r="S267" s="53">
        <v>294</v>
      </c>
      <c r="T267" s="51" t="s">
        <v>4921</v>
      </c>
      <c r="U267" s="53">
        <v>136</v>
      </c>
      <c r="V267" s="51" t="s">
        <v>4922</v>
      </c>
      <c r="W267" s="53">
        <v>29</v>
      </c>
      <c r="X267" s="51" t="s">
        <v>4923</v>
      </c>
      <c r="Y267" s="53">
        <v>136</v>
      </c>
      <c r="Z267" s="51" t="s">
        <v>4924</v>
      </c>
      <c r="AA267" s="53">
        <v>136</v>
      </c>
      <c r="AB267" s="51" t="s">
        <v>4925</v>
      </c>
      <c r="AC267" s="53">
        <v>196</v>
      </c>
      <c r="AD267" s="82" t="s">
        <v>5422</v>
      </c>
      <c r="AE267" s="85" t="s">
        <v>5451</v>
      </c>
    </row>
    <row r="268" spans="1:35" ht="22.5" customHeight="1" thickBot="1">
      <c r="A268" s="53" t="s">
        <v>4893</v>
      </c>
      <c r="C268" s="78" t="s">
        <v>4895</v>
      </c>
      <c r="D268" s="43" t="s">
        <v>4878</v>
      </c>
      <c r="E268" s="43" t="s">
        <v>4879</v>
      </c>
      <c r="F268" s="35" t="str">
        <f t="shared" ref="F268:F311" si="12">IF(A268="", "", "gift-codes.html?game=" &amp; A268)</f>
        <v>gift-codes.html?game=我的花園世界</v>
      </c>
      <c r="G268" s="43" t="s">
        <v>4894</v>
      </c>
      <c r="H268" s="36" t="str">
        <f t="shared" si="11"/>
        <v>https://www.ssbuy.tw/detail_giftcode/dist/gamedetail/我的花園世界.html</v>
      </c>
      <c r="I268" s="37" t="s">
        <v>4896</v>
      </c>
      <c r="J268" s="51" t="s">
        <v>4888</v>
      </c>
      <c r="K268" s="53">
        <v>2609</v>
      </c>
      <c r="L268" s="51" t="s">
        <v>204</v>
      </c>
      <c r="M268" s="53">
        <v>1365</v>
      </c>
      <c r="N268" s="51" t="s">
        <v>4889</v>
      </c>
      <c r="O268" s="53">
        <v>807</v>
      </c>
      <c r="P268" s="51" t="s">
        <v>4447</v>
      </c>
      <c r="Q268" s="53">
        <v>546</v>
      </c>
      <c r="R268" s="51" t="s">
        <v>4890</v>
      </c>
      <c r="S268" s="53">
        <v>400</v>
      </c>
      <c r="T268" s="51" t="s">
        <v>205</v>
      </c>
      <c r="U268" s="53">
        <v>269</v>
      </c>
      <c r="V268" s="51" t="s">
        <v>239</v>
      </c>
      <c r="W268" s="53">
        <v>145</v>
      </c>
      <c r="X268" s="51" t="s">
        <v>240</v>
      </c>
      <c r="Y268" s="53">
        <v>29</v>
      </c>
      <c r="Z268" s="51" t="s">
        <v>4891</v>
      </c>
      <c r="AA268" s="53">
        <v>29</v>
      </c>
      <c r="AB268" s="51" t="s">
        <v>4892</v>
      </c>
      <c r="AC268" s="53">
        <v>145</v>
      </c>
      <c r="AD268" s="82" t="s">
        <v>5422</v>
      </c>
      <c r="AE268" s="85" t="s">
        <v>5451</v>
      </c>
    </row>
    <row r="269" spans="1:35" ht="22.5" customHeight="1" thickBot="1">
      <c r="A269" s="53" t="s">
        <v>4926</v>
      </c>
      <c r="C269" s="78" t="s">
        <v>4931</v>
      </c>
      <c r="D269" s="36" t="s">
        <v>4933</v>
      </c>
      <c r="E269" s="36" t="s">
        <v>4932</v>
      </c>
      <c r="F269" s="35" t="str">
        <f t="shared" si="12"/>
        <v>gift-codes.html?game=Awakenloop</v>
      </c>
      <c r="G269" s="36" t="s">
        <v>4934</v>
      </c>
      <c r="H269" s="36" t="str">
        <f t="shared" si="11"/>
        <v>https://www.ssbuy.tw/detail_giftcode/dist/gamedetail/Awakenloop.html</v>
      </c>
      <c r="I269" s="37" t="s">
        <v>4950</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4968</v>
      </c>
      <c r="Y269" s="53">
        <v>52</v>
      </c>
      <c r="Z269" s="51" t="s">
        <v>4841</v>
      </c>
      <c r="AA269" s="53">
        <v>26</v>
      </c>
      <c r="AB269" s="82" t="s">
        <v>5422</v>
      </c>
      <c r="AC269" s="85" t="s">
        <v>5451</v>
      </c>
    </row>
    <row r="270" spans="1:35" ht="22.5" customHeight="1" thickBot="1">
      <c r="A270" s="53" t="s">
        <v>4927</v>
      </c>
      <c r="C270" s="35" t="s">
        <v>4938</v>
      </c>
      <c r="D270" s="36" t="s">
        <v>4935</v>
      </c>
      <c r="E270" s="36" t="s">
        <v>4936</v>
      </c>
      <c r="F270" s="35" t="str">
        <f t="shared" si="12"/>
        <v>gift-codes.html?game=Astellia</v>
      </c>
      <c r="G270" s="36" t="s">
        <v>4937</v>
      </c>
      <c r="H270" s="36" t="str">
        <f t="shared" si="11"/>
        <v>https://www.ssbuy.tw/detail_giftcode/dist/gamedetail/Astellia.html</v>
      </c>
      <c r="I270" s="37" t="s">
        <v>4951</v>
      </c>
      <c r="J270" s="51" t="s">
        <v>4969</v>
      </c>
      <c r="K270" s="53">
        <v>2076</v>
      </c>
      <c r="L270" s="51" t="s">
        <v>261</v>
      </c>
      <c r="M270" s="53">
        <v>1030</v>
      </c>
      <c r="N270" s="51" t="s">
        <v>263</v>
      </c>
      <c r="O270" s="53">
        <v>637</v>
      </c>
      <c r="P270" s="51" t="s">
        <v>3699</v>
      </c>
      <c r="Q270" s="53">
        <v>227</v>
      </c>
      <c r="R270" s="82" t="s">
        <v>5422</v>
      </c>
      <c r="S270" s="85" t="s">
        <v>5451</v>
      </c>
    </row>
    <row r="271" spans="1:35" ht="22.5" customHeight="1" thickBot="1">
      <c r="A271" s="53" t="s">
        <v>4928</v>
      </c>
      <c r="C271" s="35" t="s">
        <v>4948</v>
      </c>
      <c r="D271" s="35" t="s">
        <v>4948</v>
      </c>
      <c r="E271" s="36" t="s">
        <v>4949</v>
      </c>
      <c r="F271" s="35" t="str">
        <f t="shared" si="12"/>
        <v>gift-codes.html?game=華夏千秋</v>
      </c>
      <c r="G271" s="36" t="s">
        <v>4939</v>
      </c>
      <c r="H271" s="36" t="str">
        <f t="shared" si="11"/>
        <v>https://www.ssbuy.tw/detail_giftcode/dist/gamedetail/華夏千秋.html</v>
      </c>
      <c r="I271" s="37" t="s">
        <v>4952</v>
      </c>
      <c r="J271" s="51" t="s">
        <v>4970</v>
      </c>
      <c r="K271" s="53">
        <v>2579</v>
      </c>
      <c r="L271" s="51" t="s">
        <v>4971</v>
      </c>
      <c r="M271" s="53">
        <v>1988</v>
      </c>
      <c r="N271" s="51" t="s">
        <v>4972</v>
      </c>
      <c r="O271" s="53">
        <v>1349</v>
      </c>
      <c r="P271" s="51" t="s">
        <v>4973</v>
      </c>
      <c r="Q271" s="53">
        <v>950</v>
      </c>
      <c r="R271" s="51" t="s">
        <v>4974</v>
      </c>
      <c r="S271" s="53">
        <v>798</v>
      </c>
      <c r="T271" s="51" t="s">
        <v>4975</v>
      </c>
      <c r="U271" s="53">
        <v>749</v>
      </c>
      <c r="V271" s="51" t="s">
        <v>4976</v>
      </c>
      <c r="W271" s="53">
        <v>540</v>
      </c>
      <c r="X271" s="51" t="s">
        <v>4977</v>
      </c>
      <c r="Y271" s="53">
        <v>395</v>
      </c>
      <c r="Z271" s="51" t="s">
        <v>4978</v>
      </c>
      <c r="AA271" s="53">
        <v>346</v>
      </c>
      <c r="AB271" s="51" t="s">
        <v>4979</v>
      </c>
      <c r="AC271" s="53">
        <v>314</v>
      </c>
      <c r="AD271" s="82" t="s">
        <v>5422</v>
      </c>
      <c r="AE271" s="85" t="s">
        <v>5451</v>
      </c>
    </row>
    <row r="272" spans="1:35" ht="22.5" customHeight="1" thickBot="1">
      <c r="A272" s="53" t="s">
        <v>4929</v>
      </c>
      <c r="C272" s="35" t="s">
        <v>4940</v>
      </c>
      <c r="D272" s="36" t="s">
        <v>4943</v>
      </c>
      <c r="E272" s="36" t="s">
        <v>4942</v>
      </c>
      <c r="F272" s="35" t="str">
        <f t="shared" si="12"/>
        <v>gift-codes.html?game=萌塔娘</v>
      </c>
      <c r="G272" s="36" t="s">
        <v>4941</v>
      </c>
      <c r="H272" s="36" t="str">
        <f t="shared" si="11"/>
        <v>https://www.ssbuy.tw/detail_giftcode/dist/gamedetail/萌塔娘.html</v>
      </c>
      <c r="I272" s="37" t="s">
        <v>4953</v>
      </c>
      <c r="J272" s="51" t="s">
        <v>4980</v>
      </c>
      <c r="K272" s="53">
        <v>2579</v>
      </c>
      <c r="L272" s="51" t="s">
        <v>4981</v>
      </c>
      <c r="M272" s="53">
        <v>1349</v>
      </c>
      <c r="N272" s="51" t="s">
        <v>4982</v>
      </c>
      <c r="O272" s="53">
        <v>798</v>
      </c>
      <c r="P272" s="51" t="s">
        <v>4983</v>
      </c>
      <c r="Q272" s="53">
        <v>395</v>
      </c>
      <c r="R272" s="51" t="s">
        <v>4984</v>
      </c>
      <c r="S272" s="53">
        <v>266</v>
      </c>
      <c r="T272" s="51" t="s">
        <v>4985</v>
      </c>
      <c r="U272" s="53">
        <v>143</v>
      </c>
      <c r="V272" s="51" t="s">
        <v>4986</v>
      </c>
      <c r="W272" s="53">
        <v>29</v>
      </c>
      <c r="X272" s="82" t="s">
        <v>5422</v>
      </c>
      <c r="Y272" s="85" t="s">
        <v>5451</v>
      </c>
    </row>
    <row r="273" spans="1:31" ht="22.5" customHeight="1" thickBot="1">
      <c r="A273" s="53" t="s">
        <v>4930</v>
      </c>
      <c r="C273" s="35" t="s">
        <v>4944</v>
      </c>
      <c r="D273" s="36" t="s">
        <v>4945</v>
      </c>
      <c r="E273" s="36" t="s">
        <v>4946</v>
      </c>
      <c r="F273" s="35" t="str">
        <f t="shared" si="12"/>
        <v>gift-codes.html?game=盜夢英雄2：幻野</v>
      </c>
      <c r="G273" s="36" t="s">
        <v>4947</v>
      </c>
      <c r="H273" s="36" t="str">
        <f t="shared" si="11"/>
        <v>https://www.ssbuy.tw/detail_giftcode/dist/gamedetail/盜夢英雄2：幻野.html</v>
      </c>
      <c r="I273" s="37" t="s">
        <v>4954</v>
      </c>
      <c r="J273" s="51" t="s">
        <v>4987</v>
      </c>
      <c r="K273" s="53">
        <v>2579</v>
      </c>
      <c r="L273" s="51" t="s">
        <v>1675</v>
      </c>
      <c r="M273" s="53">
        <v>1828</v>
      </c>
      <c r="N273" s="51" t="s">
        <v>1676</v>
      </c>
      <c r="O273" s="53">
        <v>1349</v>
      </c>
      <c r="P273" s="51" t="s">
        <v>1678</v>
      </c>
      <c r="Q273" s="53">
        <v>950</v>
      </c>
      <c r="R273" s="51" t="s">
        <v>151</v>
      </c>
      <c r="S273" s="53">
        <v>798</v>
      </c>
      <c r="T273" s="51" t="s">
        <v>4988</v>
      </c>
      <c r="U273" s="53">
        <v>669</v>
      </c>
      <c r="V273" s="51" t="s">
        <v>1679</v>
      </c>
      <c r="W273" s="53">
        <v>540</v>
      </c>
      <c r="X273" s="51" t="s">
        <v>153</v>
      </c>
      <c r="Y273" s="53">
        <v>395</v>
      </c>
      <c r="Z273" s="51" t="s">
        <v>4989</v>
      </c>
      <c r="AA273" s="53">
        <v>314</v>
      </c>
      <c r="AB273" s="51" t="s">
        <v>154</v>
      </c>
      <c r="AC273" s="53">
        <v>160</v>
      </c>
      <c r="AD273" s="82" t="s">
        <v>5422</v>
      </c>
      <c r="AE273" s="85" t="s">
        <v>5451</v>
      </c>
    </row>
    <row r="274" spans="1:31" ht="22.5" customHeight="1" thickBot="1">
      <c r="A274" s="65" t="s">
        <v>5004</v>
      </c>
      <c r="C274" s="35" t="s">
        <v>5001</v>
      </c>
      <c r="D274" s="36" t="s">
        <v>5002</v>
      </c>
      <c r="E274" s="36" t="s">
        <v>5003</v>
      </c>
      <c r="F274" s="35" t="str">
        <f t="shared" si="12"/>
        <v>gift-codes.html?game=貪婪洞窟：重生</v>
      </c>
      <c r="G274" s="43" t="s">
        <v>5005</v>
      </c>
      <c r="H274" s="36" t="str">
        <f t="shared" si="11"/>
        <v>https://www.ssbuy.tw/detail_giftcode/dist/gamedetail/貪婪洞窟：重生.html</v>
      </c>
      <c r="I274" s="37" t="s">
        <v>5006</v>
      </c>
      <c r="J274" s="51" t="s">
        <v>5007</v>
      </c>
      <c r="K274" s="53">
        <v>2343</v>
      </c>
      <c r="L274" s="51" t="s">
        <v>5008</v>
      </c>
      <c r="M274" s="53">
        <v>1190</v>
      </c>
      <c r="N274" s="51" t="s">
        <v>5009</v>
      </c>
      <c r="O274" s="53">
        <v>556</v>
      </c>
      <c r="P274" s="51" t="s">
        <v>5010</v>
      </c>
      <c r="Q274" s="53">
        <v>258</v>
      </c>
      <c r="R274" s="51" t="s">
        <v>5011</v>
      </c>
      <c r="S274" s="53">
        <v>126</v>
      </c>
      <c r="T274" s="51" t="s">
        <v>1377</v>
      </c>
      <c r="U274" s="53">
        <v>26</v>
      </c>
      <c r="V274" s="51" t="s">
        <v>5012</v>
      </c>
      <c r="W274" s="53">
        <v>556</v>
      </c>
      <c r="X274" s="51" t="s">
        <v>5013</v>
      </c>
      <c r="Y274" s="53">
        <v>556</v>
      </c>
      <c r="Z274" s="51" t="s">
        <v>5014</v>
      </c>
      <c r="AA274" s="53">
        <v>1190</v>
      </c>
      <c r="AB274" s="51" t="s">
        <v>5015</v>
      </c>
      <c r="AC274" s="53">
        <v>2343</v>
      </c>
      <c r="AD274" s="82" t="s">
        <v>5422</v>
      </c>
      <c r="AE274" s="85" t="s">
        <v>5451</v>
      </c>
    </row>
    <row r="275" spans="1:31" ht="22.5" customHeight="1" thickBot="1">
      <c r="A275" s="65" t="s">
        <v>5056</v>
      </c>
      <c r="C275" s="35" t="s">
        <v>5050</v>
      </c>
      <c r="D275" s="36" t="s">
        <v>5053</v>
      </c>
      <c r="E275" s="36" t="s">
        <v>5054</v>
      </c>
      <c r="F275" s="35" t="str">
        <f t="shared" si="12"/>
        <v>gift-codes.html?game=小兵特攻隊</v>
      </c>
      <c r="G275" s="36" t="s">
        <v>5055</v>
      </c>
      <c r="H275" s="36" t="str">
        <f t="shared" si="11"/>
        <v>https://www.ssbuy.tw/detail_giftcode/dist/gamedetail/小兵特攻隊.html</v>
      </c>
      <c r="I275" s="37" t="s">
        <v>5058</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5057</v>
      </c>
      <c r="Y275" s="53">
        <v>141</v>
      </c>
      <c r="Z275" s="82" t="s">
        <v>5422</v>
      </c>
      <c r="AA275" s="85" t="s">
        <v>5451</v>
      </c>
    </row>
    <row r="276" spans="1:31" ht="22.5" customHeight="1" thickBot="1">
      <c r="A276" s="53" t="s">
        <v>5067</v>
      </c>
      <c r="C276" s="35" t="s">
        <v>5070</v>
      </c>
      <c r="D276" s="36" t="s">
        <v>5083</v>
      </c>
      <c r="E276" s="36" t="s">
        <v>5084</v>
      </c>
      <c r="F276" s="35" t="str">
        <f t="shared" si="12"/>
        <v>gift-codes.html?game=星塔旅人</v>
      </c>
      <c r="G276" s="43" t="s">
        <v>5085</v>
      </c>
      <c r="H276" s="36" t="str">
        <f t="shared" si="11"/>
        <v>https://www.ssbuy.tw/detail_giftcode/dist/gamedetail/星塔旅人.html</v>
      </c>
      <c r="I276" s="37" t="s">
        <v>5086</v>
      </c>
      <c r="J276" s="91" t="s">
        <v>5257</v>
      </c>
      <c r="K276" s="92">
        <v>2477</v>
      </c>
      <c r="L276" s="91" t="s">
        <v>5258</v>
      </c>
      <c r="M276" s="92">
        <v>1346</v>
      </c>
      <c r="N276" s="91" t="s">
        <v>5259</v>
      </c>
      <c r="O276" s="92">
        <v>713</v>
      </c>
      <c r="P276" s="91" t="s">
        <v>5260</v>
      </c>
      <c r="Q276" s="92">
        <v>340</v>
      </c>
      <c r="R276" s="91" t="s">
        <v>5261</v>
      </c>
      <c r="S276" s="92">
        <v>169</v>
      </c>
      <c r="T276" s="91" t="s">
        <v>5262</v>
      </c>
      <c r="U276" s="92">
        <v>82</v>
      </c>
      <c r="V276" s="91" t="s">
        <v>5263</v>
      </c>
      <c r="W276" s="92">
        <v>30</v>
      </c>
      <c r="X276" s="91" t="s">
        <v>5264</v>
      </c>
      <c r="Y276" s="92">
        <v>133</v>
      </c>
      <c r="Z276" s="82" t="s">
        <v>5422</v>
      </c>
      <c r="AA276" s="85" t="s">
        <v>5451</v>
      </c>
    </row>
    <row r="277" spans="1:31" ht="22.5" customHeight="1" thickBot="1">
      <c r="A277" s="53" t="s">
        <v>4668</v>
      </c>
      <c r="C277" s="35" t="s">
        <v>5073</v>
      </c>
      <c r="D277" s="36" t="s">
        <v>5074</v>
      </c>
      <c r="E277" s="36" t="s">
        <v>5076</v>
      </c>
      <c r="F277" s="35" t="str">
        <f t="shared" si="12"/>
        <v>gift-codes.html?game=卡厄斯夢境</v>
      </c>
      <c r="G277" s="36" t="s">
        <v>5075</v>
      </c>
      <c r="H277" s="36" t="str">
        <f t="shared" si="11"/>
        <v>https://www.ssbuy.tw/detail_giftcode/dist/gamedetail/卡厄斯夢境.html</v>
      </c>
      <c r="I277" s="37" t="s">
        <v>5087</v>
      </c>
      <c r="J277" s="83" t="s">
        <v>5007</v>
      </c>
      <c r="K277" s="84">
        <v>2230</v>
      </c>
      <c r="L277" s="83" t="s">
        <v>5008</v>
      </c>
      <c r="M277" s="84">
        <v>1389</v>
      </c>
      <c r="N277" s="83" t="s">
        <v>5161</v>
      </c>
      <c r="O277" s="84">
        <v>821</v>
      </c>
      <c r="P277" s="83" t="s">
        <v>5162</v>
      </c>
      <c r="Q277" s="84">
        <v>407</v>
      </c>
      <c r="R277" s="83" t="s">
        <v>5011</v>
      </c>
      <c r="S277" s="84">
        <v>147</v>
      </c>
      <c r="T277" s="83" t="s">
        <v>1377</v>
      </c>
      <c r="U277" s="84">
        <v>29</v>
      </c>
      <c r="V277" s="83" t="s">
        <v>5163</v>
      </c>
      <c r="W277" s="84">
        <v>147</v>
      </c>
      <c r="X277" s="51"/>
      <c r="Y277" s="53"/>
      <c r="Z277" s="82" t="s">
        <v>5422</v>
      </c>
      <c r="AA277" s="85" t="s">
        <v>5451</v>
      </c>
    </row>
    <row r="278" spans="1:31" ht="22.5" customHeight="1" thickBot="1">
      <c r="A278" s="53" t="s">
        <v>5068</v>
      </c>
      <c r="C278" s="35" t="s">
        <v>5072</v>
      </c>
      <c r="D278" s="36" t="s">
        <v>5077</v>
      </c>
      <c r="E278" s="36" t="s">
        <v>5079</v>
      </c>
      <c r="F278" s="35" t="str">
        <f t="shared" si="12"/>
        <v>gift-codes.html?game=星痕共鳴</v>
      </c>
      <c r="G278" s="36" t="s">
        <v>5078</v>
      </c>
      <c r="H278" s="36" t="str">
        <f t="shared" si="11"/>
        <v>https://www.ssbuy.tw/detail_giftcode/dist/gamedetail/星痕共鳴.html</v>
      </c>
      <c r="I278" s="37" t="s">
        <v>5088</v>
      </c>
      <c r="J278" s="51" t="s">
        <v>5092</v>
      </c>
      <c r="K278" s="53">
        <v>2533</v>
      </c>
      <c r="L278" s="51" t="s">
        <v>5093</v>
      </c>
      <c r="M278" s="53">
        <v>1325</v>
      </c>
      <c r="N278" s="51" t="s">
        <v>3515</v>
      </c>
      <c r="O278" s="53">
        <v>783</v>
      </c>
      <c r="P278" s="51" t="s">
        <v>5094</v>
      </c>
      <c r="Q278" s="53">
        <v>388</v>
      </c>
      <c r="R278" s="51" t="s">
        <v>5095</v>
      </c>
      <c r="S278" s="53">
        <v>261</v>
      </c>
      <c r="T278" s="51" t="s">
        <v>28</v>
      </c>
      <c r="U278" s="53">
        <v>141</v>
      </c>
      <c r="V278" s="51" t="s">
        <v>4713</v>
      </c>
      <c r="W278" s="53">
        <v>28</v>
      </c>
      <c r="X278" s="51" t="s">
        <v>178</v>
      </c>
      <c r="Y278" s="53">
        <v>141</v>
      </c>
      <c r="Z278" s="51" t="s">
        <v>5096</v>
      </c>
      <c r="AA278" s="53">
        <v>522</v>
      </c>
      <c r="AB278" s="51" t="s">
        <v>5097</v>
      </c>
      <c r="AC278" s="53">
        <v>261</v>
      </c>
      <c r="AD278" s="82" t="s">
        <v>5422</v>
      </c>
      <c r="AE278" s="85" t="s">
        <v>5451</v>
      </c>
    </row>
    <row r="279" spans="1:31" ht="22.5" customHeight="1" thickBot="1">
      <c r="A279" s="53" t="s">
        <v>5069</v>
      </c>
      <c r="C279" s="35" t="s">
        <v>5071</v>
      </c>
      <c r="D279" s="36" t="s">
        <v>5080</v>
      </c>
      <c r="E279" s="36" t="s">
        <v>5082</v>
      </c>
      <c r="F279" s="35" t="str">
        <f t="shared" si="12"/>
        <v>gift-codes.html?game=二重螺旋</v>
      </c>
      <c r="G279" s="36" t="s">
        <v>5081</v>
      </c>
      <c r="H279" s="36" t="str">
        <f t="shared" si="11"/>
        <v>https://www.ssbuy.tw/detail_giftcode/dist/gamedetail/二重螺旋.html</v>
      </c>
      <c r="I279" s="37" t="s">
        <v>5089</v>
      </c>
      <c r="J279" s="91" t="s">
        <v>5098</v>
      </c>
      <c r="K279" s="92">
        <v>2717</v>
      </c>
      <c r="L279" s="91" t="s">
        <v>5099</v>
      </c>
      <c r="M279" s="92">
        <v>1422</v>
      </c>
      <c r="N279" s="91" t="s">
        <v>5100</v>
      </c>
      <c r="O279" s="92">
        <v>840</v>
      </c>
      <c r="P279" s="91" t="s">
        <v>5101</v>
      </c>
      <c r="Q279" s="92">
        <v>416</v>
      </c>
      <c r="R279" s="91" t="s">
        <v>5102</v>
      </c>
      <c r="S279" s="92">
        <v>151</v>
      </c>
      <c r="T279" s="91" t="s">
        <v>5103</v>
      </c>
      <c r="U279" s="92">
        <v>30</v>
      </c>
      <c r="V279" s="91" t="s">
        <v>5365</v>
      </c>
      <c r="W279" s="92">
        <v>151</v>
      </c>
      <c r="X279" s="82" t="s">
        <v>5422</v>
      </c>
      <c r="Y279" s="85" t="s">
        <v>5451</v>
      </c>
      <c r="Z279" s="51"/>
      <c r="AA279" s="53"/>
      <c r="AB279" s="82"/>
      <c r="AC279" s="85"/>
    </row>
    <row r="280" spans="1:31" ht="22.5" customHeight="1" thickBot="1">
      <c r="A280" s="53" t="s">
        <v>5122</v>
      </c>
      <c r="C280" s="35" t="s">
        <v>5119</v>
      </c>
      <c r="D280" s="36" t="s">
        <v>5120</v>
      </c>
      <c r="E280" s="36" t="s">
        <v>5118</v>
      </c>
      <c r="F280" s="35" t="str">
        <f t="shared" si="12"/>
        <v>gift-codes.html?game=電馭跑酷</v>
      </c>
      <c r="G280" s="43" t="s">
        <v>5123</v>
      </c>
      <c r="H280" s="36" t="str">
        <f t="shared" si="11"/>
        <v>https://www.ssbuy.tw/detail_giftcode/dist/gamedetail/電馭跑酷.html</v>
      </c>
      <c r="I280" s="65" t="s">
        <v>5159</v>
      </c>
      <c r="J280" s="83" t="s">
        <v>5143</v>
      </c>
      <c r="K280" s="84">
        <v>2302</v>
      </c>
      <c r="L280" s="83" t="s">
        <v>5144</v>
      </c>
      <c r="M280" s="84">
        <v>1168</v>
      </c>
      <c r="N280" s="83" t="s">
        <v>5145</v>
      </c>
      <c r="O280" s="84">
        <v>467</v>
      </c>
      <c r="P280" s="83" t="s">
        <v>5146</v>
      </c>
      <c r="Q280" s="84">
        <v>248</v>
      </c>
      <c r="R280" s="83" t="s">
        <v>5147</v>
      </c>
      <c r="S280" s="84">
        <v>124</v>
      </c>
      <c r="T280" s="83" t="s">
        <v>5148</v>
      </c>
      <c r="U280" s="84">
        <v>51</v>
      </c>
      <c r="V280" s="83" t="s">
        <v>5149</v>
      </c>
      <c r="W280" s="84">
        <v>248</v>
      </c>
      <c r="X280" s="82" t="s">
        <v>5422</v>
      </c>
      <c r="Y280" s="85" t="s">
        <v>5451</v>
      </c>
    </row>
    <row r="281" spans="1:31" ht="22.5" customHeight="1" thickBot="1">
      <c r="A281" s="53" t="s">
        <v>5132</v>
      </c>
      <c r="C281" s="35" t="s">
        <v>5121</v>
      </c>
      <c r="D281" s="36" t="s">
        <v>5117</v>
      </c>
      <c r="E281" s="36" t="s">
        <v>5116</v>
      </c>
      <c r="F281" s="35" t="str">
        <f t="shared" si="12"/>
        <v>gift-codes.html?game=火焰紋章Shadows</v>
      </c>
      <c r="G281" s="43" t="s">
        <v>5124</v>
      </c>
      <c r="H281" s="36" t="str">
        <f t="shared" si="11"/>
        <v>https://www.ssbuy.tw/detail_giftcode/dist/gamedetail/火焰紋章Shadows.html</v>
      </c>
      <c r="I281" s="65" t="s">
        <v>5160</v>
      </c>
      <c r="J281" s="83" t="s">
        <v>5150</v>
      </c>
      <c r="K281" s="84">
        <v>1549</v>
      </c>
      <c r="L281" s="83" t="s">
        <v>5151</v>
      </c>
      <c r="M281" s="84">
        <v>1030</v>
      </c>
      <c r="N281" s="83" t="s">
        <v>5152</v>
      </c>
      <c r="O281" s="84">
        <v>673</v>
      </c>
      <c r="P281" s="83" t="s">
        <v>5153</v>
      </c>
      <c r="Q281" s="84">
        <v>344</v>
      </c>
      <c r="R281" s="83" t="s">
        <v>5154</v>
      </c>
      <c r="S281" s="84">
        <v>157</v>
      </c>
      <c r="T281" s="83" t="s">
        <v>5155</v>
      </c>
      <c r="U281" s="84">
        <v>81</v>
      </c>
      <c r="V281" s="83" t="s">
        <v>5156</v>
      </c>
      <c r="W281" s="84">
        <v>17</v>
      </c>
      <c r="X281" s="83" t="s">
        <v>5157</v>
      </c>
      <c r="Y281" s="84">
        <v>244</v>
      </c>
      <c r="Z281" s="83" t="s">
        <v>5158</v>
      </c>
      <c r="AA281" s="84">
        <v>139</v>
      </c>
      <c r="AB281" s="82" t="s">
        <v>5422</v>
      </c>
      <c r="AC281" s="85" t="s">
        <v>5451</v>
      </c>
    </row>
    <row r="282" spans="1:31" ht="22.5" customHeight="1" thickBot="1">
      <c r="A282" s="84" t="s">
        <v>5203</v>
      </c>
      <c r="C282" s="35" t="s">
        <v>5164</v>
      </c>
      <c r="D282" s="36" t="s">
        <v>5165</v>
      </c>
      <c r="E282" s="36" t="s">
        <v>5166</v>
      </c>
      <c r="F282" s="35" t="str">
        <f t="shared" si="12"/>
        <v>gift-codes.html?game=石器時代：寵物世界</v>
      </c>
      <c r="G282" s="82" t="s">
        <v>5180</v>
      </c>
      <c r="H282" s="36" t="str">
        <f t="shared" si="11"/>
        <v>https://www.ssbuy.tw/detail_giftcode/dist/gamedetail/石器時代：寵物世界.html</v>
      </c>
      <c r="I282" s="37" t="s">
        <v>5183</v>
      </c>
      <c r="J282" s="83" t="s">
        <v>4987</v>
      </c>
      <c r="K282" s="84">
        <v>2655</v>
      </c>
      <c r="L282" s="83" t="s">
        <v>1674</v>
      </c>
      <c r="M282" s="84">
        <v>2047</v>
      </c>
      <c r="N282" s="83" t="s">
        <v>5173</v>
      </c>
      <c r="O282" s="84">
        <v>1357</v>
      </c>
      <c r="P282" s="83" t="s">
        <v>5174</v>
      </c>
      <c r="Q282" s="84">
        <v>1085</v>
      </c>
      <c r="R282" s="83" t="s">
        <v>5175</v>
      </c>
      <c r="S282" s="84">
        <v>822</v>
      </c>
      <c r="T282" s="83" t="s">
        <v>5176</v>
      </c>
      <c r="U282" s="84">
        <v>680</v>
      </c>
      <c r="V282" s="83" t="s">
        <v>152</v>
      </c>
      <c r="W282" s="84">
        <v>572</v>
      </c>
      <c r="X282" s="83" t="s">
        <v>153</v>
      </c>
      <c r="Y282" s="84">
        <v>407</v>
      </c>
      <c r="Z282" s="83" t="s">
        <v>5177</v>
      </c>
      <c r="AA282" s="84">
        <v>357</v>
      </c>
      <c r="AB282" s="83" t="s">
        <v>1680</v>
      </c>
      <c r="AC282" s="84">
        <v>274</v>
      </c>
      <c r="AD282" s="82" t="s">
        <v>5422</v>
      </c>
      <c r="AE282" s="85" t="s">
        <v>5451</v>
      </c>
    </row>
    <row r="283" spans="1:31" ht="22.5" customHeight="1" thickBot="1">
      <c r="A283" s="84" t="s">
        <v>5178</v>
      </c>
      <c r="C283" s="35" t="s">
        <v>5167</v>
      </c>
      <c r="D283" s="36" t="s">
        <v>5168</v>
      </c>
      <c r="E283" s="36" t="s">
        <v>5169</v>
      </c>
      <c r="F283" s="35" t="str">
        <f t="shared" si="12"/>
        <v>gift-codes.html?game=蔚藍星球：國王很忙</v>
      </c>
      <c r="G283" s="82" t="s">
        <v>5181</v>
      </c>
      <c r="H283" s="36" t="str">
        <f t="shared" si="11"/>
        <v>https://www.ssbuy.tw/detail_giftcode/dist/gamedetail/蔚藍星球：國王很忙.html</v>
      </c>
      <c r="I283" s="37" t="s">
        <v>5184</v>
      </c>
      <c r="J283" s="91" t="s">
        <v>5325</v>
      </c>
      <c r="K283" s="92">
        <v>2717</v>
      </c>
      <c r="L283" s="91" t="s">
        <v>5326</v>
      </c>
      <c r="M283" s="92">
        <v>1422</v>
      </c>
      <c r="N283" s="91" t="s">
        <v>5327</v>
      </c>
      <c r="O283" s="92">
        <v>586</v>
      </c>
      <c r="P283" s="91" t="s">
        <v>5328</v>
      </c>
      <c r="Q283" s="92">
        <v>416</v>
      </c>
      <c r="R283" s="91" t="s">
        <v>1302</v>
      </c>
      <c r="S283" s="92">
        <v>151</v>
      </c>
      <c r="T283" s="91" t="s">
        <v>7</v>
      </c>
      <c r="U283" s="92">
        <v>30</v>
      </c>
      <c r="V283" s="91" t="s">
        <v>5329</v>
      </c>
      <c r="W283" s="92">
        <v>151</v>
      </c>
      <c r="X283" s="91" t="s">
        <v>5330</v>
      </c>
      <c r="Y283" s="92">
        <v>89</v>
      </c>
      <c r="Z283" s="82" t="s">
        <v>5422</v>
      </c>
      <c r="AA283" s="85" t="s">
        <v>5451</v>
      </c>
    </row>
    <row r="284" spans="1:31" ht="22.5" customHeight="1" thickBot="1">
      <c r="A284" s="84" t="s">
        <v>5179</v>
      </c>
      <c r="C284" s="35" t="s">
        <v>5170</v>
      </c>
      <c r="D284" s="36" t="s">
        <v>5171</v>
      </c>
      <c r="E284" s="36" t="s">
        <v>5172</v>
      </c>
      <c r="F284" s="35" t="str">
        <f t="shared" si="12"/>
        <v>gift-codes.html?game=胸懷三國：美人計</v>
      </c>
      <c r="G284" s="82" t="s">
        <v>5182</v>
      </c>
      <c r="H284" s="36" t="str">
        <f t="shared" ref="H284:H311" si="13">IF(A284="", "", "https://www.ssbuy.tw/game-detail.html?game="&amp;A284)</f>
        <v>https://www.ssbuy.tw/game-detail.html?game=胸懷三國：美人計</v>
      </c>
      <c r="I284" s="37" t="s">
        <v>5185</v>
      </c>
      <c r="J284" s="91" t="s">
        <v>5272</v>
      </c>
      <c r="K284" s="92">
        <v>2717</v>
      </c>
      <c r="L284" s="91" t="s">
        <v>5273</v>
      </c>
      <c r="M284" s="92">
        <v>1388</v>
      </c>
      <c r="N284" s="91" t="s">
        <v>5274</v>
      </c>
      <c r="O284" s="92">
        <v>841</v>
      </c>
      <c r="P284" s="91" t="s">
        <v>5275</v>
      </c>
      <c r="Q284" s="92">
        <v>586</v>
      </c>
      <c r="R284" s="91" t="s">
        <v>5276</v>
      </c>
      <c r="S284" s="92">
        <v>416</v>
      </c>
      <c r="T284" s="91" t="s">
        <v>5277</v>
      </c>
      <c r="U284" s="92">
        <v>280</v>
      </c>
      <c r="V284" s="91" t="s">
        <v>5278</v>
      </c>
      <c r="W284" s="92">
        <v>146</v>
      </c>
      <c r="X284" s="91" t="s">
        <v>5279</v>
      </c>
      <c r="Y284" s="92">
        <v>30</v>
      </c>
      <c r="Z284" s="91" t="s">
        <v>5280</v>
      </c>
      <c r="AA284" s="92">
        <v>416</v>
      </c>
      <c r="AB284" s="91" t="s">
        <v>5281</v>
      </c>
      <c r="AC284" s="92">
        <v>586</v>
      </c>
      <c r="AD284" s="82" t="s">
        <v>5422</v>
      </c>
      <c r="AE284" s="85" t="s">
        <v>5451</v>
      </c>
    </row>
    <row r="285" spans="1:31" ht="22.5" customHeight="1" thickBot="1">
      <c r="A285" s="84" t="s">
        <v>5229</v>
      </c>
      <c r="C285" s="35" t="s">
        <v>5227</v>
      </c>
      <c r="D285" s="36" t="s">
        <v>5228</v>
      </c>
      <c r="E285" s="36" t="s">
        <v>5217</v>
      </c>
      <c r="F285" s="35" t="str">
        <f t="shared" si="12"/>
        <v>gift-codes.html?game=弓箭英雄：塔防</v>
      </c>
      <c r="G285" s="82" t="s">
        <v>5230</v>
      </c>
      <c r="H285" s="36" t="str">
        <f t="shared" si="13"/>
        <v>https://www.ssbuy.tw/game-detail.html?game=弓箭英雄：塔防</v>
      </c>
      <c r="I285" s="37" t="s">
        <v>5256</v>
      </c>
      <c r="J285" s="91" t="s">
        <v>5252</v>
      </c>
      <c r="K285" s="92">
        <v>2469</v>
      </c>
      <c r="L285" s="91" t="s">
        <v>1466</v>
      </c>
      <c r="M285" s="92">
        <v>1253</v>
      </c>
      <c r="N285" s="91" t="s">
        <v>1294</v>
      </c>
      <c r="O285" s="92">
        <v>501</v>
      </c>
      <c r="P285" s="91" t="s">
        <v>64</v>
      </c>
      <c r="Q285" s="92">
        <v>257</v>
      </c>
      <c r="R285" s="91" t="s">
        <v>6</v>
      </c>
      <c r="S285" s="92">
        <v>133</v>
      </c>
      <c r="T285" s="91" t="s">
        <v>5253</v>
      </c>
      <c r="U285" s="92">
        <v>27</v>
      </c>
      <c r="V285" s="82" t="s">
        <v>5422</v>
      </c>
      <c r="W285" s="85" t="s">
        <v>5451</v>
      </c>
    </row>
    <row r="286" spans="1:31" ht="22.5" customHeight="1" thickBot="1">
      <c r="A286" s="84" t="s">
        <v>5235</v>
      </c>
      <c r="C286" s="35" t="s">
        <v>5219</v>
      </c>
      <c r="D286" s="36" t="s">
        <v>5218</v>
      </c>
      <c r="E286" s="36" t="s">
        <v>5220</v>
      </c>
      <c r="F286" s="35" t="str">
        <f t="shared" si="12"/>
        <v>gift-codes.html?game=十二之天M</v>
      </c>
      <c r="G286" s="82" t="s">
        <v>5231</v>
      </c>
      <c r="H286" s="36" t="str">
        <f t="shared" si="13"/>
        <v>https://www.ssbuy.tw/game-detail.html?game=十二之天M</v>
      </c>
      <c r="I286" s="65" t="s">
        <v>5249</v>
      </c>
      <c r="J286" s="91" t="s">
        <v>5265</v>
      </c>
      <c r="K286" s="92">
        <v>2717</v>
      </c>
      <c r="L286" s="91" t="s">
        <v>5266</v>
      </c>
      <c r="M286" s="92">
        <v>1422</v>
      </c>
      <c r="N286" s="91" t="s">
        <v>5267</v>
      </c>
      <c r="O286" s="92">
        <v>840</v>
      </c>
      <c r="P286" s="91" t="s">
        <v>5268</v>
      </c>
      <c r="Q286" s="92">
        <v>416</v>
      </c>
      <c r="R286" s="91" t="s">
        <v>1536</v>
      </c>
      <c r="S286" s="92">
        <v>151</v>
      </c>
      <c r="T286" s="91" t="s">
        <v>1538</v>
      </c>
      <c r="U286" s="92">
        <v>30</v>
      </c>
      <c r="V286" s="91" t="s">
        <v>5269</v>
      </c>
      <c r="W286" s="92">
        <v>213</v>
      </c>
      <c r="X286" s="91" t="s">
        <v>5270</v>
      </c>
      <c r="Y286" s="92">
        <v>357</v>
      </c>
      <c r="Z286" s="91" t="s">
        <v>5271</v>
      </c>
      <c r="AA286" s="92">
        <v>705</v>
      </c>
      <c r="AB286" s="82" t="s">
        <v>5422</v>
      </c>
      <c r="AC286" s="85" t="s">
        <v>5451</v>
      </c>
    </row>
    <row r="287" spans="1:31" ht="22.5" customHeight="1" thickBot="1">
      <c r="A287" s="84" t="s">
        <v>5236</v>
      </c>
      <c r="C287" s="35" t="s">
        <v>5223</v>
      </c>
      <c r="D287" s="36" t="s">
        <v>5222</v>
      </c>
      <c r="E287" s="36" t="s">
        <v>5221</v>
      </c>
      <c r="F287" s="35" t="str">
        <f t="shared" si="12"/>
        <v>gift-codes.html?game=NBA巔峰對決</v>
      </c>
      <c r="G287" s="82" t="s">
        <v>5232</v>
      </c>
      <c r="H287" s="36" t="str">
        <f t="shared" si="13"/>
        <v>https://www.ssbuy.tw/game-detail.html?game=NBA巔峰對決</v>
      </c>
      <c r="I287" s="37" t="s">
        <v>5250</v>
      </c>
      <c r="J287" s="91" t="s">
        <v>5376</v>
      </c>
      <c r="K287" s="92">
        <v>2717</v>
      </c>
      <c r="L287" s="91" t="s">
        <v>5377</v>
      </c>
      <c r="M287" s="92">
        <v>1422</v>
      </c>
      <c r="N287" s="91" t="s">
        <v>5378</v>
      </c>
      <c r="O287" s="92">
        <v>840</v>
      </c>
      <c r="P287" s="91" t="s">
        <v>5379</v>
      </c>
      <c r="Q287" s="92">
        <v>586</v>
      </c>
      <c r="R287" s="91" t="s">
        <v>5380</v>
      </c>
      <c r="S287" s="92">
        <v>297</v>
      </c>
      <c r="T287" s="91" t="s">
        <v>5381</v>
      </c>
      <c r="U287" s="92">
        <v>146</v>
      </c>
      <c r="V287" s="91" t="s">
        <v>5382</v>
      </c>
      <c r="W287" s="92">
        <v>30</v>
      </c>
      <c r="X287" s="91" t="s">
        <v>5383</v>
      </c>
      <c r="Y287" s="92">
        <v>9</v>
      </c>
      <c r="Z287" s="91" t="s">
        <v>1295</v>
      </c>
      <c r="AA287" s="92">
        <v>146</v>
      </c>
      <c r="AB287" s="82" t="s">
        <v>5422</v>
      </c>
      <c r="AC287" s="85" t="s">
        <v>5451</v>
      </c>
    </row>
    <row r="288" spans="1:31" ht="22.5" customHeight="1" thickBot="1">
      <c r="A288" s="84" t="s">
        <v>5233</v>
      </c>
      <c r="C288" s="35" t="s">
        <v>5226</v>
      </c>
      <c r="D288" s="36" t="s">
        <v>5225</v>
      </c>
      <c r="E288" s="36" t="s">
        <v>5224</v>
      </c>
      <c r="F288" s="35" t="str">
        <f t="shared" si="12"/>
        <v>gift-codes.html?game=三國志：王戰</v>
      </c>
      <c r="G288" s="82" t="s">
        <v>5234</v>
      </c>
      <c r="H288" s="36" t="str">
        <f t="shared" si="13"/>
        <v>https://www.ssbuy.tw/game-detail.html?game=三國志：王戰</v>
      </c>
      <c r="I288" s="37" t="s">
        <v>5251</v>
      </c>
      <c r="J288" s="82" t="s">
        <v>5422</v>
      </c>
      <c r="K288" s="85" t="s">
        <v>5451</v>
      </c>
    </row>
    <row r="289" spans="1:31" ht="22.5" customHeight="1" thickBot="1">
      <c r="A289" s="93" t="s">
        <v>5339</v>
      </c>
      <c r="C289" s="35" t="s">
        <v>5343</v>
      </c>
      <c r="D289" s="36" t="s">
        <v>5340</v>
      </c>
      <c r="E289" s="36" t="s">
        <v>5342</v>
      </c>
      <c r="F289" s="35" t="str">
        <f t="shared" si="12"/>
        <v>gift-codes.html?game=信長 霸道</v>
      </c>
      <c r="G289" s="36" t="s">
        <v>5341</v>
      </c>
      <c r="H289" s="36" t="str">
        <f t="shared" si="13"/>
        <v>https://www.ssbuy.tw/game-detail.html?game=信長 霸道</v>
      </c>
      <c r="I289" s="37" t="s">
        <v>5354</v>
      </c>
      <c r="J289" s="91" t="s">
        <v>5344</v>
      </c>
      <c r="K289" s="92">
        <v>2086</v>
      </c>
      <c r="L289" s="91" t="s">
        <v>5345</v>
      </c>
      <c r="M289" s="92">
        <v>1051</v>
      </c>
      <c r="N289" s="91" t="s">
        <v>5346</v>
      </c>
      <c r="O289" s="92">
        <v>531</v>
      </c>
      <c r="P289" s="91" t="s">
        <v>5347</v>
      </c>
      <c r="Q289" s="92">
        <v>357</v>
      </c>
      <c r="R289" s="91" t="s">
        <v>5348</v>
      </c>
      <c r="S289" s="92">
        <v>149</v>
      </c>
      <c r="T289" s="91" t="s">
        <v>5349</v>
      </c>
      <c r="U289" s="92">
        <v>32</v>
      </c>
      <c r="V289" s="91" t="s">
        <v>5350</v>
      </c>
      <c r="W289" s="92">
        <v>1051</v>
      </c>
      <c r="X289" s="91" t="s">
        <v>5351</v>
      </c>
      <c r="Y289" s="92">
        <v>531</v>
      </c>
      <c r="Z289" s="91" t="s">
        <v>5352</v>
      </c>
      <c r="AA289" s="92">
        <v>186</v>
      </c>
      <c r="AB289" s="91" t="s">
        <v>5353</v>
      </c>
      <c r="AC289" s="92">
        <v>357</v>
      </c>
      <c r="AD289" s="82" t="s">
        <v>5422</v>
      </c>
      <c r="AE289" s="85" t="s">
        <v>5451</v>
      </c>
    </row>
    <row r="290" spans="1:31" ht="22.5" customHeight="1" thickBot="1">
      <c r="A290" s="92" t="s">
        <v>6297</v>
      </c>
      <c r="C290" s="35" t="s">
        <v>5386</v>
      </c>
      <c r="D290" s="36" t="s">
        <v>5385</v>
      </c>
      <c r="E290" s="36" t="s">
        <v>5384</v>
      </c>
      <c r="F290" s="35" t="str">
        <f t="shared" si="12"/>
        <v>gift-codes.html?game=勇者前線Versus</v>
      </c>
      <c r="G290" s="36" t="s">
        <v>5409</v>
      </c>
      <c r="H290" s="36" t="str">
        <f t="shared" si="13"/>
        <v>https://www.ssbuy.tw/game-detail.html?game=勇者前線Versus</v>
      </c>
      <c r="I290" s="37" t="s">
        <v>5444</v>
      </c>
      <c r="J290" s="82" t="s">
        <v>5423</v>
      </c>
      <c r="K290" s="85" t="s">
        <v>5451</v>
      </c>
    </row>
    <row r="291" spans="1:31" ht="22.5" customHeight="1" thickBot="1">
      <c r="A291" s="92" t="s">
        <v>5439</v>
      </c>
      <c r="C291" s="35" t="s">
        <v>5387</v>
      </c>
      <c r="D291" s="36" t="s">
        <v>5388</v>
      </c>
      <c r="E291" s="36" t="s">
        <v>5389</v>
      </c>
      <c r="F291" s="35" t="str">
        <f t="shared" si="12"/>
        <v>gift-codes.html?game=幻域方舟</v>
      </c>
      <c r="G291" s="36" t="s">
        <v>5390</v>
      </c>
      <c r="H291" s="36" t="str">
        <f t="shared" si="13"/>
        <v>https://www.ssbuy.tw/game-detail.html?game=幻域方舟</v>
      </c>
      <c r="I291" s="37" t="s">
        <v>5445</v>
      </c>
      <c r="J291" s="82" t="s">
        <v>5423</v>
      </c>
      <c r="K291" s="85" t="s">
        <v>5451</v>
      </c>
      <c r="L291" s="91" t="s">
        <v>5696</v>
      </c>
      <c r="M291" s="92">
        <v>2585</v>
      </c>
      <c r="N291" s="91" t="s">
        <v>5697</v>
      </c>
      <c r="O291" s="92">
        <v>1295</v>
      </c>
      <c r="P291" s="91" t="s">
        <v>5698</v>
      </c>
      <c r="Q291" s="92">
        <v>800</v>
      </c>
      <c r="R291" s="91" t="s">
        <v>5699</v>
      </c>
      <c r="S291" s="92">
        <v>400</v>
      </c>
      <c r="T291" s="91" t="s">
        <v>5700</v>
      </c>
      <c r="U291" s="92">
        <v>139</v>
      </c>
      <c r="V291" s="91" t="s">
        <v>5701</v>
      </c>
      <c r="W291" s="92">
        <v>29</v>
      </c>
      <c r="X291" s="91" t="s">
        <v>5702</v>
      </c>
      <c r="Y291" s="92">
        <v>533</v>
      </c>
      <c r="Z291" s="91" t="s">
        <v>5703</v>
      </c>
      <c r="AA291" s="92">
        <v>139</v>
      </c>
    </row>
    <row r="292" spans="1:31" ht="22.5" customHeight="1" thickBot="1">
      <c r="A292" s="92" t="s">
        <v>5440</v>
      </c>
      <c r="C292" s="35" t="s">
        <v>5391</v>
      </c>
      <c r="D292" s="36" t="s">
        <v>5392</v>
      </c>
      <c r="E292" s="36" t="s">
        <v>5393</v>
      </c>
      <c r="F292" s="35" t="str">
        <f t="shared" si="12"/>
        <v>gift-codes.html?game=開天</v>
      </c>
      <c r="G292" s="36" t="s">
        <v>5394</v>
      </c>
      <c r="H292" s="36" t="str">
        <f t="shared" si="13"/>
        <v>https://www.ssbuy.tw/game-detail.html?game=開天</v>
      </c>
      <c r="I292" s="37" t="s">
        <v>5446</v>
      </c>
      <c r="J292" s="82" t="s">
        <v>5423</v>
      </c>
      <c r="K292" s="85" t="s">
        <v>5451</v>
      </c>
      <c r="L292" s="91" t="s">
        <v>1514</v>
      </c>
      <c r="M292" s="92">
        <v>2717</v>
      </c>
      <c r="N292" s="91" t="s">
        <v>5410</v>
      </c>
      <c r="O292" s="92">
        <v>2095</v>
      </c>
      <c r="P292" s="91" t="s">
        <v>1515</v>
      </c>
      <c r="Q292" s="92">
        <v>1388</v>
      </c>
      <c r="R292" s="91" t="s">
        <v>5411</v>
      </c>
      <c r="S292" s="92">
        <v>1194</v>
      </c>
      <c r="T292" s="91" t="s">
        <v>5412</v>
      </c>
      <c r="U292" s="92">
        <v>840</v>
      </c>
      <c r="V292" s="91" t="s">
        <v>5413</v>
      </c>
      <c r="W292" s="92">
        <v>815</v>
      </c>
      <c r="X292" s="91" t="s">
        <v>5414</v>
      </c>
      <c r="Y292" s="92">
        <v>756</v>
      </c>
      <c r="Z292" s="91" t="s">
        <v>1630</v>
      </c>
      <c r="AA292" s="92">
        <v>280</v>
      </c>
      <c r="AB292" s="91" t="s">
        <v>318</v>
      </c>
      <c r="AC292" s="92">
        <v>146</v>
      </c>
    </row>
    <row r="293" spans="1:31" ht="22.5" customHeight="1" thickBot="1">
      <c r="A293" s="92" t="s">
        <v>5441</v>
      </c>
      <c r="C293" s="35" t="s">
        <v>5395</v>
      </c>
      <c r="D293" s="36" t="s">
        <v>5398</v>
      </c>
      <c r="E293" s="36" t="s">
        <v>5397</v>
      </c>
      <c r="F293" s="35" t="str">
        <f t="shared" si="12"/>
        <v>gift-codes.html?game=人人有功練：腸仔江湖見</v>
      </c>
      <c r="G293" s="36" t="s">
        <v>5396</v>
      </c>
      <c r="H293" s="36" t="str">
        <f t="shared" si="13"/>
        <v>https://www.ssbuy.tw/game-detail.html?game=人人有功練：腸仔江湖見</v>
      </c>
      <c r="I293" s="37" t="s">
        <v>5447</v>
      </c>
      <c r="J293" s="82" t="s">
        <v>5423</v>
      </c>
      <c r="K293" s="85" t="s">
        <v>5451</v>
      </c>
      <c r="L293" s="91" t="s">
        <v>5415</v>
      </c>
      <c r="M293" s="92">
        <v>2717</v>
      </c>
      <c r="N293" s="91" t="s">
        <v>5416</v>
      </c>
      <c r="O293" s="92">
        <v>1422</v>
      </c>
      <c r="P293" s="91" t="s">
        <v>5417</v>
      </c>
      <c r="Q293" s="92">
        <v>840</v>
      </c>
      <c r="R293" s="91" t="s">
        <v>5418</v>
      </c>
      <c r="S293" s="92">
        <v>620</v>
      </c>
      <c r="T293" s="91" t="s">
        <v>5419</v>
      </c>
      <c r="U293" s="92">
        <v>318</v>
      </c>
      <c r="V293" s="91" t="s">
        <v>5420</v>
      </c>
      <c r="W293" s="92">
        <v>151</v>
      </c>
      <c r="X293" s="91" t="s">
        <v>5421</v>
      </c>
      <c r="Y293" s="92">
        <v>30</v>
      </c>
    </row>
    <row r="294" spans="1:31" ht="22.5" customHeight="1" thickBot="1">
      <c r="A294" s="92" t="s">
        <v>5442</v>
      </c>
      <c r="C294" s="36" t="s">
        <v>5401</v>
      </c>
      <c r="D294" s="36" t="s">
        <v>5401</v>
      </c>
      <c r="E294" s="36" t="s">
        <v>5399</v>
      </c>
      <c r="F294" s="35" t="str">
        <f t="shared" si="12"/>
        <v>gift-codes.html?game=楓之谷：放置冒險記</v>
      </c>
      <c r="G294" s="36" t="s">
        <v>5400</v>
      </c>
      <c r="H294" s="36" t="str">
        <f t="shared" si="13"/>
        <v>https://www.ssbuy.tw/game-detail.html?game=楓之谷：放置冒險記</v>
      </c>
      <c r="I294" s="37" t="s">
        <v>5448</v>
      </c>
      <c r="J294" s="82" t="s">
        <v>5423</v>
      </c>
      <c r="K294" s="85" t="s">
        <v>5451</v>
      </c>
      <c r="L294" s="91" t="s">
        <v>5424</v>
      </c>
      <c r="M294" s="92">
        <v>2469</v>
      </c>
      <c r="N294" s="91" t="s">
        <v>5425</v>
      </c>
      <c r="O294" s="92">
        <v>1253</v>
      </c>
      <c r="P294" s="91" t="s">
        <v>5426</v>
      </c>
      <c r="Q294" s="92">
        <v>1085</v>
      </c>
      <c r="R294" s="91" t="s">
        <v>5427</v>
      </c>
      <c r="S294" s="92">
        <v>840</v>
      </c>
      <c r="T294" s="91" t="s">
        <v>5428</v>
      </c>
      <c r="U294" s="92">
        <v>569</v>
      </c>
      <c r="V294" s="91" t="s">
        <v>5429</v>
      </c>
      <c r="W294" s="92">
        <v>272</v>
      </c>
      <c r="X294" s="91" t="s">
        <v>5430</v>
      </c>
      <c r="Y294" s="92">
        <v>195</v>
      </c>
      <c r="Z294" s="91" t="s">
        <v>5431</v>
      </c>
      <c r="AA294" s="92">
        <v>106</v>
      </c>
    </row>
    <row r="295" spans="1:31" ht="22.5" customHeight="1" thickBot="1">
      <c r="A295" s="92" t="s">
        <v>6298</v>
      </c>
      <c r="C295" s="35" t="s">
        <v>5408</v>
      </c>
      <c r="D295" s="36" t="s">
        <v>5407</v>
      </c>
      <c r="E295" s="36" t="s">
        <v>5403</v>
      </c>
      <c r="F295" s="35" t="str">
        <f t="shared" si="12"/>
        <v>gift-codes.html?game=Shiba Wars：Goddess Link TD</v>
      </c>
      <c r="G295" s="36" t="s">
        <v>5402</v>
      </c>
      <c r="H295" s="36" t="str">
        <f t="shared" si="13"/>
        <v>https://www.ssbuy.tw/game-detail.html?game=Shiba Wars：Goddess Link TD</v>
      </c>
      <c r="I295" s="37" t="s">
        <v>5449</v>
      </c>
      <c r="J295" s="82" t="s">
        <v>5423</v>
      </c>
      <c r="K295" s="85" t="s">
        <v>5451</v>
      </c>
      <c r="L295" s="91" t="s">
        <v>5432</v>
      </c>
      <c r="M295" s="92">
        <v>1926</v>
      </c>
      <c r="N295" s="91" t="s">
        <v>5433</v>
      </c>
      <c r="O295" s="92">
        <v>1253</v>
      </c>
      <c r="P295" s="91" t="s">
        <v>5434</v>
      </c>
      <c r="Q295" s="92">
        <v>586</v>
      </c>
      <c r="R295" s="91" t="s">
        <v>5435</v>
      </c>
      <c r="S295" s="92">
        <v>272</v>
      </c>
      <c r="T295" s="91" t="s">
        <v>5436</v>
      </c>
      <c r="U295" s="92">
        <v>195</v>
      </c>
      <c r="V295" s="91" t="s">
        <v>5437</v>
      </c>
      <c r="W295" s="92">
        <v>82</v>
      </c>
      <c r="X295" s="91" t="s">
        <v>5438</v>
      </c>
      <c r="Y295" s="92">
        <v>55</v>
      </c>
      <c r="Z295" s="91" t="s">
        <v>3730</v>
      </c>
      <c r="AA295" s="92">
        <v>331</v>
      </c>
    </row>
    <row r="296" spans="1:31" ht="22.5" customHeight="1" thickBot="1">
      <c r="A296" s="92" t="s">
        <v>5443</v>
      </c>
      <c r="C296" s="35" t="s">
        <v>5404</v>
      </c>
      <c r="D296" s="36" t="s">
        <v>5485</v>
      </c>
      <c r="E296" s="36" t="s">
        <v>5405</v>
      </c>
      <c r="F296" s="35" t="str">
        <f t="shared" si="12"/>
        <v>gift-codes.html?game=熱血江湖：福利加強版</v>
      </c>
      <c r="G296" s="36" t="s">
        <v>5406</v>
      </c>
      <c r="H296" s="36" t="str">
        <f t="shared" si="13"/>
        <v>https://www.ssbuy.tw/game-detail.html?game=熱血江湖：福利加強版</v>
      </c>
      <c r="I296" s="37" t="s">
        <v>5450</v>
      </c>
      <c r="J296" s="82" t="s">
        <v>5423</v>
      </c>
      <c r="K296" s="85" t="s">
        <v>5451</v>
      </c>
      <c r="L296" s="91" t="s">
        <v>4888</v>
      </c>
      <c r="M296" s="92">
        <v>2763</v>
      </c>
      <c r="N296" s="91" t="s">
        <v>204</v>
      </c>
      <c r="O296" s="92">
        <v>1446</v>
      </c>
      <c r="P296" s="91" t="s">
        <v>4889</v>
      </c>
      <c r="Q296" s="92">
        <v>855</v>
      </c>
      <c r="R296" s="91" t="s">
        <v>4447</v>
      </c>
      <c r="S296" s="92">
        <v>578</v>
      </c>
      <c r="T296" s="91" t="s">
        <v>4890</v>
      </c>
      <c r="U296" s="92">
        <v>423</v>
      </c>
      <c r="V296" s="91" t="s">
        <v>205</v>
      </c>
      <c r="W296" s="92">
        <v>285</v>
      </c>
      <c r="X296" s="91" t="s">
        <v>239</v>
      </c>
      <c r="Y296" s="92">
        <v>153</v>
      </c>
      <c r="Z296" s="91" t="s">
        <v>240</v>
      </c>
      <c r="AA296" s="92">
        <v>31</v>
      </c>
    </row>
    <row r="297" spans="1:31" ht="22.5" customHeight="1" thickBot="1">
      <c r="A297" s="35" t="s">
        <v>5509</v>
      </c>
      <c r="C297" s="35" t="s">
        <v>5486</v>
      </c>
      <c r="D297" s="35" t="s">
        <v>5486</v>
      </c>
      <c r="E297" s="36" t="s">
        <v>5487</v>
      </c>
      <c r="F297" s="35" t="str">
        <f t="shared" si="12"/>
        <v>gift-codes.html?game=熱血主公Go</v>
      </c>
      <c r="G297" s="82" t="s">
        <v>5496</v>
      </c>
      <c r="H297" s="36" t="str">
        <f t="shared" si="13"/>
        <v>https://www.ssbuy.tw/game-detail.html?game=熱血主公Go</v>
      </c>
      <c r="I297" s="37" t="s">
        <v>5497</v>
      </c>
      <c r="J297" s="82" t="s">
        <v>5423</v>
      </c>
      <c r="K297" s="85" t="s">
        <v>5451</v>
      </c>
      <c r="L297" s="91" t="s">
        <v>5498</v>
      </c>
      <c r="M297" s="92">
        <v>2511</v>
      </c>
      <c r="N297" s="91" t="s">
        <v>5499</v>
      </c>
      <c r="O297" s="92">
        <v>1275</v>
      </c>
      <c r="P297" s="91" t="s">
        <v>5500</v>
      </c>
      <c r="Q297" s="92">
        <v>855</v>
      </c>
      <c r="R297" s="91" t="s">
        <v>5501</v>
      </c>
      <c r="S297" s="92">
        <v>423</v>
      </c>
      <c r="T297" s="91" t="s">
        <v>5502</v>
      </c>
      <c r="U297" s="92">
        <v>153</v>
      </c>
      <c r="V297" s="91" t="s">
        <v>5503</v>
      </c>
      <c r="W297" s="92">
        <v>31</v>
      </c>
    </row>
    <row r="298" spans="1:31" ht="22.5" customHeight="1" thickBot="1">
      <c r="A298" s="92" t="s">
        <v>5545</v>
      </c>
      <c r="C298" s="35" t="s">
        <v>5531</v>
      </c>
      <c r="D298" s="36" t="s">
        <v>5533</v>
      </c>
      <c r="E298" s="36" t="s">
        <v>5532</v>
      </c>
      <c r="F298" s="35" t="str">
        <f t="shared" si="12"/>
        <v>gift-codes.html?game=歡迎來到夢樂園</v>
      </c>
      <c r="G298" s="82" t="s">
        <v>5549</v>
      </c>
      <c r="H298" s="36" t="str">
        <f t="shared" si="13"/>
        <v>https://www.ssbuy.tw/game-detail.html?game=歡迎來到夢樂園</v>
      </c>
      <c r="I298" s="37" t="s">
        <v>5550</v>
      </c>
      <c r="J298" s="82" t="s">
        <v>5423</v>
      </c>
      <c r="K298" s="85" t="s">
        <v>5451</v>
      </c>
      <c r="L298" s="91" t="s">
        <v>5554</v>
      </c>
      <c r="M298" s="92">
        <v>2763</v>
      </c>
      <c r="N298" s="91" t="s">
        <v>5555</v>
      </c>
      <c r="O298" s="92">
        <v>1446</v>
      </c>
      <c r="P298" s="91" t="s">
        <v>5556</v>
      </c>
      <c r="Q298" s="92">
        <v>751</v>
      </c>
      <c r="R298" s="91" t="s">
        <v>5557</v>
      </c>
      <c r="S298" s="92">
        <v>371</v>
      </c>
      <c r="T298" s="91" t="s">
        <v>5558</v>
      </c>
      <c r="U298" s="92">
        <v>319</v>
      </c>
      <c r="V298" s="91" t="s">
        <v>5559</v>
      </c>
      <c r="W298" s="92">
        <v>117</v>
      </c>
      <c r="X298" s="91" t="s">
        <v>5560</v>
      </c>
      <c r="Y298" s="92">
        <v>46</v>
      </c>
      <c r="Z298" s="91" t="s">
        <v>5561</v>
      </c>
      <c r="AA298" s="92">
        <v>117</v>
      </c>
      <c r="AB298" s="91" t="s">
        <v>5562</v>
      </c>
      <c r="AC298" s="92">
        <v>90</v>
      </c>
      <c r="AD298" s="91" t="s">
        <v>98</v>
      </c>
      <c r="AE298" s="92">
        <v>319</v>
      </c>
    </row>
    <row r="299" spans="1:31" ht="22.5" customHeight="1" thickBot="1">
      <c r="A299" s="92" t="s">
        <v>5546</v>
      </c>
      <c r="C299" s="35" t="s">
        <v>5536</v>
      </c>
      <c r="D299" s="36" t="s">
        <v>5535</v>
      </c>
      <c r="E299" s="36" t="s">
        <v>5537</v>
      </c>
      <c r="F299" s="35" t="str">
        <f t="shared" si="12"/>
        <v>gift-codes.html?game=Cryowar</v>
      </c>
      <c r="G299" s="36" t="s">
        <v>5534</v>
      </c>
      <c r="H299" s="36" t="str">
        <f t="shared" si="13"/>
        <v>https://www.ssbuy.tw/game-detail.html?game=Cryowar</v>
      </c>
      <c r="I299" s="37" t="s">
        <v>5551</v>
      </c>
      <c r="J299" s="82" t="s">
        <v>5423</v>
      </c>
      <c r="K299" s="85" t="s">
        <v>5451</v>
      </c>
    </row>
    <row r="300" spans="1:31" ht="22.5" customHeight="1" thickBot="1">
      <c r="A300" s="92" t="s">
        <v>5547</v>
      </c>
      <c r="C300" s="35" t="s">
        <v>5540</v>
      </c>
      <c r="D300" s="36" t="s">
        <v>5541</v>
      </c>
      <c r="E300" s="36" t="s">
        <v>5539</v>
      </c>
      <c r="F300" s="35" t="str">
        <f t="shared" si="12"/>
        <v>gift-codes.html?game=深岩銀河：倖存者</v>
      </c>
      <c r="G300" s="36" t="s">
        <v>5538</v>
      </c>
      <c r="H300" s="36" t="str">
        <f t="shared" si="13"/>
        <v>https://www.ssbuy.tw/game-detail.html?game=深岩銀河：倖存者</v>
      </c>
      <c r="I300" s="37" t="s">
        <v>5552</v>
      </c>
      <c r="J300" s="82" t="s">
        <v>5423</v>
      </c>
      <c r="K300" s="85" t="s">
        <v>5451</v>
      </c>
    </row>
    <row r="301" spans="1:31" ht="22.5" customHeight="1" thickBot="1">
      <c r="A301" s="93" t="s">
        <v>5548</v>
      </c>
      <c r="C301" s="94" t="s">
        <v>5544</v>
      </c>
      <c r="D301" s="36" t="s">
        <v>3688</v>
      </c>
      <c r="E301" s="36" t="s">
        <v>5542</v>
      </c>
      <c r="F301" s="35" t="str">
        <f t="shared" si="12"/>
        <v>gift-codes.html?game=熱血排球少女</v>
      </c>
      <c r="G301" s="36" t="s">
        <v>5543</v>
      </c>
      <c r="H301" s="36" t="str">
        <f t="shared" si="13"/>
        <v>https://www.ssbuy.tw/game-detail.html?game=熱血排球少女</v>
      </c>
      <c r="I301" s="37" t="s">
        <v>5553</v>
      </c>
      <c r="J301" s="82" t="s">
        <v>5423</v>
      </c>
      <c r="K301" s="85" t="s">
        <v>5451</v>
      </c>
      <c r="L301" s="91" t="s">
        <v>5563</v>
      </c>
      <c r="M301" s="92">
        <v>1959</v>
      </c>
      <c r="N301" s="91" t="s">
        <v>5564</v>
      </c>
      <c r="O301" s="92">
        <v>1104</v>
      </c>
      <c r="P301" s="91" t="s">
        <v>5565</v>
      </c>
      <c r="Q301" s="92">
        <v>682</v>
      </c>
      <c r="R301" s="91" t="s">
        <v>5566</v>
      </c>
      <c r="S301" s="92">
        <v>262</v>
      </c>
      <c r="T301" s="91" t="s">
        <v>5567</v>
      </c>
      <c r="U301" s="92">
        <v>108</v>
      </c>
      <c r="V301" s="91" t="s">
        <v>5568</v>
      </c>
      <c r="W301" s="92">
        <v>1104</v>
      </c>
      <c r="X301" s="91" t="s">
        <v>5569</v>
      </c>
      <c r="Y301" s="92">
        <v>276</v>
      </c>
      <c r="Z301" s="91" t="s">
        <v>5570</v>
      </c>
      <c r="AA301" s="92">
        <v>108</v>
      </c>
    </row>
    <row r="302" spans="1:31" ht="22.5" customHeight="1" thickBot="1">
      <c r="A302" s="92" t="s">
        <v>5622</v>
      </c>
      <c r="C302" s="35" t="s">
        <v>5576</v>
      </c>
      <c r="D302" s="36" t="s">
        <v>5575</v>
      </c>
      <c r="E302" s="36" t="s">
        <v>5573</v>
      </c>
      <c r="F302" s="35" t="str">
        <f t="shared" si="12"/>
        <v>gift-codes.html?game=Jetpack Joyride Racing</v>
      </c>
      <c r="G302" s="36" t="s">
        <v>5574</v>
      </c>
      <c r="H302" s="36" t="str">
        <f t="shared" si="13"/>
        <v>https://www.ssbuy.tw/game-detail.html?game=Jetpack Joyride Racing</v>
      </c>
      <c r="I302" s="37" t="s">
        <v>5626</v>
      </c>
      <c r="J302" s="82" t="s">
        <v>5423</v>
      </c>
      <c r="K302" s="85" t="s">
        <v>5451</v>
      </c>
      <c r="L302" s="91" t="s">
        <v>5606</v>
      </c>
      <c r="M302" s="92">
        <v>864</v>
      </c>
      <c r="N302" s="91" t="s">
        <v>107</v>
      </c>
      <c r="O302" s="92">
        <v>84</v>
      </c>
    </row>
    <row r="303" spans="1:31" ht="22.5" customHeight="1" thickBot="1">
      <c r="A303" s="92" t="s">
        <v>5623</v>
      </c>
      <c r="C303" s="35" t="s">
        <v>5580</v>
      </c>
      <c r="D303" s="36" t="s">
        <v>5579</v>
      </c>
      <c r="E303" s="36" t="s">
        <v>5577</v>
      </c>
      <c r="F303" s="35" t="str">
        <f t="shared" si="12"/>
        <v>gift-codes.html?game=三國格子爭奪戰</v>
      </c>
      <c r="G303" s="36" t="s">
        <v>5578</v>
      </c>
      <c r="H303" s="36" t="str">
        <f t="shared" si="13"/>
        <v>https://www.ssbuy.tw/game-detail.html?game=三國格子爭奪戰</v>
      </c>
      <c r="I303" s="37" t="s">
        <v>5627</v>
      </c>
      <c r="J303" s="82" t="s">
        <v>5423</v>
      </c>
      <c r="K303" s="85" t="s">
        <v>5451</v>
      </c>
      <c r="L303" s="91" t="s">
        <v>5007</v>
      </c>
      <c r="M303" s="92">
        <v>2793</v>
      </c>
      <c r="N303" s="91" t="s">
        <v>5008</v>
      </c>
      <c r="O303" s="92">
        <v>1462</v>
      </c>
      <c r="P303" s="91" t="s">
        <v>5009</v>
      </c>
      <c r="Q303" s="92">
        <v>585</v>
      </c>
      <c r="R303" s="91" t="s">
        <v>5010</v>
      </c>
      <c r="S303" s="92">
        <v>288</v>
      </c>
      <c r="T303" s="91" t="s">
        <v>5011</v>
      </c>
      <c r="U303" s="92">
        <v>155</v>
      </c>
      <c r="V303" s="91" t="s">
        <v>1377</v>
      </c>
      <c r="W303" s="92">
        <v>31</v>
      </c>
    </row>
    <row r="304" spans="1:31" ht="22.5" customHeight="1" thickBot="1">
      <c r="A304" s="92" t="s">
        <v>5624</v>
      </c>
      <c r="C304" s="35" t="s">
        <v>5583</v>
      </c>
      <c r="D304" s="36" t="s">
        <v>5582</v>
      </c>
      <c r="E304" s="36" t="s">
        <v>5584</v>
      </c>
      <c r="F304" s="35" t="str">
        <f t="shared" si="12"/>
        <v>gift-codes.html?game=貓茶小當家：掌櫃養成記</v>
      </c>
      <c r="G304" s="36" t="s">
        <v>5581</v>
      </c>
      <c r="H304" s="36" t="str">
        <f t="shared" si="13"/>
        <v>https://www.ssbuy.tw/game-detail.html?game=貓茶小當家：掌櫃養成記</v>
      </c>
      <c r="I304" s="37" t="s">
        <v>5628</v>
      </c>
      <c r="J304" s="82" t="s">
        <v>5423</v>
      </c>
      <c r="K304" s="85" t="s">
        <v>5451</v>
      </c>
      <c r="L304" s="91" t="s">
        <v>5676</v>
      </c>
      <c r="M304" s="92">
        <v>2539</v>
      </c>
      <c r="N304" s="91" t="s">
        <v>5677</v>
      </c>
      <c r="O304" s="92">
        <v>1289</v>
      </c>
      <c r="P304" s="91" t="s">
        <v>5678</v>
      </c>
      <c r="Q304" s="92">
        <v>864</v>
      </c>
      <c r="R304" s="91" t="s">
        <v>5679</v>
      </c>
      <c r="S304" s="92">
        <v>602</v>
      </c>
      <c r="T304" s="91" t="s">
        <v>5680</v>
      </c>
      <c r="U304" s="92">
        <v>279</v>
      </c>
      <c r="V304" s="91" t="s">
        <v>5681</v>
      </c>
      <c r="W304" s="92">
        <v>56</v>
      </c>
      <c r="X304" s="91"/>
      <c r="Y304" s="92"/>
      <c r="Z304" s="91"/>
      <c r="AA304" s="92"/>
      <c r="AB304" s="91"/>
      <c r="AC304" s="92"/>
    </row>
    <row r="305" spans="1:31" ht="22.5" customHeight="1" thickBot="1">
      <c r="A305" s="92" t="s">
        <v>5571</v>
      </c>
      <c r="C305" s="35" t="s">
        <v>5591</v>
      </c>
      <c r="D305" s="36" t="s">
        <v>5587</v>
      </c>
      <c r="E305" s="36" t="s">
        <v>5585</v>
      </c>
      <c r="F305" s="35" t="str">
        <f t="shared" si="12"/>
        <v>gift-codes.html?game=Viladia：精靈村的時光</v>
      </c>
      <c r="G305" s="36" t="s">
        <v>5586</v>
      </c>
      <c r="H305" s="36" t="str">
        <f t="shared" si="13"/>
        <v>https://www.ssbuy.tw/game-detail.html?game=Viladia：精靈村的時光</v>
      </c>
      <c r="I305" s="37" t="s">
        <v>5629</v>
      </c>
      <c r="J305" s="82" t="s">
        <v>5423</v>
      </c>
      <c r="K305" s="85" t="s">
        <v>5454</v>
      </c>
      <c r="L305" s="91" t="s">
        <v>1268</v>
      </c>
      <c r="M305" s="92">
        <v>2539</v>
      </c>
      <c r="N305" s="91" t="s">
        <v>5632</v>
      </c>
      <c r="O305" s="92">
        <v>1116</v>
      </c>
      <c r="P305" s="91" t="s">
        <v>65</v>
      </c>
      <c r="Q305" s="92">
        <v>602</v>
      </c>
      <c r="R305" s="91" t="s">
        <v>1327</v>
      </c>
      <c r="S305" s="92">
        <v>279</v>
      </c>
      <c r="T305" s="91" t="s">
        <v>5633</v>
      </c>
      <c r="U305" s="92">
        <v>137</v>
      </c>
      <c r="V305" s="91" t="s">
        <v>5634</v>
      </c>
      <c r="W305" s="92">
        <v>56</v>
      </c>
    </row>
    <row r="306" spans="1:31" ht="22.5" customHeight="1" thickBot="1">
      <c r="A306" s="92" t="s">
        <v>5572</v>
      </c>
      <c r="C306" s="35" t="s">
        <v>5590</v>
      </c>
      <c r="D306" s="36" t="s">
        <v>5588</v>
      </c>
      <c r="E306" s="36" t="s">
        <v>5589</v>
      </c>
      <c r="F306" s="35" t="str">
        <f t="shared" si="12"/>
        <v>gift-codes.html?game=G9：特功聯盟</v>
      </c>
      <c r="G306" s="82" t="s">
        <v>5625</v>
      </c>
      <c r="H306" s="36" t="str">
        <f t="shared" si="13"/>
        <v>https://www.ssbuy.tw/game-detail.html?game=G9：特功聯盟</v>
      </c>
      <c r="I306" s="37" t="s">
        <v>5630</v>
      </c>
      <c r="J306" s="82" t="s">
        <v>5423</v>
      </c>
      <c r="K306" s="85" t="s">
        <v>5451</v>
      </c>
      <c r="L306" s="91" t="s">
        <v>5682</v>
      </c>
      <c r="M306" s="92">
        <v>2793</v>
      </c>
      <c r="N306" s="91" t="s">
        <v>5683</v>
      </c>
      <c r="O306" s="92">
        <v>1462</v>
      </c>
      <c r="P306" s="91" t="s">
        <v>5684</v>
      </c>
      <c r="Q306" s="92">
        <v>585</v>
      </c>
      <c r="R306" s="91" t="s">
        <v>5685</v>
      </c>
      <c r="S306" s="92">
        <v>288</v>
      </c>
      <c r="T306" s="91" t="s">
        <v>5686</v>
      </c>
      <c r="U306" s="92">
        <v>155</v>
      </c>
      <c r="V306" s="91" t="s">
        <v>5687</v>
      </c>
      <c r="W306" s="92">
        <v>31</v>
      </c>
      <c r="X306" s="91" t="s">
        <v>5688</v>
      </c>
      <c r="Y306" s="92">
        <v>288</v>
      </c>
      <c r="Z306" s="91" t="s">
        <v>5689</v>
      </c>
      <c r="AA306" s="92">
        <v>93</v>
      </c>
    </row>
    <row r="307" spans="1:31" ht="22.5" customHeight="1" thickBot="1">
      <c r="A307" s="92" t="s">
        <v>5650</v>
      </c>
      <c r="C307" s="35" t="s">
        <v>5636</v>
      </c>
      <c r="D307" s="36" t="s">
        <v>5642</v>
      </c>
      <c r="E307" s="36" t="s">
        <v>5643</v>
      </c>
      <c r="F307" s="35" t="str">
        <f t="shared" si="12"/>
        <v>gift-codes.html?game=AION2</v>
      </c>
      <c r="G307" s="36" t="s">
        <v>5644</v>
      </c>
      <c r="H307" s="36" t="str">
        <f t="shared" si="13"/>
        <v>https://www.ssbuy.tw/game-detail.html?game=AION2</v>
      </c>
      <c r="I307" s="37" t="s">
        <v>5662</v>
      </c>
      <c r="J307" s="82" t="s">
        <v>5423</v>
      </c>
      <c r="K307" s="85" t="s">
        <v>5451</v>
      </c>
    </row>
    <row r="308" spans="1:31" ht="22.5" customHeight="1" thickBot="1">
      <c r="A308" s="92" t="s">
        <v>6299</v>
      </c>
      <c r="C308" s="35" t="s">
        <v>5637</v>
      </c>
      <c r="D308" s="36" t="s">
        <v>5645</v>
      </c>
      <c r="E308" s="36" t="s">
        <v>5647</v>
      </c>
      <c r="F308" s="35" t="str">
        <f t="shared" si="12"/>
        <v>gift-codes.html?game=信長之野望 真戰</v>
      </c>
      <c r="G308" s="36" t="s">
        <v>5646</v>
      </c>
      <c r="H308" s="36" t="str">
        <f t="shared" si="13"/>
        <v>https://www.ssbuy.tw/game-detail.html?game=信長之野望 真戰</v>
      </c>
      <c r="I308" s="37" t="s">
        <v>5663</v>
      </c>
      <c r="J308" s="82" t="s">
        <v>5423</v>
      </c>
      <c r="K308" s="85" t="s">
        <v>5451</v>
      </c>
      <c r="L308" s="91" t="s">
        <v>5653</v>
      </c>
      <c r="M308" s="92">
        <v>2793</v>
      </c>
      <c r="N308" s="91" t="s">
        <v>5654</v>
      </c>
      <c r="O308" s="92">
        <v>1462</v>
      </c>
      <c r="P308" s="91" t="s">
        <v>5655</v>
      </c>
      <c r="Q308" s="92">
        <v>864</v>
      </c>
      <c r="R308" s="91" t="s">
        <v>5656</v>
      </c>
      <c r="S308" s="92">
        <v>428</v>
      </c>
      <c r="T308" s="91" t="s">
        <v>5657</v>
      </c>
      <c r="U308" s="92">
        <v>155</v>
      </c>
      <c r="V308" s="91" t="s">
        <v>5658</v>
      </c>
      <c r="W308" s="92">
        <v>31</v>
      </c>
      <c r="X308" s="91" t="s">
        <v>5659</v>
      </c>
      <c r="Y308" s="92">
        <v>2793</v>
      </c>
      <c r="Z308" s="91" t="s">
        <v>5660</v>
      </c>
      <c r="AA308" s="92">
        <v>1462</v>
      </c>
      <c r="AB308" s="91" t="s">
        <v>5661</v>
      </c>
      <c r="AC308" s="92">
        <v>864</v>
      </c>
    </row>
    <row r="309" spans="1:31" ht="22.5" customHeight="1" thickBot="1">
      <c r="A309" s="92" t="s">
        <v>6300</v>
      </c>
      <c r="C309" s="35" t="s">
        <v>5638</v>
      </c>
      <c r="D309" s="36" t="s">
        <v>5648</v>
      </c>
      <c r="E309" s="36" t="s">
        <v>5649</v>
      </c>
      <c r="F309" s="35" t="str">
        <f t="shared" si="12"/>
        <v>gift-codes.html?game=BLEACH：刀鳴</v>
      </c>
      <c r="G309" s="36" t="s">
        <v>5641</v>
      </c>
      <c r="H309" s="36" t="str">
        <f t="shared" si="13"/>
        <v>https://www.ssbuy.tw/game-detail.html?game=BLEACH：刀鳴</v>
      </c>
      <c r="I309" s="37" t="s">
        <v>5664</v>
      </c>
      <c r="J309" s="82" t="s">
        <v>5423</v>
      </c>
      <c r="K309" s="85" t="s">
        <v>5451</v>
      </c>
      <c r="L309" s="91" t="s">
        <v>4654</v>
      </c>
      <c r="M309" s="92">
        <v>2867</v>
      </c>
      <c r="N309" s="91" t="s">
        <v>4655</v>
      </c>
      <c r="O309" s="92">
        <v>1500</v>
      </c>
      <c r="P309" s="91" t="s">
        <v>4656</v>
      </c>
      <c r="Q309" s="92">
        <v>887</v>
      </c>
      <c r="R309" s="91" t="s">
        <v>5799</v>
      </c>
      <c r="S309" s="92">
        <v>439</v>
      </c>
      <c r="T309" s="91" t="s">
        <v>4657</v>
      </c>
      <c r="U309" s="92">
        <v>159</v>
      </c>
      <c r="V309" s="91" t="s">
        <v>4658</v>
      </c>
      <c r="W309" s="92">
        <v>32</v>
      </c>
      <c r="X309" s="91" t="s">
        <v>5800</v>
      </c>
      <c r="Y309" s="92">
        <v>159</v>
      </c>
      <c r="Z309" s="91" t="s">
        <v>5801</v>
      </c>
      <c r="AA309" s="92">
        <v>296</v>
      </c>
      <c r="AB309" s="91" t="s">
        <v>5802</v>
      </c>
      <c r="AC309" s="92">
        <v>600</v>
      </c>
    </row>
    <row r="310" spans="1:31" ht="22.5" customHeight="1" thickBot="1">
      <c r="A310" s="92" t="s">
        <v>5651</v>
      </c>
      <c r="C310" s="35" t="s">
        <v>5639</v>
      </c>
      <c r="D310" s="36" t="s">
        <v>5635</v>
      </c>
      <c r="E310" s="36" t="s">
        <v>5640</v>
      </c>
      <c r="F310" s="35" t="str">
        <f t="shared" si="12"/>
        <v>gift-codes.html?game=不朽龍裔</v>
      </c>
      <c r="G310" s="82" t="s">
        <v>5652</v>
      </c>
      <c r="H310" s="36" t="str">
        <f t="shared" si="13"/>
        <v>https://www.ssbuy.tw/game-detail.html?game=不朽龍裔</v>
      </c>
      <c r="I310" s="37" t="s">
        <v>5665</v>
      </c>
      <c r="J310" s="82" t="s">
        <v>5423</v>
      </c>
      <c r="K310" s="85" t="s">
        <v>5451</v>
      </c>
      <c r="L310" s="91" t="s">
        <v>5913</v>
      </c>
      <c r="M310" s="92">
        <v>2867</v>
      </c>
      <c r="N310" s="91" t="s">
        <v>5914</v>
      </c>
      <c r="O310" s="92">
        <v>1500</v>
      </c>
      <c r="P310" s="91" t="s">
        <v>5915</v>
      </c>
      <c r="Q310" s="92">
        <v>887</v>
      </c>
      <c r="R310" s="91" t="s">
        <v>5916</v>
      </c>
      <c r="S310" s="92">
        <v>439</v>
      </c>
      <c r="T310" s="91" t="s">
        <v>5917</v>
      </c>
      <c r="U310" s="92">
        <v>159</v>
      </c>
      <c r="V310" s="91" t="s">
        <v>5918</v>
      </c>
      <c r="W310" s="92">
        <v>32</v>
      </c>
      <c r="X310" s="91"/>
      <c r="Y310" s="92"/>
      <c r="Z310" s="91"/>
      <c r="AA310" s="92"/>
      <c r="AB310" s="91"/>
      <c r="AC310" s="92"/>
      <c r="AD310" s="91"/>
      <c r="AE310" s="92"/>
    </row>
    <row r="311" spans="1:31" ht="22.5" customHeight="1" thickBot="1">
      <c r="A311" s="35" t="s">
        <v>5693</v>
      </c>
      <c r="C311" s="35" t="s">
        <v>5692</v>
      </c>
      <c r="D311" s="36" t="s">
        <v>5691</v>
      </c>
      <c r="E311" s="36" t="s">
        <v>5690</v>
      </c>
      <c r="F311" s="35" t="str">
        <f t="shared" si="12"/>
        <v>gift-codes.html?game=NBA籃球世界</v>
      </c>
      <c r="G311" s="82" t="s">
        <v>5694</v>
      </c>
      <c r="H311" s="36" t="str">
        <f t="shared" si="13"/>
        <v>https://www.ssbuy.tw/game-detail.html?game=NBA籃球世界</v>
      </c>
      <c r="I311" s="37" t="s">
        <v>5695</v>
      </c>
      <c r="J311" s="82" t="s">
        <v>5423</v>
      </c>
      <c r="K311" s="85" t="s">
        <v>5451</v>
      </c>
      <c r="L311" s="91" t="s">
        <v>5740</v>
      </c>
      <c r="M311" s="92">
        <v>2591</v>
      </c>
      <c r="N311" s="91" t="s">
        <v>5741</v>
      </c>
      <c r="O311" s="92">
        <v>1315</v>
      </c>
      <c r="P311" s="91" t="s">
        <v>5742</v>
      </c>
      <c r="Q311" s="92">
        <v>882</v>
      </c>
      <c r="R311" s="91" t="s">
        <v>5743</v>
      </c>
      <c r="S311" s="92">
        <v>437</v>
      </c>
      <c r="T311" s="91" t="s">
        <v>5744</v>
      </c>
      <c r="U311" s="92">
        <v>158</v>
      </c>
      <c r="V311" s="91" t="s">
        <v>5745</v>
      </c>
      <c r="W311" s="92">
        <v>32</v>
      </c>
      <c r="X311" s="91" t="s">
        <v>98</v>
      </c>
      <c r="Y311" s="92">
        <v>158</v>
      </c>
      <c r="Z311" s="91" t="s">
        <v>5746</v>
      </c>
      <c r="AA311" s="92">
        <v>93</v>
      </c>
      <c r="AB311" s="91"/>
      <c r="AC311" s="92"/>
      <c r="AD311" s="91"/>
      <c r="AE311" s="92"/>
    </row>
    <row r="312" spans="1:31" ht="22.5" customHeight="1" thickBot="1">
      <c r="A312" s="93" t="s">
        <v>5728</v>
      </c>
      <c r="C312" s="35" t="s">
        <v>5725</v>
      </c>
      <c r="D312" s="36" t="s">
        <v>5726</v>
      </c>
      <c r="E312" s="36" t="s">
        <v>5727</v>
      </c>
      <c r="F312" s="35" t="str">
        <f t="shared" ref="F312:F370" si="14">IF(A312="", "", "gift-codes.html?game=" &amp; A312)</f>
        <v>gift-codes.html?game=英雄來搞鬼</v>
      </c>
      <c r="G312" s="82" t="s">
        <v>5729</v>
      </c>
      <c r="H312" s="36" t="str">
        <f t="shared" ref="H312:H370" si="15">IF(A312="", "", "https://www.ssbuy.tw/game-detail.html?game="&amp;A312)</f>
        <v>https://www.ssbuy.tw/game-detail.html?game=英雄來搞鬼</v>
      </c>
      <c r="I312" s="37" t="s">
        <v>5730</v>
      </c>
      <c r="J312" s="82" t="s">
        <v>5423</v>
      </c>
      <c r="K312" s="85" t="s">
        <v>5451</v>
      </c>
      <c r="L312" s="91" t="s">
        <v>5731</v>
      </c>
      <c r="M312" s="92">
        <v>2851</v>
      </c>
      <c r="N312" s="91" t="s">
        <v>5732</v>
      </c>
      <c r="O312" s="92">
        <v>1492</v>
      </c>
      <c r="P312" s="91" t="s">
        <v>5733</v>
      </c>
      <c r="Q312" s="92">
        <v>882</v>
      </c>
      <c r="R312" s="91" t="s">
        <v>5734</v>
      </c>
      <c r="S312" s="92">
        <v>775</v>
      </c>
      <c r="T312" s="91" t="s">
        <v>5735</v>
      </c>
      <c r="U312" s="92">
        <v>597</v>
      </c>
      <c r="V312" s="91" t="s">
        <v>5736</v>
      </c>
      <c r="W312" s="92">
        <v>437</v>
      </c>
      <c r="X312" s="91" t="s">
        <v>5737</v>
      </c>
      <c r="Y312" s="92">
        <v>294</v>
      </c>
      <c r="Z312" s="91" t="s">
        <v>5738</v>
      </c>
      <c r="AA312" s="92">
        <v>224</v>
      </c>
      <c r="AB312" s="91" t="s">
        <v>5739</v>
      </c>
      <c r="AC312" s="92">
        <v>158</v>
      </c>
    </row>
    <row r="313" spans="1:31" ht="22.5" customHeight="1" thickBot="1">
      <c r="A313" s="92" t="s">
        <v>6301</v>
      </c>
      <c r="C313" s="35" t="s">
        <v>5761</v>
      </c>
      <c r="D313" s="36" t="s">
        <v>5767</v>
      </c>
      <c r="E313" s="36" t="s">
        <v>5768</v>
      </c>
      <c r="F313" s="35" t="str">
        <f t="shared" si="14"/>
        <v>gift-codes.html?game=RO新世代：攜手同行</v>
      </c>
      <c r="G313" s="82" t="s">
        <v>5786</v>
      </c>
      <c r="H313" s="36" t="str">
        <f t="shared" si="15"/>
        <v>https://www.ssbuy.tw/game-detail.html?game=RO新世代：攜手同行</v>
      </c>
      <c r="I313" s="37" t="s">
        <v>5803</v>
      </c>
      <c r="J313" s="82" t="s">
        <v>5423</v>
      </c>
      <c r="K313" s="85" t="s">
        <v>5451</v>
      </c>
    </row>
    <row r="314" spans="1:31" ht="22.5" customHeight="1" thickBot="1">
      <c r="A314" s="92" t="s">
        <v>5783</v>
      </c>
      <c r="C314" s="35" t="s">
        <v>5758</v>
      </c>
      <c r="D314" s="36" t="s">
        <v>5759</v>
      </c>
      <c r="E314" s="36" t="s">
        <v>5760</v>
      </c>
      <c r="F314" s="35" t="str">
        <f t="shared" si="14"/>
        <v>gift-codes.html?game=星落</v>
      </c>
      <c r="G314" s="82" t="s">
        <v>5787</v>
      </c>
      <c r="H314" s="36" t="str">
        <f t="shared" si="15"/>
        <v>https://www.ssbuy.tw/game-detail.html?game=星落</v>
      </c>
      <c r="I314" s="37" t="s">
        <v>5805</v>
      </c>
      <c r="J314" s="82" t="s">
        <v>5423</v>
      </c>
      <c r="K314" s="85" t="s">
        <v>5451</v>
      </c>
      <c r="L314" s="91" t="s">
        <v>5868</v>
      </c>
      <c r="M314" s="92">
        <v>3721</v>
      </c>
      <c r="N314" s="91" t="s">
        <v>5869</v>
      </c>
      <c r="O314" s="92">
        <v>2323</v>
      </c>
      <c r="P314" s="91" t="s">
        <v>5870</v>
      </c>
      <c r="Q314" s="92">
        <v>1545</v>
      </c>
      <c r="R314" s="91" t="s">
        <v>5871</v>
      </c>
      <c r="S314" s="92">
        <v>941</v>
      </c>
      <c r="T314" s="91" t="s">
        <v>5872</v>
      </c>
      <c r="U314" s="92">
        <v>427</v>
      </c>
      <c r="V314" s="91" t="s">
        <v>5873</v>
      </c>
      <c r="W314" s="92">
        <v>93</v>
      </c>
      <c r="X314" s="91" t="s">
        <v>5874</v>
      </c>
      <c r="Y314" s="92">
        <v>137</v>
      </c>
      <c r="Z314" s="91" t="s">
        <v>5875</v>
      </c>
      <c r="AA314" s="92">
        <v>636</v>
      </c>
      <c r="AB314" s="91" t="s">
        <v>5876</v>
      </c>
      <c r="AC314" s="92">
        <v>288</v>
      </c>
      <c r="AD314" s="91" t="s">
        <v>5877</v>
      </c>
      <c r="AE314" s="92">
        <v>427</v>
      </c>
    </row>
    <row r="315" spans="1:31" ht="22.5" customHeight="1" thickBot="1">
      <c r="A315" s="92" t="s">
        <v>5784</v>
      </c>
      <c r="C315" s="35" t="s">
        <v>5762</v>
      </c>
      <c r="D315" s="36" t="s">
        <v>5763</v>
      </c>
      <c r="E315" s="36" t="s">
        <v>5769</v>
      </c>
      <c r="F315" s="35" t="str">
        <f t="shared" si="14"/>
        <v>gift-codes.html?game=超自然行動組</v>
      </c>
      <c r="G315" s="82" t="s">
        <v>5788</v>
      </c>
      <c r="H315" s="36" t="str">
        <f t="shared" si="15"/>
        <v>https://www.ssbuy.tw/game-detail.html?game=超自然行動組</v>
      </c>
      <c r="I315" s="37" t="s">
        <v>5806</v>
      </c>
      <c r="J315" s="82" t="s">
        <v>5423</v>
      </c>
      <c r="K315" s="85" t="s">
        <v>5451</v>
      </c>
      <c r="L315" s="91" t="s">
        <v>5790</v>
      </c>
      <c r="M315" s="92">
        <v>2605</v>
      </c>
      <c r="N315" s="91" t="s">
        <v>5791</v>
      </c>
      <c r="O315" s="92">
        <v>1323</v>
      </c>
      <c r="P315" s="91" t="s">
        <v>5792</v>
      </c>
      <c r="Q315" s="92">
        <v>797</v>
      </c>
      <c r="R315" s="91" t="s">
        <v>5793</v>
      </c>
      <c r="S315" s="92">
        <v>600</v>
      </c>
      <c r="T315" s="91" t="s">
        <v>5794</v>
      </c>
      <c r="U315" s="92">
        <v>281</v>
      </c>
      <c r="V315" s="91" t="s">
        <v>5795</v>
      </c>
      <c r="W315" s="92">
        <v>140</v>
      </c>
      <c r="X315" s="91" t="s">
        <v>5796</v>
      </c>
      <c r="Y315" s="92">
        <v>86</v>
      </c>
      <c r="Z315" s="91" t="s">
        <v>5797</v>
      </c>
      <c r="AA315" s="92">
        <v>591</v>
      </c>
      <c r="AB315" s="91" t="s">
        <v>5798</v>
      </c>
      <c r="AC315" s="92">
        <v>314</v>
      </c>
    </row>
    <row r="316" spans="1:31" ht="22.5" customHeight="1" thickBot="1">
      <c r="A316" s="92" t="s">
        <v>5785</v>
      </c>
      <c r="C316" s="35" t="s">
        <v>5764</v>
      </c>
      <c r="D316" s="36" t="s">
        <v>5765</v>
      </c>
      <c r="E316" s="36" t="s">
        <v>5766</v>
      </c>
      <c r="F316" s="35" t="str">
        <f t="shared" si="14"/>
        <v>gift-codes.html?game=問劍長生</v>
      </c>
      <c r="G316" s="82" t="s">
        <v>5789</v>
      </c>
      <c r="H316" s="36" t="str">
        <f t="shared" si="15"/>
        <v>https://www.ssbuy.tw/game-detail.html?game=問劍長生</v>
      </c>
      <c r="I316" s="37" t="s">
        <v>5804</v>
      </c>
      <c r="J316" s="82" t="s">
        <v>5423</v>
      </c>
      <c r="K316" s="85" t="s">
        <v>5451</v>
      </c>
      <c r="L316" s="91" t="s">
        <v>5859</v>
      </c>
      <c r="M316" s="92">
        <v>2788</v>
      </c>
      <c r="N316" s="91" t="s">
        <v>5860</v>
      </c>
      <c r="O316" s="92">
        <v>1459</v>
      </c>
      <c r="P316" s="91" t="s">
        <v>5861</v>
      </c>
      <c r="Q316" s="92">
        <v>887</v>
      </c>
      <c r="R316" s="91" t="s">
        <v>5862</v>
      </c>
      <c r="S316" s="92">
        <v>439</v>
      </c>
      <c r="T316" s="91" t="s">
        <v>5863</v>
      </c>
      <c r="U316" s="92">
        <v>159</v>
      </c>
      <c r="V316" s="91" t="s">
        <v>5864</v>
      </c>
      <c r="W316" s="92">
        <v>32</v>
      </c>
      <c r="X316" s="91" t="s">
        <v>107</v>
      </c>
      <c r="Y316" s="92">
        <v>131</v>
      </c>
      <c r="Z316" s="91" t="s">
        <v>1436</v>
      </c>
      <c r="AA316" s="92">
        <v>600</v>
      </c>
      <c r="AB316" s="91" t="s">
        <v>5865</v>
      </c>
      <c r="AC316" s="92">
        <v>842</v>
      </c>
    </row>
    <row r="317" spans="1:31" ht="22.5" customHeight="1" thickBot="1">
      <c r="A317" s="92" t="s">
        <v>5821</v>
      </c>
      <c r="C317" s="35" t="s">
        <v>5814</v>
      </c>
      <c r="D317" s="36" t="s">
        <v>5815</v>
      </c>
      <c r="E317" s="36" t="s">
        <v>5816</v>
      </c>
      <c r="F317" s="35" t="str">
        <f t="shared" si="14"/>
        <v>gift-codes.html?game=道友你好劍：群英集結</v>
      </c>
      <c r="G317" s="36" t="s">
        <v>5817</v>
      </c>
      <c r="H317" s="36" t="str">
        <f t="shared" si="15"/>
        <v>https://www.ssbuy.tw/game-detail.html?game=道友你好劍：群英集結</v>
      </c>
      <c r="I317" s="37" t="s">
        <v>5824</v>
      </c>
      <c r="J317" s="82" t="s">
        <v>5423</v>
      </c>
      <c r="K317" s="85" t="s">
        <v>5451</v>
      </c>
      <c r="L317" s="91" t="s">
        <v>5833</v>
      </c>
      <c r="M317" s="92">
        <v>2867</v>
      </c>
      <c r="N317" s="91" t="s">
        <v>5834</v>
      </c>
      <c r="O317" s="92">
        <v>1500</v>
      </c>
      <c r="P317" s="91" t="s">
        <v>5835</v>
      </c>
      <c r="Q317" s="92">
        <v>887</v>
      </c>
      <c r="R317" s="91" t="s">
        <v>5836</v>
      </c>
      <c r="S317" s="92">
        <v>573</v>
      </c>
      <c r="T317" s="91" t="s">
        <v>5837</v>
      </c>
      <c r="U317" s="92">
        <v>296</v>
      </c>
      <c r="V317" s="91" t="s">
        <v>5838</v>
      </c>
      <c r="W317" s="92">
        <v>159</v>
      </c>
      <c r="X317" s="91" t="s">
        <v>5839</v>
      </c>
      <c r="Y317" s="92">
        <v>32</v>
      </c>
    </row>
    <row r="318" spans="1:31" ht="22.5" customHeight="1" thickBot="1">
      <c r="A318" s="92" t="s">
        <v>5822</v>
      </c>
      <c r="C318" s="35" t="s">
        <v>5818</v>
      </c>
      <c r="D318" s="36" t="s">
        <v>5819</v>
      </c>
      <c r="E318" s="36" t="s">
        <v>5820</v>
      </c>
      <c r="F318" s="35" t="str">
        <f t="shared" si="14"/>
        <v>gift-codes.html?game=荒島求生：重建家園</v>
      </c>
      <c r="G318" s="82" t="s">
        <v>5823</v>
      </c>
      <c r="H318" s="36" t="str">
        <f t="shared" si="15"/>
        <v>https://www.ssbuy.tw/game-detail.html?game=荒島求生：重建家園</v>
      </c>
      <c r="I318" s="37" t="s">
        <v>5825</v>
      </c>
      <c r="J318" s="82" t="s">
        <v>5423</v>
      </c>
      <c r="K318" s="85" t="s">
        <v>5451</v>
      </c>
      <c r="L318" s="91" t="s">
        <v>5826</v>
      </c>
      <c r="M318" s="92">
        <v>2605</v>
      </c>
      <c r="N318" s="91" t="s">
        <v>63</v>
      </c>
      <c r="O318" s="92">
        <v>1323</v>
      </c>
      <c r="P318" s="91" t="s">
        <v>1326</v>
      </c>
      <c r="Q318" s="92">
        <v>618</v>
      </c>
      <c r="R318" s="91" t="s">
        <v>5827</v>
      </c>
      <c r="S318" s="92">
        <v>287</v>
      </c>
      <c r="T318" s="91" t="s">
        <v>5828</v>
      </c>
      <c r="U318" s="92">
        <v>140</v>
      </c>
      <c r="V318" s="91" t="s">
        <v>7</v>
      </c>
      <c r="W318" s="92">
        <v>58</v>
      </c>
      <c r="X318" s="91" t="s">
        <v>3847</v>
      </c>
      <c r="Y318" s="92">
        <v>287</v>
      </c>
      <c r="Z318" s="91" t="s">
        <v>5829</v>
      </c>
      <c r="AA318" s="92">
        <v>140</v>
      </c>
    </row>
    <row r="319" spans="1:31" ht="22.5" customHeight="1" thickBot="1">
      <c r="A319" s="92" t="s">
        <v>5892</v>
      </c>
      <c r="C319" s="35" t="s">
        <v>5891</v>
      </c>
      <c r="D319" s="36" t="s">
        <v>5890</v>
      </c>
      <c r="E319" s="36" t="s">
        <v>5889</v>
      </c>
      <c r="F319" s="35" t="str">
        <f t="shared" si="14"/>
        <v>gift-codes.html?game=絕地鴨衛</v>
      </c>
      <c r="G319" s="82" t="s">
        <v>5894</v>
      </c>
      <c r="H319" s="36" t="str">
        <f t="shared" si="15"/>
        <v>https://www.ssbuy.tw/game-detail.html?game=絕地鴨衛</v>
      </c>
      <c r="I319" s="37" t="s">
        <v>5896</v>
      </c>
      <c r="J319" s="82" t="s">
        <v>5423</v>
      </c>
      <c r="K319" s="85" t="s">
        <v>5451</v>
      </c>
      <c r="L319" s="91" t="s">
        <v>5897</v>
      </c>
      <c r="M319" s="92">
        <v>529</v>
      </c>
      <c r="N319" s="91" t="s">
        <v>5898</v>
      </c>
      <c r="O319" s="92">
        <v>287</v>
      </c>
      <c r="P319" s="91" t="s">
        <v>5899</v>
      </c>
      <c r="Q319" s="92">
        <v>178</v>
      </c>
      <c r="R319" s="91" t="s">
        <v>5900</v>
      </c>
      <c r="S319" s="92">
        <v>86</v>
      </c>
      <c r="T319" s="91" t="s">
        <v>5901</v>
      </c>
      <c r="U319" s="92">
        <v>29</v>
      </c>
      <c r="V319" s="91" t="s">
        <v>5902</v>
      </c>
      <c r="W319" s="92">
        <v>140</v>
      </c>
      <c r="X319" s="91" t="s">
        <v>5903</v>
      </c>
      <c r="Y319" s="92">
        <v>287</v>
      </c>
    </row>
    <row r="320" spans="1:31" ht="22.5" customHeight="1" thickBot="1">
      <c r="A320" s="92" t="s">
        <v>5893</v>
      </c>
      <c r="C320" s="35" t="s">
        <v>5888</v>
      </c>
      <c r="D320" s="36" t="s">
        <v>5886</v>
      </c>
      <c r="E320" s="36" t="s">
        <v>5887</v>
      </c>
      <c r="F320" s="35" t="str">
        <f t="shared" si="14"/>
        <v>gift-codes.html?game=NBA 2K26 Myteam</v>
      </c>
      <c r="G320" s="82" t="s">
        <v>5895</v>
      </c>
      <c r="H320" s="36" t="str">
        <f t="shared" si="15"/>
        <v>https://www.ssbuy.tw/game-detail.html?game=NBA 2K26 Myteam</v>
      </c>
      <c r="I320" s="37" t="s">
        <v>5904</v>
      </c>
      <c r="J320" s="82" t="s">
        <v>5423</v>
      </c>
      <c r="K320" s="85" t="s">
        <v>5451</v>
      </c>
      <c r="L320" s="91" t="s">
        <v>5905</v>
      </c>
      <c r="M320" s="92">
        <v>4008</v>
      </c>
      <c r="N320" s="91" t="s">
        <v>5906</v>
      </c>
      <c r="O320" s="92">
        <v>2692</v>
      </c>
      <c r="P320" s="91" t="s">
        <v>5907</v>
      </c>
      <c r="Q320" s="92">
        <v>1323</v>
      </c>
      <c r="R320" s="91" t="s">
        <v>5908</v>
      </c>
      <c r="S320" s="92">
        <v>529</v>
      </c>
      <c r="T320" s="91" t="s">
        <v>5909</v>
      </c>
      <c r="U320" s="92">
        <v>281</v>
      </c>
      <c r="V320" s="91" t="s">
        <v>5910</v>
      </c>
      <c r="W320" s="92">
        <v>140</v>
      </c>
      <c r="X320" s="91" t="s">
        <v>5911</v>
      </c>
      <c r="Y320" s="92">
        <v>58</v>
      </c>
    </row>
    <row r="321" spans="1:31" ht="22.5" customHeight="1" thickBot="1">
      <c r="A321" s="92" t="s">
        <v>5945</v>
      </c>
      <c r="C321" s="35" t="s">
        <v>5920</v>
      </c>
      <c r="D321" s="35" t="s">
        <v>5920</v>
      </c>
      <c r="E321" s="36" t="s">
        <v>5921</v>
      </c>
      <c r="F321" s="35" t="str">
        <f t="shared" si="14"/>
        <v>gift-codes.html?game=放置法陣</v>
      </c>
      <c r="G321" s="82" t="s">
        <v>5925</v>
      </c>
      <c r="H321" s="36" t="str">
        <f t="shared" si="15"/>
        <v>https://www.ssbuy.tw/game-detail.html?game=放置法陣</v>
      </c>
      <c r="I321" s="37" t="s">
        <v>5944</v>
      </c>
      <c r="J321" s="82" t="s">
        <v>5423</v>
      </c>
      <c r="K321" s="85" t="s">
        <v>5451</v>
      </c>
      <c r="L321" s="91" t="s">
        <v>5948</v>
      </c>
      <c r="M321" s="92">
        <v>2987</v>
      </c>
      <c r="N321" s="91" t="s">
        <v>61</v>
      </c>
      <c r="O321" s="92">
        <v>1517</v>
      </c>
      <c r="P321" s="91" t="s">
        <v>5949</v>
      </c>
      <c r="Q321" s="92">
        <v>616</v>
      </c>
      <c r="R321" s="91" t="s">
        <v>3978</v>
      </c>
      <c r="S321" s="92">
        <v>308</v>
      </c>
      <c r="T321" s="91" t="s">
        <v>5950</v>
      </c>
      <c r="U321" s="92">
        <v>161</v>
      </c>
      <c r="V321" s="91" t="s">
        <v>4760</v>
      </c>
      <c r="W321" s="92">
        <v>65</v>
      </c>
      <c r="X321" s="91" t="s">
        <v>3730</v>
      </c>
      <c r="Y321" s="92">
        <v>308</v>
      </c>
      <c r="Z321" s="91" t="s">
        <v>5902</v>
      </c>
      <c r="AA321" s="92">
        <v>294</v>
      </c>
      <c r="AB321" s="91" t="s">
        <v>107</v>
      </c>
      <c r="AC321" s="92">
        <v>161</v>
      </c>
    </row>
    <row r="322" spans="1:31" ht="22.5" customHeight="1" thickBot="1">
      <c r="A322" s="92" t="s">
        <v>6302</v>
      </c>
      <c r="C322" s="35" t="s">
        <v>5924</v>
      </c>
      <c r="D322" s="36" t="s">
        <v>5923</v>
      </c>
      <c r="E322" s="36" t="s">
        <v>5922</v>
      </c>
      <c r="F322" s="35" t="str">
        <f t="shared" si="14"/>
        <v>gift-codes.html?game=魔導少年 魔導士編年史</v>
      </c>
      <c r="G322" s="82" t="s">
        <v>5926</v>
      </c>
      <c r="H322" s="36" t="str">
        <f t="shared" si="15"/>
        <v>https://www.ssbuy.tw/game-detail.html?game=魔導少年 魔導士編年史</v>
      </c>
      <c r="I322" s="37" t="s">
        <v>5927</v>
      </c>
      <c r="J322" s="82" t="s">
        <v>5423</v>
      </c>
      <c r="K322" s="85" t="s">
        <v>5451</v>
      </c>
      <c r="L322" s="91" t="s">
        <v>4167</v>
      </c>
      <c r="M322" s="92">
        <v>2635</v>
      </c>
      <c r="N322" s="91" t="s">
        <v>5977</v>
      </c>
      <c r="O322" s="92">
        <v>1337</v>
      </c>
      <c r="P322" s="91" t="s">
        <v>4710</v>
      </c>
      <c r="Q322" s="92">
        <v>625</v>
      </c>
      <c r="R322" s="91" t="s">
        <v>5978</v>
      </c>
      <c r="S322" s="92">
        <v>290</v>
      </c>
      <c r="T322" s="91" t="s">
        <v>27</v>
      </c>
      <c r="U322" s="92">
        <v>87</v>
      </c>
      <c r="V322" s="91" t="s">
        <v>5979</v>
      </c>
      <c r="W322" s="92">
        <v>29</v>
      </c>
      <c r="X322" s="91" t="s">
        <v>5980</v>
      </c>
      <c r="Y322" s="92">
        <v>290</v>
      </c>
      <c r="Z322" s="91" t="s">
        <v>5981</v>
      </c>
      <c r="AA322" s="92">
        <v>897</v>
      </c>
      <c r="AB322" s="91" t="s">
        <v>5982</v>
      </c>
      <c r="AC322" s="92">
        <v>290</v>
      </c>
    </row>
    <row r="323" spans="1:31" ht="22.5" customHeight="1" thickBot="1">
      <c r="A323" s="92" t="s">
        <v>5941</v>
      </c>
      <c r="C323" s="35" t="s">
        <v>5934</v>
      </c>
      <c r="D323" s="36" t="s">
        <v>5933</v>
      </c>
      <c r="E323" s="82" t="s">
        <v>5939</v>
      </c>
      <c r="F323" s="35" t="str">
        <f t="shared" si="14"/>
        <v>gift-codes.html?game=獵風傳說：石器大作戰</v>
      </c>
      <c r="G323" s="36" t="s">
        <v>5940</v>
      </c>
      <c r="H323" s="36" t="str">
        <f t="shared" si="15"/>
        <v>https://www.ssbuy.tw/game-detail.html?game=獵風傳說：石器大作戰</v>
      </c>
      <c r="I323" s="37" t="s">
        <v>5942</v>
      </c>
      <c r="J323" s="82" t="s">
        <v>5423</v>
      </c>
      <c r="K323" s="85" t="s">
        <v>5451</v>
      </c>
      <c r="L323" s="91" t="s">
        <v>6096</v>
      </c>
      <c r="M323" s="92">
        <v>2899</v>
      </c>
      <c r="N323" s="91" t="s">
        <v>6097</v>
      </c>
      <c r="O323" s="92">
        <v>1481</v>
      </c>
      <c r="P323" s="91" t="s">
        <v>6098</v>
      </c>
      <c r="Q323" s="92">
        <v>898</v>
      </c>
      <c r="R323" s="91" t="s">
        <v>6099</v>
      </c>
      <c r="S323" s="92">
        <v>625</v>
      </c>
      <c r="T323" s="91" t="s">
        <v>6100</v>
      </c>
      <c r="U323" s="92">
        <v>299</v>
      </c>
      <c r="V323" s="91" t="s">
        <v>6101</v>
      </c>
      <c r="W323" s="92">
        <v>156</v>
      </c>
      <c r="X323" s="91"/>
      <c r="Y323" s="92"/>
      <c r="Z323" s="91"/>
      <c r="AA323" s="92"/>
      <c r="AB323" s="91"/>
      <c r="AC323" s="92"/>
    </row>
    <row r="324" spans="1:31" ht="22.5" customHeight="1" thickBot="1">
      <c r="A324" s="92" t="s">
        <v>5946</v>
      </c>
      <c r="C324" s="35" t="s">
        <v>5936</v>
      </c>
      <c r="D324" s="36" t="s">
        <v>5935</v>
      </c>
      <c r="E324" s="36" t="s">
        <v>5937</v>
      </c>
      <c r="F324" s="35" t="str">
        <f t="shared" si="14"/>
        <v>gift-codes.html?game=依露希爾</v>
      </c>
      <c r="G324" s="36" t="s">
        <v>5938</v>
      </c>
      <c r="H324" s="36" t="str">
        <f t="shared" si="15"/>
        <v>https://www.ssbuy.tw/game-detail.html?game=依露希爾</v>
      </c>
      <c r="I324" s="37" t="s">
        <v>5943</v>
      </c>
      <c r="J324" s="82" t="s">
        <v>5423</v>
      </c>
      <c r="K324" s="85" t="s">
        <v>5451</v>
      </c>
      <c r="L324" s="91" t="s">
        <v>6102</v>
      </c>
      <c r="M324" s="92">
        <v>2899</v>
      </c>
      <c r="N324" s="91" t="s">
        <v>6103</v>
      </c>
      <c r="O324" s="92">
        <v>1517</v>
      </c>
      <c r="P324" s="91" t="s">
        <v>6104</v>
      </c>
      <c r="Q324" s="92">
        <v>897</v>
      </c>
      <c r="R324" s="91" t="s">
        <v>6105</v>
      </c>
      <c r="S324" s="92">
        <v>598</v>
      </c>
      <c r="T324" s="91" t="s">
        <v>6106</v>
      </c>
      <c r="U324" s="92">
        <v>317</v>
      </c>
      <c r="V324" s="91" t="s">
        <v>6107</v>
      </c>
      <c r="W324" s="92">
        <v>161</v>
      </c>
      <c r="X324" s="91" t="s">
        <v>6108</v>
      </c>
      <c r="Y324" s="92">
        <v>161</v>
      </c>
      <c r="Z324" s="91" t="s">
        <v>6109</v>
      </c>
      <c r="AA324" s="92">
        <v>444</v>
      </c>
      <c r="AB324" s="91"/>
      <c r="AC324" s="92"/>
    </row>
    <row r="325" spans="1:31" ht="22.5" customHeight="1" thickBot="1">
      <c r="A325" s="35" t="s">
        <v>5976</v>
      </c>
      <c r="C325" s="35" t="s">
        <v>5961</v>
      </c>
      <c r="D325" s="36" t="s">
        <v>5962</v>
      </c>
      <c r="E325" s="36" t="s">
        <v>5960</v>
      </c>
      <c r="F325" s="35" t="str">
        <f t="shared" si="14"/>
        <v>gift-codes.html?game=契約吧！精靈少女</v>
      </c>
      <c r="G325" s="82" t="s">
        <v>5967</v>
      </c>
      <c r="H325" s="36" t="str">
        <f t="shared" si="15"/>
        <v>https://www.ssbuy.tw/game-detail.html?game=契約吧！精靈少女</v>
      </c>
      <c r="I325" s="37" t="s">
        <v>5968</v>
      </c>
      <c r="J325" s="82" t="s">
        <v>5423</v>
      </c>
      <c r="K325" s="85" t="s">
        <v>5451</v>
      </c>
      <c r="L325" s="91" t="s">
        <v>12</v>
      </c>
      <c r="M325" s="92">
        <v>2635</v>
      </c>
      <c r="N325" s="91" t="s">
        <v>13</v>
      </c>
      <c r="O325" s="92">
        <v>1337</v>
      </c>
      <c r="P325" s="91" t="s">
        <v>24</v>
      </c>
      <c r="Q325" s="92">
        <v>897</v>
      </c>
      <c r="R325" s="91" t="s">
        <v>15</v>
      </c>
      <c r="S325" s="92">
        <v>444</v>
      </c>
      <c r="T325" s="91" t="s">
        <v>16</v>
      </c>
      <c r="U325" s="92">
        <v>142</v>
      </c>
      <c r="V325" s="91" t="s">
        <v>7</v>
      </c>
      <c r="W325" s="92">
        <v>32</v>
      </c>
    </row>
    <row r="326" spans="1:31" ht="22.5" customHeight="1" thickBot="1">
      <c r="A326" s="92" t="s">
        <v>6054</v>
      </c>
      <c r="C326" s="35" t="s">
        <v>6029</v>
      </c>
      <c r="D326" s="36" t="s">
        <v>6030</v>
      </c>
      <c r="E326" s="36" t="s">
        <v>6032</v>
      </c>
      <c r="F326" s="35" t="str">
        <f t="shared" si="14"/>
        <v>gift-codes.html?game=曹操不囉嗦</v>
      </c>
      <c r="G326" s="36" t="s">
        <v>6031</v>
      </c>
      <c r="H326" s="36" t="str">
        <f t="shared" si="15"/>
        <v>https://www.ssbuy.tw/game-detail.html?game=曹操不囉嗦</v>
      </c>
      <c r="I326" s="37" t="s">
        <v>6055</v>
      </c>
      <c r="J326" s="82" t="s">
        <v>5423</v>
      </c>
      <c r="K326" s="85" t="s">
        <v>5451</v>
      </c>
      <c r="L326" s="91" t="s">
        <v>5951</v>
      </c>
      <c r="M326" s="92">
        <v>2902</v>
      </c>
      <c r="N326" s="91" t="s">
        <v>5952</v>
      </c>
      <c r="O326" s="92">
        <v>1519</v>
      </c>
      <c r="P326" s="91" t="s">
        <v>5953</v>
      </c>
      <c r="Q326" s="92">
        <v>898</v>
      </c>
      <c r="R326" s="91" t="s">
        <v>5954</v>
      </c>
      <c r="S326" s="92">
        <v>762</v>
      </c>
      <c r="T326" s="91" t="s">
        <v>5955</v>
      </c>
      <c r="U326" s="92">
        <v>608</v>
      </c>
      <c r="V326" s="91" t="s">
        <v>5956</v>
      </c>
      <c r="W326" s="92">
        <v>444</v>
      </c>
      <c r="X326" s="91" t="s">
        <v>5957</v>
      </c>
      <c r="Y326" s="92">
        <v>299</v>
      </c>
      <c r="Z326" s="91" t="s">
        <v>6303</v>
      </c>
      <c r="AA326" s="92">
        <v>161</v>
      </c>
      <c r="AB326" s="91" t="s">
        <v>5959</v>
      </c>
      <c r="AC326" s="92">
        <v>32</v>
      </c>
    </row>
    <row r="327" spans="1:31" ht="22.5" customHeight="1" thickBot="1">
      <c r="A327" s="92" t="s">
        <v>6008</v>
      </c>
      <c r="C327" s="35" t="s">
        <v>6033</v>
      </c>
      <c r="D327" s="36" t="s">
        <v>6034</v>
      </c>
      <c r="E327" s="36" t="s">
        <v>6035</v>
      </c>
      <c r="F327" s="35" t="str">
        <f t="shared" si="14"/>
        <v>gift-codes.html?game=江湖有詭</v>
      </c>
      <c r="G327" s="36" t="s">
        <v>6036</v>
      </c>
      <c r="H327" s="36" t="str">
        <f t="shared" si="15"/>
        <v>https://www.ssbuy.tw/game-detail.html?game=江湖有詭</v>
      </c>
      <c r="I327" s="37" t="s">
        <v>6056</v>
      </c>
      <c r="J327" s="82" t="s">
        <v>5423</v>
      </c>
      <c r="K327" s="85" t="s">
        <v>5451</v>
      </c>
      <c r="L327" s="91" t="s">
        <v>1514</v>
      </c>
      <c r="M327" s="92">
        <v>2899</v>
      </c>
      <c r="N327" s="91" t="s">
        <v>1515</v>
      </c>
      <c r="O327" s="92">
        <v>1517</v>
      </c>
      <c r="P327" s="91" t="s">
        <v>5412</v>
      </c>
      <c r="Q327" s="92">
        <v>897</v>
      </c>
      <c r="R327" s="91" t="s">
        <v>1516</v>
      </c>
      <c r="S327" s="92">
        <v>607</v>
      </c>
      <c r="T327" s="91" t="s">
        <v>1517</v>
      </c>
      <c r="U327" s="92">
        <v>444</v>
      </c>
      <c r="V327" s="91" t="s">
        <v>1630</v>
      </c>
      <c r="W327" s="92">
        <v>299</v>
      </c>
      <c r="X327" s="91" t="s">
        <v>318</v>
      </c>
      <c r="Y327" s="92">
        <v>161</v>
      </c>
      <c r="Z327" s="91" t="s">
        <v>1518</v>
      </c>
      <c r="AA327" s="92">
        <v>32</v>
      </c>
    </row>
    <row r="328" spans="1:31" ht="22.5" customHeight="1" thickBot="1">
      <c r="A328" s="92" t="s">
        <v>6009</v>
      </c>
      <c r="C328" s="35" t="s">
        <v>6037</v>
      </c>
      <c r="D328" s="36" t="s">
        <v>6038</v>
      </c>
      <c r="E328" s="36" t="s">
        <v>6039</v>
      </c>
      <c r="F328" s="35" t="str">
        <f t="shared" si="14"/>
        <v>gift-codes.html?game=將軍請息怒</v>
      </c>
      <c r="G328" s="36" t="s">
        <v>6040</v>
      </c>
      <c r="H328" s="36" t="str">
        <f t="shared" si="15"/>
        <v>https://www.ssbuy.tw/game-detail.html?game=將軍請息怒</v>
      </c>
      <c r="I328" s="37" t="s">
        <v>6057</v>
      </c>
      <c r="J328" s="82" t="s">
        <v>5423</v>
      </c>
      <c r="K328" s="85" t="s">
        <v>5451</v>
      </c>
      <c r="L328" s="91" t="s">
        <v>235</v>
      </c>
      <c r="M328" s="92">
        <v>2899</v>
      </c>
      <c r="N328" s="91" t="s">
        <v>236</v>
      </c>
      <c r="O328" s="92">
        <v>1517</v>
      </c>
      <c r="P328" s="91" t="s">
        <v>1292</v>
      </c>
      <c r="Q328" s="92">
        <v>897</v>
      </c>
      <c r="R328" s="91" t="s">
        <v>237</v>
      </c>
      <c r="S328" s="92">
        <v>607</v>
      </c>
      <c r="T328" s="91" t="s">
        <v>238</v>
      </c>
      <c r="U328" s="92">
        <v>299</v>
      </c>
      <c r="V328" s="91" t="s">
        <v>239</v>
      </c>
      <c r="W328" s="92">
        <v>161</v>
      </c>
      <c r="X328" s="91" t="s">
        <v>240</v>
      </c>
      <c r="Y328" s="92">
        <v>32</v>
      </c>
      <c r="Z328" s="91" t="s">
        <v>6130</v>
      </c>
      <c r="AA328" s="92">
        <v>299</v>
      </c>
      <c r="AB328" s="91" t="s">
        <v>6131</v>
      </c>
      <c r="AC328" s="92">
        <v>161</v>
      </c>
    </row>
    <row r="329" spans="1:31" ht="22.5" customHeight="1" thickBot="1">
      <c r="A329" s="92" t="s">
        <v>6304</v>
      </c>
      <c r="C329" s="35" t="s">
        <v>6041</v>
      </c>
      <c r="D329" s="36" t="s">
        <v>6043</v>
      </c>
      <c r="E329" s="36" t="s">
        <v>6042</v>
      </c>
      <c r="F329" s="35" t="str">
        <f t="shared" si="14"/>
        <v>gift-codes.html?game=RO：世界之旅</v>
      </c>
      <c r="G329" s="36" t="s">
        <v>6044</v>
      </c>
      <c r="H329" s="36" t="str">
        <f t="shared" si="15"/>
        <v>https://www.ssbuy.tw/game-detail.html?game=RO：世界之旅</v>
      </c>
      <c r="I329" s="37" t="s">
        <v>6058</v>
      </c>
      <c r="J329" s="82" t="s">
        <v>5423</v>
      </c>
      <c r="K329" s="85" t="s">
        <v>5451</v>
      </c>
      <c r="L329" s="91" t="s">
        <v>6079</v>
      </c>
      <c r="M329" s="92">
        <v>2638</v>
      </c>
      <c r="N329" s="91" t="s">
        <v>6080</v>
      </c>
      <c r="O329" s="92">
        <v>1339</v>
      </c>
      <c r="P329" s="91" t="s">
        <v>6081</v>
      </c>
      <c r="Q329" s="92">
        <v>898</v>
      </c>
      <c r="R329" s="91" t="s">
        <v>6082</v>
      </c>
      <c r="S329" s="92">
        <v>444</v>
      </c>
      <c r="T329" s="91" t="s">
        <v>6083</v>
      </c>
      <c r="U329" s="92">
        <v>142</v>
      </c>
      <c r="V329" s="91" t="s">
        <v>6084</v>
      </c>
      <c r="W329" s="92">
        <v>29</v>
      </c>
      <c r="X329" s="91" t="s">
        <v>141</v>
      </c>
      <c r="Y329" s="92">
        <v>290</v>
      </c>
      <c r="Z329" s="91" t="s">
        <v>107</v>
      </c>
      <c r="AA329" s="92">
        <v>142</v>
      </c>
    </row>
    <row r="330" spans="1:31" ht="22.5" customHeight="1" thickBot="1">
      <c r="A330" s="92" t="s">
        <v>6010</v>
      </c>
      <c r="C330" s="35" t="s">
        <v>6045</v>
      </c>
      <c r="D330" s="36" t="s">
        <v>6046</v>
      </c>
      <c r="E330" s="36" t="s">
        <v>6047</v>
      </c>
      <c r="F330" s="35" t="str">
        <f t="shared" si="14"/>
        <v>gift-codes.html?game=燕雲十六聲</v>
      </c>
      <c r="G330" s="36" t="s">
        <v>6048</v>
      </c>
      <c r="H330" s="36" t="str">
        <f t="shared" si="15"/>
        <v>https://www.ssbuy.tw/game-detail.html?game=燕雲十六聲</v>
      </c>
      <c r="I330" s="37" t="s">
        <v>6059</v>
      </c>
      <c r="J330" s="82" t="s">
        <v>5423</v>
      </c>
      <c r="K330" s="85" t="s">
        <v>5451</v>
      </c>
      <c r="L330" s="91" t="s">
        <v>6085</v>
      </c>
      <c r="M330" s="92">
        <v>2779</v>
      </c>
      <c r="N330" s="91" t="s">
        <v>6086</v>
      </c>
      <c r="O330" s="92">
        <v>1429</v>
      </c>
      <c r="P330" s="91" t="s">
        <v>6087</v>
      </c>
      <c r="Q330" s="92">
        <v>861</v>
      </c>
      <c r="R330" s="91" t="s">
        <v>6088</v>
      </c>
      <c r="S330" s="92">
        <v>431</v>
      </c>
      <c r="T330" s="91" t="s">
        <v>6089</v>
      </c>
      <c r="U330" s="92">
        <v>299</v>
      </c>
      <c r="V330" s="91" t="s">
        <v>6090</v>
      </c>
      <c r="W330" s="92">
        <v>152</v>
      </c>
      <c r="X330" s="91" t="s">
        <v>6091</v>
      </c>
      <c r="Y330" s="92">
        <v>32</v>
      </c>
      <c r="Z330" s="91" t="s">
        <v>6092</v>
      </c>
      <c r="AA330" s="92">
        <v>571</v>
      </c>
      <c r="AB330" s="91" t="s">
        <v>6093</v>
      </c>
      <c r="AC330" s="92">
        <v>299</v>
      </c>
      <c r="AD330" s="91" t="s">
        <v>107</v>
      </c>
      <c r="AE330" s="92">
        <v>152</v>
      </c>
    </row>
    <row r="331" spans="1:31" ht="22.5" customHeight="1" thickBot="1">
      <c r="A331" s="92" t="s">
        <v>6011</v>
      </c>
      <c r="C331" s="35" t="s">
        <v>6052</v>
      </c>
      <c r="D331" s="36" t="s">
        <v>6053</v>
      </c>
      <c r="E331" s="36" t="s">
        <v>6051</v>
      </c>
      <c r="F331" s="35" t="str">
        <f t="shared" si="14"/>
        <v>gift-codes.html?game=99強化木棒</v>
      </c>
      <c r="G331" s="36" t="s">
        <v>6050</v>
      </c>
      <c r="H331" s="36" t="str">
        <f t="shared" si="15"/>
        <v>https://www.ssbuy.tw/game-detail.html?game=99強化木棒</v>
      </c>
      <c r="I331" s="37" t="s">
        <v>6060</v>
      </c>
      <c r="J331" s="82" t="s">
        <v>5423</v>
      </c>
      <c r="K331" s="85" t="s">
        <v>5451</v>
      </c>
      <c r="L331" s="91" t="s">
        <v>5951</v>
      </c>
      <c r="M331" s="92">
        <v>2902</v>
      </c>
      <c r="N331" s="91" t="s">
        <v>5952</v>
      </c>
      <c r="O331" s="92">
        <v>1519</v>
      </c>
      <c r="P331" s="91" t="s">
        <v>6132</v>
      </c>
      <c r="Q331" s="92">
        <v>2235</v>
      </c>
      <c r="R331" s="91" t="s">
        <v>6133</v>
      </c>
      <c r="S331" s="92">
        <v>1158</v>
      </c>
      <c r="T331" s="91" t="s">
        <v>6134</v>
      </c>
      <c r="U331" s="92">
        <v>716</v>
      </c>
      <c r="V331" s="91" t="s">
        <v>6135</v>
      </c>
      <c r="W331" s="92">
        <v>290</v>
      </c>
      <c r="X331" s="91" t="s">
        <v>6136</v>
      </c>
      <c r="Y331" s="92">
        <v>2235</v>
      </c>
      <c r="Z331" s="91" t="s">
        <v>6137</v>
      </c>
      <c r="AA331" s="92">
        <v>716</v>
      </c>
      <c r="AB331" s="91" t="s">
        <v>6138</v>
      </c>
      <c r="AC331" s="92">
        <v>275</v>
      </c>
      <c r="AD331" s="91" t="s">
        <v>6139</v>
      </c>
      <c r="AE331" s="92">
        <v>716</v>
      </c>
    </row>
    <row r="332" spans="1:31" ht="22.5" customHeight="1" thickBot="1">
      <c r="A332" s="93" t="s">
        <v>6174</v>
      </c>
      <c r="C332" s="35" t="s">
        <v>6127</v>
      </c>
      <c r="D332" s="36" t="s">
        <v>6126</v>
      </c>
      <c r="E332" s="36" t="s">
        <v>6125</v>
      </c>
      <c r="F332" s="35" t="str">
        <f t="shared" si="14"/>
        <v>gift-codes.html?game=天龍八部榮耀版</v>
      </c>
      <c r="G332" s="36" t="s">
        <v>6128</v>
      </c>
      <c r="H332" s="36" t="str">
        <f t="shared" si="15"/>
        <v>https://www.ssbuy.tw/game-detail.html?game=天龍八部榮耀版</v>
      </c>
      <c r="I332" s="37" t="s">
        <v>6129</v>
      </c>
      <c r="J332" s="82" t="s">
        <v>5423</v>
      </c>
      <c r="K332" s="85" t="s">
        <v>5451</v>
      </c>
      <c r="L332" s="91" t="s">
        <v>6175</v>
      </c>
      <c r="M332" s="92">
        <v>2899</v>
      </c>
      <c r="N332" s="91" t="s">
        <v>6176</v>
      </c>
      <c r="O332" s="92">
        <v>2235</v>
      </c>
      <c r="P332" s="91" t="s">
        <v>6177</v>
      </c>
      <c r="Q332" s="92">
        <v>1517</v>
      </c>
      <c r="R332" s="91" t="s">
        <v>6178</v>
      </c>
      <c r="S332" s="92">
        <v>897</v>
      </c>
      <c r="T332" s="91" t="s">
        <v>6179</v>
      </c>
      <c r="U332" s="92">
        <v>625</v>
      </c>
      <c r="V332" s="91" t="s">
        <v>6180</v>
      </c>
      <c r="W332" s="92">
        <v>290</v>
      </c>
      <c r="X332" s="91" t="s">
        <v>6181</v>
      </c>
      <c r="Y332" s="92">
        <v>142</v>
      </c>
      <c r="Z332" s="91" t="s">
        <v>6182</v>
      </c>
      <c r="AA332" s="92">
        <v>29</v>
      </c>
    </row>
    <row r="333" spans="1:31" ht="22.5" customHeight="1" thickBot="1">
      <c r="A333" s="93" t="s">
        <v>6305</v>
      </c>
      <c r="C333" s="35" t="s">
        <v>6140</v>
      </c>
      <c r="D333" s="36" t="s">
        <v>6141</v>
      </c>
      <c r="E333" s="36" t="s">
        <v>6142</v>
      </c>
      <c r="F333" s="35" t="str">
        <f t="shared" si="14"/>
        <v>gift-codes.html?game=SD鋼彈 G世代 永恆</v>
      </c>
      <c r="G333" s="82" t="s">
        <v>6143</v>
      </c>
      <c r="H333" s="36" t="str">
        <f t="shared" si="15"/>
        <v>https://www.ssbuy.tw/game-detail.html?game=SD鋼彈 G世代 永恆</v>
      </c>
      <c r="I333" s="37" t="s">
        <v>6169</v>
      </c>
      <c r="J333" s="82" t="s">
        <v>5423</v>
      </c>
      <c r="K333" s="85" t="s">
        <v>5451</v>
      </c>
      <c r="L333" s="91" t="s">
        <v>4</v>
      </c>
      <c r="M333" s="92">
        <v>1759</v>
      </c>
      <c r="N333" s="91" t="s">
        <v>5</v>
      </c>
      <c r="O333" s="92">
        <v>843</v>
      </c>
      <c r="P333" s="91" t="s">
        <v>62</v>
      </c>
      <c r="Q333" s="92">
        <v>506</v>
      </c>
      <c r="R333" s="91" t="s">
        <v>6170</v>
      </c>
      <c r="S333" s="92">
        <v>233</v>
      </c>
      <c r="T333" s="91" t="s">
        <v>6171</v>
      </c>
      <c r="U333" s="92">
        <v>153</v>
      </c>
      <c r="V333" s="91" t="s">
        <v>6172</v>
      </c>
      <c r="W333" s="92">
        <v>80</v>
      </c>
      <c r="X333" s="91" t="s">
        <v>6173</v>
      </c>
      <c r="Y333" s="92">
        <v>27</v>
      </c>
      <c r="Z333" s="91" t="s">
        <v>3957</v>
      </c>
      <c r="AA333" s="92">
        <v>153</v>
      </c>
    </row>
    <row r="334" spans="1:31" ht="22.5" customHeight="1" thickBot="1">
      <c r="A334" s="92" t="s">
        <v>6211</v>
      </c>
      <c r="C334" s="35" t="s">
        <v>6222</v>
      </c>
      <c r="D334" s="36" t="s">
        <v>6223</v>
      </c>
      <c r="E334" s="36" t="s">
        <v>6224</v>
      </c>
      <c r="F334" s="35" t="str">
        <f t="shared" si="14"/>
        <v>gift-codes.html?game=純被動大師：放置型養成</v>
      </c>
      <c r="G334" s="82" t="s">
        <v>6231</v>
      </c>
      <c r="H334" s="36" t="str">
        <f t="shared" si="15"/>
        <v>https://www.ssbuy.tw/game-detail.html?game=純被動大師：放置型養成</v>
      </c>
      <c r="I334" s="37" t="s">
        <v>6237</v>
      </c>
      <c r="J334" s="82" t="s">
        <v>5423</v>
      </c>
      <c r="K334" s="85" t="s">
        <v>5451</v>
      </c>
      <c r="L334" s="91" t="s">
        <v>6241</v>
      </c>
      <c r="M334" s="92">
        <v>2235</v>
      </c>
      <c r="N334" s="91" t="s">
        <v>6242</v>
      </c>
      <c r="O334" s="92">
        <v>1158</v>
      </c>
      <c r="P334" s="91" t="s">
        <v>6243</v>
      </c>
      <c r="Q334" s="92">
        <v>275</v>
      </c>
      <c r="R334" s="91" t="s">
        <v>3519</v>
      </c>
      <c r="S334" s="92">
        <v>1158</v>
      </c>
      <c r="T334" s="91" t="s">
        <v>6244</v>
      </c>
      <c r="U334" s="92">
        <v>716</v>
      </c>
      <c r="V334" s="91" t="s">
        <v>6245</v>
      </c>
      <c r="W334" s="92">
        <v>716</v>
      </c>
    </row>
    <row r="335" spans="1:31" ht="22.5" customHeight="1" thickBot="1">
      <c r="A335" s="92" t="s">
        <v>6212</v>
      </c>
      <c r="C335" s="35" t="s">
        <v>6225</v>
      </c>
      <c r="D335" s="36" t="s">
        <v>6226</v>
      </c>
      <c r="E335" s="36" t="s">
        <v>6227</v>
      </c>
      <c r="F335" s="35" t="str">
        <f t="shared" si="14"/>
        <v>gift-codes.html?game=超次元三國</v>
      </c>
      <c r="G335" s="82" t="s">
        <v>6233</v>
      </c>
      <c r="H335" s="36" t="str">
        <f t="shared" si="15"/>
        <v>https://www.ssbuy.tw/game-detail.html?game=超次元三國</v>
      </c>
      <c r="I335" s="37" t="s">
        <v>6238</v>
      </c>
      <c r="J335" s="82" t="s">
        <v>5423</v>
      </c>
      <c r="K335" s="85" t="s">
        <v>5451</v>
      </c>
      <c r="L335" s="91" t="s">
        <v>6246</v>
      </c>
      <c r="M335" s="92">
        <v>2864</v>
      </c>
      <c r="N335" s="91" t="s">
        <v>6247</v>
      </c>
      <c r="O335" s="92">
        <v>2154</v>
      </c>
      <c r="P335" s="91" t="s">
        <v>6248</v>
      </c>
      <c r="Q335" s="92">
        <v>1885</v>
      </c>
      <c r="R335" s="91" t="s">
        <v>6249</v>
      </c>
      <c r="S335" s="92">
        <v>1347</v>
      </c>
      <c r="T335" s="91" t="s">
        <v>6250</v>
      </c>
      <c r="U335" s="92">
        <v>815</v>
      </c>
      <c r="V335" s="91" t="s">
        <v>6251</v>
      </c>
      <c r="W335" s="92">
        <v>544</v>
      </c>
      <c r="X335" s="91" t="s">
        <v>6252</v>
      </c>
      <c r="Y335" s="92">
        <v>408</v>
      </c>
      <c r="Z335" s="91" t="s">
        <v>6253</v>
      </c>
      <c r="AA335" s="92">
        <v>284</v>
      </c>
      <c r="AB335" s="91" t="s">
        <v>6254</v>
      </c>
      <c r="AC335" s="92">
        <v>227</v>
      </c>
      <c r="AD335" s="91" t="s">
        <v>6255</v>
      </c>
      <c r="AE335" s="92">
        <v>58</v>
      </c>
    </row>
    <row r="336" spans="1:31" ht="22.5" customHeight="1" thickBot="1">
      <c r="A336" s="92" t="s">
        <v>6213</v>
      </c>
      <c r="C336" s="95" t="s">
        <v>3511</v>
      </c>
      <c r="D336" s="36" t="s">
        <v>6228</v>
      </c>
      <c r="E336" s="36" t="s">
        <v>6229</v>
      </c>
      <c r="F336" s="35" t="str">
        <f t="shared" si="14"/>
        <v>gift-codes.html?game=poker fate</v>
      </c>
      <c r="G336" s="82" t="s">
        <v>6232</v>
      </c>
      <c r="H336" s="36" t="str">
        <f t="shared" si="15"/>
        <v>https://www.ssbuy.tw/game-detail.html?game=poker fate</v>
      </c>
      <c r="I336" s="37" t="s">
        <v>6236</v>
      </c>
      <c r="J336" s="82" t="s">
        <v>5423</v>
      </c>
      <c r="K336" s="85" t="s">
        <v>5451</v>
      </c>
      <c r="L336" s="91" t="s">
        <v>6256</v>
      </c>
      <c r="M336" s="92">
        <v>2908</v>
      </c>
      <c r="N336" s="91" t="s">
        <v>6257</v>
      </c>
      <c r="O336" s="92">
        <v>1481</v>
      </c>
      <c r="P336" s="91" t="s">
        <v>6258</v>
      </c>
      <c r="Q336" s="92">
        <v>1185</v>
      </c>
      <c r="R336" s="91" t="s">
        <v>6259</v>
      </c>
      <c r="S336" s="92">
        <v>897</v>
      </c>
      <c r="T336" s="91" t="s">
        <v>6260</v>
      </c>
      <c r="U336" s="92">
        <v>598</v>
      </c>
      <c r="V336" s="91" t="s">
        <v>6261</v>
      </c>
      <c r="W336" s="92">
        <v>299</v>
      </c>
      <c r="X336" s="91" t="s">
        <v>6306</v>
      </c>
      <c r="Y336" s="92">
        <v>63</v>
      </c>
    </row>
    <row r="337" spans="1:29" ht="22.5" customHeight="1" thickBot="1">
      <c r="A337" s="92" t="s">
        <v>6214</v>
      </c>
      <c r="C337" s="35" t="s">
        <v>6215</v>
      </c>
      <c r="D337" s="36" t="s">
        <v>6217</v>
      </c>
      <c r="E337" s="36" t="s">
        <v>6216</v>
      </c>
      <c r="F337" s="35" t="str">
        <f t="shared" si="14"/>
        <v>gift-codes.html?game=時空心語</v>
      </c>
      <c r="G337" s="82" t="s">
        <v>6235</v>
      </c>
      <c r="H337" s="36" t="str">
        <f t="shared" si="15"/>
        <v>https://www.ssbuy.tw/game-detail.html?game=時空心語</v>
      </c>
      <c r="I337" s="37" t="s">
        <v>6240</v>
      </c>
      <c r="J337" s="82" t="s">
        <v>5423</v>
      </c>
      <c r="K337" s="85" t="s">
        <v>5451</v>
      </c>
      <c r="L337" s="91" t="s">
        <v>6281</v>
      </c>
      <c r="M337" s="92">
        <v>2908</v>
      </c>
      <c r="N337" s="91" t="s">
        <v>6282</v>
      </c>
      <c r="O337" s="92">
        <v>2379</v>
      </c>
      <c r="P337" s="91" t="s">
        <v>6283</v>
      </c>
      <c r="Q337" s="92">
        <v>1490</v>
      </c>
      <c r="R337" s="91" t="s">
        <v>6284</v>
      </c>
      <c r="S337" s="92">
        <v>598</v>
      </c>
      <c r="T337" s="91" t="s">
        <v>6285</v>
      </c>
      <c r="U337" s="92">
        <v>299</v>
      </c>
      <c r="V337" s="91" t="s">
        <v>6286</v>
      </c>
      <c r="W337" s="92">
        <v>156</v>
      </c>
      <c r="X337" s="91" t="s">
        <v>6287</v>
      </c>
      <c r="Y337" s="92">
        <v>299</v>
      </c>
      <c r="Z337" s="91" t="s">
        <v>176</v>
      </c>
      <c r="AA337" s="92">
        <v>299</v>
      </c>
      <c r="AB337" s="91"/>
      <c r="AC337" s="92"/>
    </row>
    <row r="338" spans="1:29" ht="22.5" customHeight="1" thickBot="1">
      <c r="A338" s="92" t="s">
        <v>6218</v>
      </c>
      <c r="C338" s="35" t="s">
        <v>6219</v>
      </c>
      <c r="D338" s="36" t="s">
        <v>6220</v>
      </c>
      <c r="E338" s="36" t="s">
        <v>6221</v>
      </c>
      <c r="F338" s="35" t="str">
        <f t="shared" si="14"/>
        <v>gift-codes.html?game=Archeland Re：阿契蘭</v>
      </c>
      <c r="G338" s="82" t="s">
        <v>6234</v>
      </c>
      <c r="H338" s="36" t="str">
        <f t="shared" si="15"/>
        <v>https://www.ssbuy.tw/game-detail.html?game=Archeland Re：阿契蘭</v>
      </c>
      <c r="I338" s="37" t="s">
        <v>6239</v>
      </c>
      <c r="J338" s="82" t="s">
        <v>5423</v>
      </c>
      <c r="K338" s="85" t="s">
        <v>5451</v>
      </c>
      <c r="L338" s="91" t="s">
        <v>5951</v>
      </c>
      <c r="M338" s="92">
        <v>2899</v>
      </c>
      <c r="N338" s="91" t="s">
        <v>5952</v>
      </c>
      <c r="O338" s="92">
        <v>1517</v>
      </c>
      <c r="P338" s="91" t="s">
        <v>5953</v>
      </c>
      <c r="Q338" s="92">
        <v>897</v>
      </c>
      <c r="R338" s="91" t="s">
        <v>5954</v>
      </c>
      <c r="S338" s="92">
        <v>761</v>
      </c>
      <c r="T338" s="91" t="s">
        <v>5955</v>
      </c>
      <c r="U338" s="92">
        <v>607</v>
      </c>
      <c r="V338" s="91" t="s">
        <v>5956</v>
      </c>
      <c r="W338" s="92">
        <v>444</v>
      </c>
      <c r="X338" s="91" t="s">
        <v>5957</v>
      </c>
      <c r="Y338" s="92">
        <v>299</v>
      </c>
      <c r="Z338" s="91" t="s">
        <v>5958</v>
      </c>
      <c r="AA338" s="92">
        <v>161</v>
      </c>
      <c r="AB338" s="91" t="s">
        <v>5959</v>
      </c>
      <c r="AC338" s="92">
        <v>32</v>
      </c>
    </row>
    <row r="339" spans="1:29" ht="22.5" customHeight="1" thickBot="1">
      <c r="A339" s="93" t="s">
        <v>6279</v>
      </c>
      <c r="C339" s="35" t="s">
        <v>6273</v>
      </c>
      <c r="D339" s="36" t="s">
        <v>6271</v>
      </c>
      <c r="E339" s="36" t="s">
        <v>6274</v>
      </c>
      <c r="F339" s="35" t="str">
        <f t="shared" si="14"/>
        <v>gift-codes.html?game=幻獸寶貝</v>
      </c>
      <c r="G339" s="36" t="s">
        <v>6272</v>
      </c>
      <c r="H339" s="36" t="str">
        <f t="shared" si="15"/>
        <v>https://www.ssbuy.tw/game-detail.html?game=幻獸寶貝</v>
      </c>
      <c r="I339" s="37" t="s">
        <v>6280</v>
      </c>
      <c r="J339" s="82" t="s">
        <v>5423</v>
      </c>
      <c r="K339" s="85" t="s">
        <v>5451</v>
      </c>
      <c r="L339" s="91" t="s">
        <v>5951</v>
      </c>
      <c r="M339" s="92">
        <v>2899</v>
      </c>
      <c r="N339" s="91" t="s">
        <v>5952</v>
      </c>
      <c r="O339" s="92">
        <v>1517</v>
      </c>
      <c r="P339" s="91" t="s">
        <v>5953</v>
      </c>
      <c r="Q339" s="92">
        <v>897</v>
      </c>
      <c r="R339" s="91" t="s">
        <v>5954</v>
      </c>
      <c r="S339" s="92">
        <v>761</v>
      </c>
      <c r="T339" s="91" t="s">
        <v>5955</v>
      </c>
      <c r="U339" s="92">
        <v>607</v>
      </c>
      <c r="V339" s="91" t="s">
        <v>5956</v>
      </c>
      <c r="W339" s="92">
        <v>444</v>
      </c>
      <c r="X339" s="91" t="s">
        <v>5957</v>
      </c>
      <c r="Y339" s="92">
        <v>299</v>
      </c>
      <c r="Z339" s="91" t="s">
        <v>5958</v>
      </c>
      <c r="AA339" s="92">
        <v>161</v>
      </c>
      <c r="AB339" s="91" t="s">
        <v>5959</v>
      </c>
      <c r="AC339" s="92">
        <v>32</v>
      </c>
    </row>
    <row r="340" spans="1:29" ht="22.5" customHeight="1" thickBot="1">
      <c r="A340" s="81" t="s">
        <v>6331</v>
      </c>
      <c r="C340" s="90" t="s">
        <v>3511</v>
      </c>
      <c r="D340" s="36" t="s">
        <v>6316</v>
      </c>
      <c r="E340" s="36" t="s">
        <v>6049</v>
      </c>
      <c r="F340" s="35" t="str">
        <f t="shared" si="14"/>
        <v>gift-codes.html?game=齒輪束縛</v>
      </c>
      <c r="G340" s="36" t="s">
        <v>6315</v>
      </c>
      <c r="H340" s="36" t="str">
        <f t="shared" si="15"/>
        <v>https://www.ssbuy.tw/game-detail.html?game=齒輪束縛</v>
      </c>
      <c r="I340" s="37" t="s">
        <v>6334</v>
      </c>
      <c r="J340" s="82" t="s">
        <v>5423</v>
      </c>
      <c r="K340" s="85" t="s">
        <v>5451</v>
      </c>
      <c r="L340" s="91" t="s">
        <v>5951</v>
      </c>
      <c r="M340" s="92">
        <v>2899</v>
      </c>
      <c r="N340" s="91" t="s">
        <v>5952</v>
      </c>
      <c r="O340" s="92">
        <v>1517</v>
      </c>
      <c r="P340" s="91" t="s">
        <v>5953</v>
      </c>
      <c r="Q340" s="92">
        <v>897</v>
      </c>
      <c r="R340" s="91" t="s">
        <v>5954</v>
      </c>
      <c r="S340" s="92">
        <v>761</v>
      </c>
      <c r="T340" s="91" t="s">
        <v>5955</v>
      </c>
      <c r="U340" s="92">
        <v>607</v>
      </c>
      <c r="V340" s="91" t="s">
        <v>5956</v>
      </c>
      <c r="W340" s="92">
        <v>444</v>
      </c>
      <c r="X340" s="91" t="s">
        <v>5957</v>
      </c>
      <c r="Y340" s="92">
        <v>299</v>
      </c>
      <c r="Z340" s="91" t="s">
        <v>5958</v>
      </c>
      <c r="AA340" s="92">
        <v>161</v>
      </c>
      <c r="AB340" s="91" t="s">
        <v>5959</v>
      </c>
      <c r="AC340" s="92">
        <v>32</v>
      </c>
    </row>
    <row r="341" spans="1:29" ht="22.5" customHeight="1" thickBot="1">
      <c r="A341" s="81" t="s">
        <v>6332</v>
      </c>
      <c r="C341" s="35" t="s">
        <v>6327</v>
      </c>
      <c r="D341" s="36" t="s">
        <v>6317</v>
      </c>
      <c r="E341" s="36" t="s">
        <v>6319</v>
      </c>
      <c r="F341" s="35" t="str">
        <f t="shared" si="14"/>
        <v>gift-codes.html?game=仙境傳說：怪獸廚房</v>
      </c>
      <c r="G341" s="36" t="s">
        <v>6318</v>
      </c>
      <c r="H341" s="36" t="str">
        <f t="shared" si="15"/>
        <v>https://www.ssbuy.tw/game-detail.html?game=仙境傳說：怪獸廚房</v>
      </c>
      <c r="I341" s="37" t="s">
        <v>6335</v>
      </c>
      <c r="J341" s="82" t="s">
        <v>5423</v>
      </c>
      <c r="K341" s="85" t="s">
        <v>5451</v>
      </c>
      <c r="L341" s="91" t="s">
        <v>5951</v>
      </c>
      <c r="M341" s="92">
        <v>2899</v>
      </c>
      <c r="N341" s="91" t="s">
        <v>5952</v>
      </c>
      <c r="O341" s="92">
        <v>1517</v>
      </c>
      <c r="P341" s="91" t="s">
        <v>5953</v>
      </c>
      <c r="Q341" s="92">
        <v>897</v>
      </c>
      <c r="R341" s="91" t="s">
        <v>5954</v>
      </c>
      <c r="S341" s="92">
        <v>761</v>
      </c>
      <c r="T341" s="91" t="s">
        <v>5955</v>
      </c>
      <c r="U341" s="92">
        <v>607</v>
      </c>
      <c r="V341" s="91" t="s">
        <v>5956</v>
      </c>
      <c r="W341" s="92">
        <v>444</v>
      </c>
      <c r="X341" s="91" t="s">
        <v>5957</v>
      </c>
      <c r="Y341" s="92">
        <v>299</v>
      </c>
      <c r="Z341" s="91" t="s">
        <v>5958</v>
      </c>
      <c r="AA341" s="92">
        <v>161</v>
      </c>
      <c r="AB341" s="91" t="s">
        <v>5959</v>
      </c>
      <c r="AC341" s="92">
        <v>32</v>
      </c>
    </row>
    <row r="342" spans="1:29" ht="22.5" customHeight="1" thickBot="1">
      <c r="A342" s="81" t="s">
        <v>6333</v>
      </c>
      <c r="C342" s="35" t="s">
        <v>6322</v>
      </c>
      <c r="D342" s="36" t="s">
        <v>6321</v>
      </c>
      <c r="E342" s="36" t="s">
        <v>6320</v>
      </c>
      <c r="F342" s="35" t="str">
        <f t="shared" si="14"/>
        <v>gift-codes.html?game=掌心宮略</v>
      </c>
      <c r="G342" s="36" t="s">
        <v>6323</v>
      </c>
      <c r="H342" s="36" t="str">
        <f t="shared" si="15"/>
        <v>https://www.ssbuy.tw/game-detail.html?game=掌心宮略</v>
      </c>
      <c r="I342" s="37" t="s">
        <v>6336</v>
      </c>
      <c r="J342" s="82" t="s">
        <v>5423</v>
      </c>
      <c r="K342" s="85" t="s">
        <v>5451</v>
      </c>
      <c r="L342" s="91" t="s">
        <v>5951</v>
      </c>
      <c r="M342" s="92">
        <v>2899</v>
      </c>
      <c r="N342" s="91" t="s">
        <v>5952</v>
      </c>
      <c r="O342" s="92">
        <v>1517</v>
      </c>
      <c r="P342" s="91" t="s">
        <v>5953</v>
      </c>
      <c r="Q342" s="92">
        <v>897</v>
      </c>
      <c r="R342" s="91" t="s">
        <v>5954</v>
      </c>
      <c r="S342" s="92">
        <v>761</v>
      </c>
      <c r="T342" s="91" t="s">
        <v>5955</v>
      </c>
      <c r="U342" s="92">
        <v>607</v>
      </c>
      <c r="V342" s="91" t="s">
        <v>5956</v>
      </c>
      <c r="W342" s="92">
        <v>444</v>
      </c>
      <c r="X342" s="91" t="s">
        <v>5957</v>
      </c>
      <c r="Y342" s="92">
        <v>299</v>
      </c>
      <c r="Z342" s="91" t="s">
        <v>5958</v>
      </c>
      <c r="AA342" s="92">
        <v>161</v>
      </c>
      <c r="AB342" s="91" t="s">
        <v>5959</v>
      </c>
      <c r="AC342" s="92">
        <v>32</v>
      </c>
    </row>
    <row r="343" spans="1:29" ht="22.5" customHeight="1" thickBot="1">
      <c r="A343" s="57" t="s">
        <v>6338</v>
      </c>
      <c r="D343" s="36" t="s">
        <v>6324</v>
      </c>
      <c r="E343" s="36" t="s">
        <v>6325</v>
      </c>
      <c r="F343" s="35" t="str">
        <f t="shared" si="14"/>
        <v>gift-codes.html?game=God Breaker：弒神者</v>
      </c>
      <c r="G343" s="36" t="s">
        <v>6326</v>
      </c>
      <c r="H343" s="36" t="str">
        <f t="shared" si="15"/>
        <v>https://www.ssbuy.tw/game-detail.html?game=God Breaker：弒神者</v>
      </c>
      <c r="I343" s="37" t="s">
        <v>6337</v>
      </c>
      <c r="J343" s="82" t="s">
        <v>5423</v>
      </c>
      <c r="K343" s="85" t="s">
        <v>5451</v>
      </c>
      <c r="L343" s="91" t="s">
        <v>5951</v>
      </c>
      <c r="M343" s="92">
        <v>2899</v>
      </c>
      <c r="N343" s="91" t="s">
        <v>5952</v>
      </c>
      <c r="O343" s="92">
        <v>1517</v>
      </c>
      <c r="P343" s="91" t="s">
        <v>5953</v>
      </c>
      <c r="Q343" s="92">
        <v>897</v>
      </c>
      <c r="R343" s="91" t="s">
        <v>5954</v>
      </c>
      <c r="S343" s="92">
        <v>761</v>
      </c>
      <c r="T343" s="91" t="s">
        <v>5955</v>
      </c>
      <c r="U343" s="92">
        <v>607</v>
      </c>
      <c r="V343" s="91" t="s">
        <v>5956</v>
      </c>
      <c r="W343" s="92">
        <v>444</v>
      </c>
      <c r="X343" s="91" t="s">
        <v>5957</v>
      </c>
      <c r="Y343" s="92">
        <v>299</v>
      </c>
      <c r="Z343" s="91" t="s">
        <v>5958</v>
      </c>
      <c r="AA343" s="92">
        <v>161</v>
      </c>
      <c r="AB343" s="91" t="s">
        <v>5959</v>
      </c>
      <c r="AC343" s="92">
        <v>32</v>
      </c>
    </row>
    <row r="344" spans="1:29" ht="22.5" customHeight="1">
      <c r="F344" s="35" t="str">
        <f t="shared" si="14"/>
        <v/>
      </c>
      <c r="H344" s="36" t="str">
        <f t="shared" si="15"/>
        <v/>
      </c>
    </row>
    <row r="345" spans="1:29" ht="22.5" customHeight="1">
      <c r="F345" s="35" t="str">
        <f t="shared" si="14"/>
        <v/>
      </c>
      <c r="H345" s="36" t="str">
        <f t="shared" si="15"/>
        <v/>
      </c>
    </row>
    <row r="346" spans="1:29" ht="22.5" customHeight="1">
      <c r="F346" s="35" t="str">
        <f t="shared" si="14"/>
        <v/>
      </c>
      <c r="H346" s="36" t="str">
        <f t="shared" si="15"/>
        <v/>
      </c>
    </row>
    <row r="347" spans="1:29" ht="22.5" customHeight="1">
      <c r="F347" s="35" t="str">
        <f t="shared" si="14"/>
        <v/>
      </c>
      <c r="H347" s="36" t="str">
        <f t="shared" si="15"/>
        <v/>
      </c>
    </row>
    <row r="348" spans="1:29" ht="22.5" customHeight="1">
      <c r="F348" s="35" t="str">
        <f t="shared" si="14"/>
        <v/>
      </c>
      <c r="H348" s="36" t="str">
        <f t="shared" si="15"/>
        <v/>
      </c>
    </row>
    <row r="349" spans="1:29" ht="22.5" customHeight="1">
      <c r="F349" s="35" t="str">
        <f t="shared" si="14"/>
        <v/>
      </c>
      <c r="H349" s="36" t="str">
        <f t="shared" si="15"/>
        <v/>
      </c>
    </row>
    <row r="350" spans="1:29" ht="22.5" customHeight="1">
      <c r="F350" s="35" t="str">
        <f t="shared" si="14"/>
        <v/>
      </c>
      <c r="H350" s="36" t="str">
        <f t="shared" si="15"/>
        <v/>
      </c>
    </row>
    <row r="351" spans="1:29" ht="22.5" customHeight="1">
      <c r="F351" s="35" t="str">
        <f t="shared" si="14"/>
        <v/>
      </c>
      <c r="H351" s="36" t="str">
        <f t="shared" si="15"/>
        <v/>
      </c>
    </row>
    <row r="352" spans="1:29"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ref="F371:F434" si="16">IF(A371="", "", "gift-codes.html?game=" &amp; A371)</f>
        <v/>
      </c>
      <c r="H371" s="36" t="str">
        <f t="shared" ref="H371:H434" si="17">IF(A371="", "", "https://www.ssbuy.tw/game-detail.html?game="&amp;A371)</f>
        <v/>
      </c>
    </row>
    <row r="372" spans="6:8" ht="22.5" customHeight="1">
      <c r="F372" s="35" t="str">
        <f t="shared" si="16"/>
        <v/>
      </c>
      <c r="H372" s="36" t="str">
        <f t="shared" si="17"/>
        <v/>
      </c>
    </row>
    <row r="373" spans="6:8" ht="22.5" customHeight="1">
      <c r="F373" s="35" t="str">
        <f t="shared" si="16"/>
        <v/>
      </c>
      <c r="H373" s="36" t="str">
        <f t="shared" si="17"/>
        <v/>
      </c>
    </row>
    <row r="374" spans="6:8" ht="22.5" customHeight="1">
      <c r="F374" s="35" t="str">
        <f t="shared" si="16"/>
        <v/>
      </c>
      <c r="H374" s="36" t="str">
        <f t="shared" si="17"/>
        <v/>
      </c>
    </row>
    <row r="375" spans="6:8" ht="22.5" customHeight="1">
      <c r="F375" s="35" t="str">
        <f t="shared" si="16"/>
        <v/>
      </c>
      <c r="H375" s="36" t="str">
        <f t="shared" si="17"/>
        <v/>
      </c>
    </row>
    <row r="376" spans="6:8" ht="22.5" customHeight="1">
      <c r="F376" s="35" t="str">
        <f t="shared" si="16"/>
        <v/>
      </c>
      <c r="H376" s="36" t="str">
        <f t="shared" si="17"/>
        <v/>
      </c>
    </row>
    <row r="377" spans="6:8" ht="22.5" customHeight="1">
      <c r="F377" s="35" t="str">
        <f t="shared" si="16"/>
        <v/>
      </c>
      <c r="H377" s="36" t="str">
        <f t="shared" si="17"/>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c r="F427" s="35" t="str">
        <f t="shared" si="16"/>
        <v/>
      </c>
      <c r="H427" s="36" t="str">
        <f t="shared" si="17"/>
        <v/>
      </c>
    </row>
    <row r="428" spans="6:8">
      <c r="F428" s="35" t="str">
        <f t="shared" si="16"/>
        <v/>
      </c>
      <c r="H428" s="36" t="str">
        <f t="shared" si="17"/>
        <v/>
      </c>
    </row>
    <row r="429" spans="6:8">
      <c r="F429" s="35" t="str">
        <f t="shared" si="16"/>
        <v/>
      </c>
      <c r="H429" s="36" t="str">
        <f t="shared" si="17"/>
        <v/>
      </c>
    </row>
    <row r="430" spans="6:8">
      <c r="F430" s="35" t="str">
        <f t="shared" si="16"/>
        <v/>
      </c>
      <c r="H430" s="36" t="str">
        <f t="shared" si="17"/>
        <v/>
      </c>
    </row>
    <row r="431" spans="6:8">
      <c r="F431" s="35" t="str">
        <f t="shared" si="16"/>
        <v/>
      </c>
      <c r="H431" s="36" t="str">
        <f t="shared" si="17"/>
        <v/>
      </c>
    </row>
    <row r="432" spans="6:8">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ref="F435:F498" si="18">IF(A435="", "", "gift-codes.html?game=" &amp; A435)</f>
        <v/>
      </c>
      <c r="H435" s="36" t="str">
        <f t="shared" ref="H435:H498" si="19">IF(A435="", "", "https://www.ssbuy.tw/game-detail.html?game="&amp;A435)</f>
        <v/>
      </c>
    </row>
    <row r="436" spans="6:8">
      <c r="F436" s="35" t="str">
        <f t="shared" si="18"/>
        <v/>
      </c>
      <c r="H436" s="36" t="str">
        <f t="shared" si="19"/>
        <v/>
      </c>
    </row>
    <row r="437" spans="6:8">
      <c r="F437" s="35" t="str">
        <f t="shared" si="18"/>
        <v/>
      </c>
      <c r="H437" s="36" t="str">
        <f t="shared" si="19"/>
        <v/>
      </c>
    </row>
    <row r="438" spans="6:8">
      <c r="F438" s="35" t="str">
        <f t="shared" si="18"/>
        <v/>
      </c>
      <c r="H438" s="36" t="str">
        <f t="shared" si="19"/>
        <v/>
      </c>
    </row>
    <row r="439" spans="6:8">
      <c r="F439" s="35" t="str">
        <f t="shared" si="18"/>
        <v/>
      </c>
      <c r="H439" s="36" t="str">
        <f t="shared" si="19"/>
        <v/>
      </c>
    </row>
    <row r="440" spans="6:8">
      <c r="F440" s="35" t="str">
        <f t="shared" si="18"/>
        <v/>
      </c>
      <c r="H440" s="36" t="str">
        <f t="shared" si="19"/>
        <v/>
      </c>
    </row>
    <row r="441" spans="6:8">
      <c r="F441" s="35" t="str">
        <f t="shared" si="18"/>
        <v/>
      </c>
      <c r="H441" s="36" t="str">
        <f t="shared" si="19"/>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ref="F499:F562" si="20">IF(A499="", "", "gift-codes.html?game=" &amp; A499)</f>
        <v/>
      </c>
      <c r="H499" s="36" t="str">
        <f t="shared" ref="H499:H562" si="21">IF(A499="", "", "https://www.ssbuy.tw/game-detail.html?game="&amp;A499)</f>
        <v/>
      </c>
    </row>
    <row r="500" spans="6:8">
      <c r="F500" s="35" t="str">
        <f t="shared" si="20"/>
        <v/>
      </c>
      <c r="H500" s="36" t="str">
        <f t="shared" si="21"/>
        <v/>
      </c>
    </row>
    <row r="501" spans="6:8">
      <c r="F501" s="35" t="str">
        <f t="shared" si="20"/>
        <v/>
      </c>
      <c r="H501" s="36" t="str">
        <f t="shared" si="21"/>
        <v/>
      </c>
    </row>
    <row r="502" spans="6:8">
      <c r="F502" s="35" t="str">
        <f t="shared" si="20"/>
        <v/>
      </c>
      <c r="H502" s="36" t="str">
        <f t="shared" si="21"/>
        <v/>
      </c>
    </row>
    <row r="503" spans="6:8">
      <c r="F503" s="35" t="str">
        <f t="shared" si="20"/>
        <v/>
      </c>
      <c r="H503" s="36" t="str">
        <f t="shared" si="21"/>
        <v/>
      </c>
    </row>
    <row r="504" spans="6:8">
      <c r="F504" s="35" t="str">
        <f t="shared" si="20"/>
        <v/>
      </c>
      <c r="H504" s="36" t="str">
        <f t="shared" si="21"/>
        <v/>
      </c>
    </row>
    <row r="505" spans="6:8">
      <c r="F505" s="35" t="str">
        <f t="shared" si="20"/>
        <v/>
      </c>
      <c r="H505" s="36" t="str">
        <f t="shared" si="21"/>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IF(A563="", "", "gift-codes.html?game=" &amp; A563)</f>
        <v/>
      </c>
      <c r="H563" s="36" t="str">
        <f t="shared" ref="H563:H621" si="22">IF(A563="", "", "https://www.ssbuy.tw/game-detail.html?game="&amp;A563)</f>
        <v/>
      </c>
    </row>
    <row r="564" spans="6:8">
      <c r="F564" s="35" t="str">
        <f>IF(A564="", "", "gift-codes.html?game=" &amp; A564)</f>
        <v/>
      </c>
      <c r="H564" s="36" t="str">
        <f t="shared" si="22"/>
        <v/>
      </c>
    </row>
    <row r="565" spans="6:8">
      <c r="F565" s="35" t="str">
        <f>IF(A565="", "", "gift-codes.html?game=" &amp; A565)</f>
        <v/>
      </c>
      <c r="H565" s="36" t="str">
        <f t="shared" si="22"/>
        <v/>
      </c>
    </row>
    <row r="566" spans="6:8">
      <c r="H566" s="36" t="str">
        <f t="shared" si="22"/>
        <v/>
      </c>
    </row>
    <row r="567" spans="6:8">
      <c r="H567" s="36" t="str">
        <f t="shared" si="22"/>
        <v/>
      </c>
    </row>
    <row r="568" spans="6:8">
      <c r="H568" s="36" t="str">
        <f t="shared" si="22"/>
        <v/>
      </c>
    </row>
    <row r="569" spans="6:8">
      <c r="H569" s="36" t="str">
        <f t="shared" si="22"/>
        <v/>
      </c>
    </row>
    <row r="570" spans="6:8">
      <c r="H570" s="36" t="str">
        <f t="shared" si="22"/>
        <v/>
      </c>
    </row>
    <row r="571" spans="6:8">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s>
  <pageMargins left="0.7" right="0.7" top="0.75" bottom="0.75" header="0.3" footer="0.3"/>
  <pageSetup paperSize="9" orientation="portrait" r:id="rId3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F327" activePane="bottomRight" state="frozen"/>
      <selection pane="topRight" activeCell="B1" sqref="B1"/>
      <selection pane="bottomLeft" activeCell="A2" sqref="A2"/>
      <selection pane="bottomRight" activeCell="I335" sqref="I335"/>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4.75" style="12" customWidth="1"/>
    <col min="12" max="12" width="14.75" style="8" customWidth="1"/>
    <col min="13" max="13" width="14.75" style="13" customWidth="1"/>
    <col min="14" max="14" width="14.75" style="8" customWidth="1"/>
    <col min="15" max="15" width="14.75" style="13" customWidth="1"/>
    <col min="16" max="16" width="14.75" style="8" customWidth="1"/>
    <col min="17" max="17" width="14.75" style="13" customWidth="1"/>
    <col min="18" max="18" width="14.75" style="8" customWidth="1"/>
    <col min="19" max="19" width="14.75" style="13" customWidth="1"/>
    <col min="20" max="20" width="14.75" style="8" customWidth="1"/>
    <col min="21" max="21" width="14.75" style="13" customWidth="1"/>
    <col min="22" max="22" width="14.75" style="8" customWidth="1"/>
    <col min="23" max="23" width="14.75" style="13" customWidth="1"/>
    <col min="24" max="24" width="14.75" style="8" customWidth="1"/>
    <col min="25" max="25" width="14.75" style="13" customWidth="1"/>
    <col min="26" max="26" width="14.75" style="8" customWidth="1"/>
    <col min="27" max="27" width="14.75" style="13" customWidth="1"/>
    <col min="28" max="28" width="14.75" style="8" customWidth="1"/>
    <col min="29" max="29" width="14.75" style="13" customWidth="1"/>
    <col min="30" max="30" width="14.75" style="8" customWidth="1"/>
    <col min="31" max="31" width="14.75" style="13" customWidth="1"/>
    <col min="32" max="32" width="14.75" style="8" customWidth="1"/>
    <col min="33" max="33" width="14.75" style="13" customWidth="1"/>
    <col min="34" max="34" width="14.75" style="8" customWidth="1"/>
    <col min="35" max="35" width="14.75" style="13" customWidth="1"/>
    <col min="36" max="36" width="14.75" style="8" customWidth="1"/>
    <col min="37" max="37" width="14.75" style="13" customWidth="1"/>
    <col min="38" max="38" width="14.75" style="8" customWidth="1"/>
    <col min="39" max="39" width="14.75" style="13" customWidth="1"/>
    <col min="40" max="40" width="14.75" style="8" customWidth="1"/>
    <col min="41" max="41" width="14.75" style="13" customWidth="1"/>
    <col min="42" max="42" width="14.75" style="8" customWidth="1"/>
    <col min="43" max="43" width="14.75" style="13" customWidth="1"/>
    <col min="44" max="44" width="14.75" style="8" customWidth="1"/>
    <col min="45" max="45" width="14.75" style="13" customWidth="1"/>
    <col min="46" max="46" width="14.75" style="8" customWidth="1"/>
    <col min="47" max="47" width="14.75" style="13" customWidth="1"/>
    <col min="48" max="48" width="14.75" style="8" customWidth="1"/>
    <col min="49" max="49" width="14.75" style="13" customWidth="1"/>
    <col min="50" max="50" width="14.75" style="8" customWidth="1"/>
    <col min="51" max="51" width="14.75" style="13" customWidth="1"/>
    <col min="52" max="52" width="14.75" style="8" customWidth="1"/>
    <col min="53" max="53" width="14.75" style="13" customWidth="1"/>
    <col min="54" max="54" width="14.75" style="8" customWidth="1"/>
    <col min="55" max="55" width="14.75" style="13" customWidth="1"/>
    <col min="56" max="56" width="14.75" style="8" customWidth="1"/>
    <col min="57" max="57" width="14.75" style="13" customWidth="1"/>
    <col min="58" max="58" width="14.75" style="8" customWidth="1"/>
    <col min="59" max="59" width="14.75" style="13" customWidth="1"/>
    <col min="60" max="60" width="14.75" style="8" customWidth="1"/>
    <col min="61" max="61" width="14.75" style="13" customWidth="1"/>
    <col min="62" max="62" width="14.75" style="8" customWidth="1"/>
    <col min="63" max="63" width="14.75" style="13" customWidth="1"/>
    <col min="64" max="64" width="14.75" style="8" customWidth="1"/>
    <col min="65" max="65" width="14.75" style="13" customWidth="1"/>
    <col min="66" max="66" width="14.75" style="8" customWidth="1"/>
    <col min="67" max="67" width="14.75" style="13" customWidth="1"/>
    <col min="68" max="68" width="14.75" style="8" customWidth="1"/>
    <col min="69" max="69" width="14.75" style="13" customWidth="1"/>
    <col min="70" max="70" width="14.75" style="8" customWidth="1"/>
    <col min="71" max="16384" width="7.875" style="8"/>
  </cols>
  <sheetData>
    <row r="1" spans="1:7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c r="AY1" s="6" t="s">
        <v>6189</v>
      </c>
      <c r="AZ1" s="1" t="s">
        <v>6190</v>
      </c>
      <c r="BA1" s="6" t="s">
        <v>6191</v>
      </c>
      <c r="BB1" s="1" t="s">
        <v>6192</v>
      </c>
      <c r="BC1" s="6" t="s">
        <v>6193</v>
      </c>
      <c r="BD1" s="1" t="s">
        <v>6194</v>
      </c>
      <c r="BE1" s="6" t="s">
        <v>6195</v>
      </c>
      <c r="BF1" s="1" t="s">
        <v>6196</v>
      </c>
      <c r="BG1" s="6" t="s">
        <v>6197</v>
      </c>
      <c r="BH1" s="1" t="s">
        <v>6198</v>
      </c>
      <c r="BI1" s="6" t="s">
        <v>6199</v>
      </c>
      <c r="BJ1" s="1" t="s">
        <v>6200</v>
      </c>
      <c r="BK1" s="6" t="s">
        <v>6201</v>
      </c>
      <c r="BL1" s="1" t="s">
        <v>6202</v>
      </c>
      <c r="BM1" s="6" t="s">
        <v>6203</v>
      </c>
      <c r="BN1" s="1" t="s">
        <v>6204</v>
      </c>
      <c r="BO1" s="6" t="s">
        <v>6205</v>
      </c>
      <c r="BP1" s="1" t="s">
        <v>6206</v>
      </c>
      <c r="BQ1" s="6" t="s">
        <v>6207</v>
      </c>
      <c r="BR1" s="1" t="s">
        <v>6208</v>
      </c>
    </row>
    <row r="2" spans="1:7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7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7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7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7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7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7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7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7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7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7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7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7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7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7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5026</v>
      </c>
      <c r="AM127" s="13" t="s">
        <v>5027</v>
      </c>
      <c r="AN127" s="8" t="s">
        <v>5032</v>
      </c>
      <c r="AO127" s="13" t="s">
        <v>5028</v>
      </c>
      <c r="AP127" s="8" t="s">
        <v>5031</v>
      </c>
      <c r="AQ127" s="13" t="s">
        <v>5029</v>
      </c>
      <c r="AR127" s="8" t="s">
        <v>5030</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8"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9"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9"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9"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50" ht="22.5" customHeight="1">
      <c r="A177" s="69"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50" ht="22.5" customHeight="1">
      <c r="A178" s="7" t="s">
        <v>3418</v>
      </c>
      <c r="C178" s="8" t="str">
        <f t="shared" si="6"/>
        <v>giftcodesbanner/魔法黯道-禮包碼.jpg</v>
      </c>
      <c r="D178" s="8" t="str">
        <f t="shared" si="5"/>
        <v>https://www.ssbuy.tw/detail_giftcode/dist/giftcodes/魔法黯道.html</v>
      </c>
      <c r="E178" s="70"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50"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50"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50" ht="22.5" customHeight="1">
      <c r="A181" s="68"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50" ht="22.5" customHeight="1">
      <c r="A182" s="68" t="s">
        <v>1597</v>
      </c>
      <c r="C182" s="8" t="str">
        <f t="shared" si="6"/>
        <v>giftcodesbanner/超蝦大作戰-禮包碼.jpg</v>
      </c>
      <c r="D182" s="8" t="str">
        <f t="shared" si="5"/>
        <v>https://www.ssbuy.tw/detail_giftcode/dist/giftcodes/超蝦大作戰.html</v>
      </c>
      <c r="E182" s="70"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50" ht="22.5" customHeight="1">
      <c r="A183" s="68"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50" ht="22.5" customHeight="1">
      <c r="A184" s="8" t="s">
        <v>2627</v>
      </c>
      <c r="C184" s="8" t="str">
        <f t="shared" si="6"/>
        <v>giftcodesbanner/三國志Thrones-禮包碼.jpg</v>
      </c>
      <c r="D184" s="8" t="str">
        <f t="shared" si="5"/>
        <v>https://www.ssbuy.tw/detail_giftcode/dist/giftcodes/三國志Thrones.html</v>
      </c>
      <c r="E184" s="70" t="s">
        <v>4590</v>
      </c>
      <c r="F184" s="29" t="s">
        <v>2624</v>
      </c>
      <c r="G184" s="8" t="s">
        <v>3460</v>
      </c>
      <c r="H184" s="8" t="s">
        <v>3461</v>
      </c>
      <c r="I184" s="8" t="s">
        <v>2628</v>
      </c>
      <c r="K184" s="12" t="s">
        <v>2629</v>
      </c>
      <c r="L184" s="8" t="s">
        <v>3462</v>
      </c>
    </row>
    <row r="185" spans="1:50"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50" ht="22.5" customHeight="1">
      <c r="A186" s="69" t="s">
        <v>2633</v>
      </c>
      <c r="C186" s="8" t="str">
        <f t="shared" si="6"/>
        <v>giftcodesbanner/未鑑定勇者團-禮包碼.jpg</v>
      </c>
      <c r="D186" s="8" t="str">
        <f t="shared" si="5"/>
        <v>https://www.ssbuy.tw/detail_giftcode/dist/giftcodes/未鑑定勇者團.html</v>
      </c>
      <c r="E186" s="70" t="s">
        <v>4004</v>
      </c>
      <c r="F186" s="29" t="s">
        <v>3470</v>
      </c>
      <c r="G186" s="8" t="s">
        <v>3471</v>
      </c>
      <c r="H186" s="8" t="s">
        <v>2634</v>
      </c>
      <c r="I186" s="8" t="s">
        <v>3472</v>
      </c>
      <c r="K186" s="12" t="s">
        <v>2635</v>
      </c>
      <c r="L186" s="8" t="s">
        <v>3473</v>
      </c>
      <c r="M186" s="13" t="s">
        <v>3474</v>
      </c>
      <c r="N186" s="8" t="s">
        <v>3475</v>
      </c>
    </row>
    <row r="187" spans="1:50" ht="22.5" customHeight="1">
      <c r="A187" s="69" t="s">
        <v>2636</v>
      </c>
      <c r="C187" s="8" t="str">
        <f t="shared" si="6"/>
        <v>giftcodesbanner/戰靈異聞社-禮包碼.jpg</v>
      </c>
      <c r="D187" s="8" t="str">
        <f t="shared" si="5"/>
        <v>https://www.ssbuy.tw/detail_giftcode/dist/giftcodes/戰靈異聞社.html</v>
      </c>
      <c r="E187" s="70"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50" ht="22.5" customHeight="1">
      <c r="A188" s="8" t="s">
        <v>3487</v>
      </c>
      <c r="C188" s="8" t="str">
        <f t="shared" si="6"/>
        <v>giftcodesbanner/見習骷髏王-禮包碼.jpg</v>
      </c>
      <c r="D188" s="8" t="str">
        <f t="shared" si="5"/>
        <v>https://www.ssbuy.tw/detail_giftcode/dist/giftcodes/見習骷髏王.html</v>
      </c>
      <c r="E188" s="70" t="s">
        <v>2639</v>
      </c>
      <c r="F188" s="29" t="s">
        <v>3488</v>
      </c>
      <c r="G188" s="8" t="s">
        <v>2640</v>
      </c>
      <c r="K188" s="12" t="s">
        <v>3489</v>
      </c>
      <c r="L188" s="8" t="s">
        <v>2640</v>
      </c>
      <c r="M188" s="13" t="s">
        <v>2640</v>
      </c>
      <c r="N188" s="8" t="s">
        <v>2640</v>
      </c>
      <c r="O188" s="13" t="s">
        <v>3488</v>
      </c>
      <c r="P188" s="8" t="s">
        <v>2640</v>
      </c>
    </row>
    <row r="189" spans="1:50"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50"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5714</v>
      </c>
      <c r="AN190" s="8" t="s">
        <v>5715</v>
      </c>
      <c r="AO190" s="13" t="s">
        <v>5704</v>
      </c>
      <c r="AP190" s="8" t="s">
        <v>5705</v>
      </c>
      <c r="AQ190" s="13" t="s">
        <v>5706</v>
      </c>
      <c r="AR190" s="8" t="s">
        <v>5707</v>
      </c>
      <c r="AS190" s="13" t="s">
        <v>5708</v>
      </c>
      <c r="AT190" s="8" t="s">
        <v>5709</v>
      </c>
      <c r="AU190" s="13" t="s">
        <v>5710</v>
      </c>
      <c r="AV190" s="8" t="s">
        <v>5711</v>
      </c>
      <c r="AW190" s="13" t="s">
        <v>5712</v>
      </c>
      <c r="AX190" s="8" t="s">
        <v>5713</v>
      </c>
    </row>
    <row r="191" spans="1:50"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50"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7" t="s">
        <v>4151</v>
      </c>
      <c r="Y216" s="67" t="s">
        <v>4152</v>
      </c>
      <c r="AA216" s="67" t="s">
        <v>4153</v>
      </c>
      <c r="AC216" s="67" t="s">
        <v>4153</v>
      </c>
      <c r="AE216" s="67" t="s">
        <v>4154</v>
      </c>
      <c r="AG216" s="67" t="s">
        <v>4155</v>
      </c>
      <c r="AI216" s="67" t="s">
        <v>4156</v>
      </c>
      <c r="AK216" s="67" t="s">
        <v>4157</v>
      </c>
      <c r="AM216" s="67"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7" t="s">
        <v>4311</v>
      </c>
      <c r="O220" s="13" t="s">
        <v>4294</v>
      </c>
      <c r="P220" s="67" t="s">
        <v>4312</v>
      </c>
      <c r="Q220" s="13" t="s">
        <v>4295</v>
      </c>
      <c r="R220" s="67" t="s">
        <v>4312</v>
      </c>
      <c r="S220" s="13" t="s">
        <v>4296</v>
      </c>
      <c r="T220" s="67" t="s">
        <v>4312</v>
      </c>
      <c r="U220" s="13" t="s">
        <v>4297</v>
      </c>
      <c r="V220" s="67" t="s">
        <v>4313</v>
      </c>
      <c r="W220" s="13" t="s">
        <v>4298</v>
      </c>
      <c r="X220" s="67" t="s">
        <v>4313</v>
      </c>
      <c r="Y220" s="13" t="s">
        <v>4299</v>
      </c>
      <c r="Z220" s="67" t="s">
        <v>4313</v>
      </c>
      <c r="AA220" s="13" t="s">
        <v>4300</v>
      </c>
      <c r="AB220" s="67" t="s">
        <v>4313</v>
      </c>
      <c r="AC220" s="13" t="s">
        <v>4301</v>
      </c>
      <c r="AD220" s="67" t="s">
        <v>4314</v>
      </c>
      <c r="AE220" s="13" t="s">
        <v>4302</v>
      </c>
      <c r="AF220" s="67" t="s">
        <v>4315</v>
      </c>
      <c r="AG220" s="13" t="s">
        <v>4303</v>
      </c>
      <c r="AH220" s="67" t="s">
        <v>4315</v>
      </c>
      <c r="AI220" s="13" t="s">
        <v>4304</v>
      </c>
      <c r="AJ220" s="67" t="s">
        <v>4315</v>
      </c>
      <c r="AK220" s="13" t="s">
        <v>4305</v>
      </c>
      <c r="AL220" s="71" t="s">
        <v>4316</v>
      </c>
      <c r="AM220" s="13" t="s">
        <v>4306</v>
      </c>
      <c r="AN220" s="67" t="s">
        <v>4317</v>
      </c>
      <c r="AO220" s="13" t="s">
        <v>4307</v>
      </c>
      <c r="AP220" s="67" t="s">
        <v>4318</v>
      </c>
      <c r="AQ220" s="13" t="s">
        <v>4308</v>
      </c>
      <c r="AR220" s="67" t="s">
        <v>4318</v>
      </c>
      <c r="AS220" s="13" t="s">
        <v>4309</v>
      </c>
      <c r="AT220" s="67"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2" t="s">
        <v>4381</v>
      </c>
      <c r="G225" s="67" t="s">
        <v>4382</v>
      </c>
      <c r="H225" s="67" t="s">
        <v>4383</v>
      </c>
      <c r="I225" s="67" t="s">
        <v>4384</v>
      </c>
      <c r="J225" s="67" t="s">
        <v>4385</v>
      </c>
      <c r="K225" s="67" t="s">
        <v>4367</v>
      </c>
      <c r="L225" s="8" t="s">
        <v>2640</v>
      </c>
      <c r="M225" s="67" t="s">
        <v>4368</v>
      </c>
      <c r="O225" s="67" t="s">
        <v>4369</v>
      </c>
      <c r="Q225" s="67" t="s">
        <v>4370</v>
      </c>
      <c r="S225" s="67" t="s">
        <v>4371</v>
      </c>
      <c r="U225" s="67" t="s">
        <v>4372</v>
      </c>
      <c r="W225" s="67" t="s">
        <v>4373</v>
      </c>
      <c r="Y225" s="67" t="s">
        <v>4374</v>
      </c>
      <c r="AA225" s="67" t="s">
        <v>4375</v>
      </c>
      <c r="AC225" s="67" t="s">
        <v>4376</v>
      </c>
      <c r="AE225" s="67" t="s">
        <v>4377</v>
      </c>
      <c r="AG225" s="67" t="s">
        <v>4378</v>
      </c>
      <c r="AI225" s="67" t="s">
        <v>4379</v>
      </c>
      <c r="AK225" s="67"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7" t="s">
        <v>4386</v>
      </c>
      <c r="R227" s="8" t="s">
        <v>4389</v>
      </c>
      <c r="S227" s="67" t="s">
        <v>4387</v>
      </c>
      <c r="T227" s="8" t="s">
        <v>4389</v>
      </c>
      <c r="U227" s="67" t="s">
        <v>4388</v>
      </c>
      <c r="V227" s="8" t="s">
        <v>4389</v>
      </c>
      <c r="W227" s="13" t="s">
        <v>4781</v>
      </c>
      <c r="Y227" s="13" t="s">
        <v>4782</v>
      </c>
      <c r="AA227" s="56" t="s">
        <v>4851</v>
      </c>
      <c r="AC227" s="13" t="s">
        <v>4965</v>
      </c>
      <c r="AE227" s="13" t="s">
        <v>4966</v>
      </c>
      <c r="AG227" s="13" t="s">
        <v>4967</v>
      </c>
      <c r="AI227" s="13" t="s">
        <v>4990</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7" t="s">
        <v>1782</v>
      </c>
      <c r="M228" s="67" t="s">
        <v>1714</v>
      </c>
      <c r="O228" s="67" t="s">
        <v>1715</v>
      </c>
      <c r="Q228" s="67" t="s">
        <v>1820</v>
      </c>
      <c r="S228" s="67" t="s">
        <v>4510</v>
      </c>
      <c r="U228" s="67" t="s">
        <v>4511</v>
      </c>
      <c r="W228" s="67" t="s">
        <v>4512</v>
      </c>
      <c r="Y228" s="67"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7"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7" t="s">
        <v>4361</v>
      </c>
      <c r="L234" s="67" t="s">
        <v>4363</v>
      </c>
      <c r="M234" s="67" t="s">
        <v>4362</v>
      </c>
      <c r="N234" s="67"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7" t="s">
        <v>4349</v>
      </c>
      <c r="O235" s="67" t="s">
        <v>4350</v>
      </c>
      <c r="Q235" s="67" t="s">
        <v>4351</v>
      </c>
      <c r="S235" s="67" t="s">
        <v>4352</v>
      </c>
      <c r="U235" s="67" t="s">
        <v>4350</v>
      </c>
      <c r="W235" s="67" t="s">
        <v>4353</v>
      </c>
      <c r="Y235" s="73" t="s">
        <v>2299</v>
      </c>
      <c r="Z235" s="73"/>
      <c r="AA235" s="73" t="s">
        <v>4354</v>
      </c>
      <c r="AC235" s="67" t="s">
        <v>2298</v>
      </c>
      <c r="AE235" s="67" t="s">
        <v>1819</v>
      </c>
      <c r="AG235" s="67" t="s">
        <v>1782</v>
      </c>
      <c r="AI235" s="67" t="s">
        <v>1714</v>
      </c>
      <c r="AK235" s="67" t="s">
        <v>1715</v>
      </c>
      <c r="AM235" s="67" t="s">
        <v>1820</v>
      </c>
      <c r="AO235" s="67" t="s">
        <v>4355</v>
      </c>
      <c r="AQ235" s="67" t="s">
        <v>4356</v>
      </c>
      <c r="AS235" s="67" t="s">
        <v>4357</v>
      </c>
      <c r="AU235" s="67"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2" t="s">
        <v>4450</v>
      </c>
      <c r="G236" s="8" t="s">
        <v>4451</v>
      </c>
      <c r="K236" s="67" t="s">
        <v>4991</v>
      </c>
      <c r="L236" s="8" t="s">
        <v>5016</v>
      </c>
      <c r="M236" s="67" t="s">
        <v>5017</v>
      </c>
      <c r="N236" s="8" t="s">
        <v>5018</v>
      </c>
      <c r="O236" s="67" t="s">
        <v>5019</v>
      </c>
      <c r="P236" s="8" t="s">
        <v>5020</v>
      </c>
      <c r="Q236" s="67" t="s">
        <v>5021</v>
      </c>
      <c r="R236" s="8" t="s">
        <v>4992</v>
      </c>
      <c r="S236" s="67" t="s">
        <v>5022</v>
      </c>
      <c r="T236" s="8" t="s">
        <v>5023</v>
      </c>
      <c r="U236" s="13" t="s">
        <v>5024</v>
      </c>
      <c r="V236" s="8" t="s">
        <v>5025</v>
      </c>
      <c r="W236" s="13" t="s">
        <v>5204</v>
      </c>
      <c r="X236" s="8" t="s">
        <v>5216</v>
      </c>
      <c r="Y236" s="13" t="s">
        <v>5205</v>
      </c>
      <c r="Z236" s="8" t="s">
        <v>5215</v>
      </c>
      <c r="AA236" s="13" t="s">
        <v>5206</v>
      </c>
      <c r="AB236" s="8" t="s">
        <v>5214</v>
      </c>
      <c r="AC236" s="13" t="s">
        <v>5207</v>
      </c>
      <c r="AD236" s="8" t="s">
        <v>5213</v>
      </c>
      <c r="AE236" s="13" t="s">
        <v>5208</v>
      </c>
      <c r="AF236" s="8" t="s">
        <v>5212</v>
      </c>
      <c r="AG236" s="13" t="s">
        <v>5209</v>
      </c>
      <c r="AH236" s="8" t="s">
        <v>5211</v>
      </c>
      <c r="AI236" s="13" t="s">
        <v>5210</v>
      </c>
      <c r="AJ236" s="8" t="s">
        <v>5594</v>
      </c>
      <c r="AK236" s="13" t="s">
        <v>5592</v>
      </c>
      <c r="AL236" s="8" t="s">
        <v>5595</v>
      </c>
      <c r="AM236" s="13" t="s">
        <v>4991</v>
      </c>
      <c r="AN236" s="8" t="s">
        <v>5596</v>
      </c>
      <c r="AO236" s="13" t="s">
        <v>5593</v>
      </c>
      <c r="AP236" s="8" t="s">
        <v>5597</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5"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7"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4"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7" t="s">
        <v>4609</v>
      </c>
      <c r="G249" s="8" t="s">
        <v>4610</v>
      </c>
      <c r="K249" s="67" t="s">
        <v>4607</v>
      </c>
      <c r="L249" s="67"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7" t="s">
        <v>4876</v>
      </c>
      <c r="L259" s="8" t="s">
        <v>4877</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6" t="s">
        <v>4872</v>
      </c>
      <c r="G265" s="8" t="s">
        <v>4873</v>
      </c>
      <c r="H265" s="8" t="s">
        <v>4874</v>
      </c>
      <c r="I265" s="8" t="s">
        <v>4875</v>
      </c>
      <c r="K265" s="12" t="s">
        <v>4870</v>
      </c>
      <c r="L265" s="8" t="s">
        <v>4871</v>
      </c>
      <c r="M265" s="13" t="s">
        <v>4955</v>
      </c>
      <c r="O265" s="13" t="s">
        <v>4956</v>
      </c>
      <c r="Q265" s="13" t="s">
        <v>4957</v>
      </c>
      <c r="S265" s="13" t="s">
        <v>4958</v>
      </c>
      <c r="U265" s="13" t="s">
        <v>4959</v>
      </c>
      <c r="W265" s="13" t="s">
        <v>4960</v>
      </c>
      <c r="Y265" s="13" t="s">
        <v>4961</v>
      </c>
      <c r="AA265" s="13" t="s">
        <v>4962</v>
      </c>
      <c r="AC265" s="13" t="s">
        <v>4963</v>
      </c>
      <c r="AE265" s="13" t="s">
        <v>4964</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4905</v>
      </c>
      <c r="G267" s="8" t="s">
        <v>4906</v>
      </c>
      <c r="H267" s="8" t="s">
        <v>4907</v>
      </c>
      <c r="I267" s="8" t="s">
        <v>4908</v>
      </c>
      <c r="J267" s="8" t="s">
        <v>4909</v>
      </c>
      <c r="K267" s="12" t="s">
        <v>4897</v>
      </c>
      <c r="L267" s="8" t="s">
        <v>4910</v>
      </c>
      <c r="M267" s="13" t="s">
        <v>4898</v>
      </c>
      <c r="N267" s="8" t="s">
        <v>4911</v>
      </c>
      <c r="O267" s="13" t="s">
        <v>4899</v>
      </c>
      <c r="P267" s="8" t="s">
        <v>4912</v>
      </c>
      <c r="Q267" s="13" t="s">
        <v>4900</v>
      </c>
      <c r="R267" s="8" t="s">
        <v>4913</v>
      </c>
      <c r="S267" s="13" t="s">
        <v>4901</v>
      </c>
      <c r="T267" s="8" t="s">
        <v>4914</v>
      </c>
      <c r="U267" s="13" t="s">
        <v>4902</v>
      </c>
      <c r="V267" s="8" t="s">
        <v>4915</v>
      </c>
      <c r="W267" s="13" t="s">
        <v>4903</v>
      </c>
      <c r="X267" s="8" t="s">
        <v>4915</v>
      </c>
      <c r="Y267" s="13" t="s">
        <v>4904</v>
      </c>
      <c r="Z267" s="8" t="s">
        <v>4915</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5039</v>
      </c>
      <c r="G268" s="8" t="s">
        <v>5040</v>
      </c>
      <c r="H268" s="8" t="s">
        <v>2625</v>
      </c>
      <c r="I268" s="8" t="s">
        <v>4360</v>
      </c>
      <c r="K268" s="12" t="s">
        <v>4868</v>
      </c>
      <c r="L268" s="8" t="s">
        <v>4869</v>
      </c>
      <c r="M268" s="13" t="s">
        <v>4880</v>
      </c>
      <c r="N268" s="8" t="s">
        <v>4884</v>
      </c>
      <c r="O268" s="13" t="s">
        <v>4881</v>
      </c>
      <c r="P268" s="8" t="s">
        <v>4885</v>
      </c>
      <c r="Q268" s="13" t="s">
        <v>4882</v>
      </c>
      <c r="R268" s="8" t="s">
        <v>4886</v>
      </c>
      <c r="S268" s="13" t="s">
        <v>4883</v>
      </c>
      <c r="T268" s="8" t="s">
        <v>4887</v>
      </c>
    </row>
    <row r="269" spans="1:31">
      <c r="A269" s="8" t="str">
        <f>IF(games!A269="", "", games!A269)</f>
        <v>Awakenloop</v>
      </c>
      <c r="C269" s="8" t="str">
        <f t="shared" ref="C269:C311" si="12">IF(A269="","", "giftcodesbanner/" &amp; A269 &amp; "-禮包碼.jpg")</f>
        <v>giftcodesbanner/Awakenloop-禮包碼.jpg</v>
      </c>
      <c r="D269" s="8" t="str">
        <f t="shared" ref="D269:D311"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5190</v>
      </c>
      <c r="G269" s="8" t="s">
        <v>5191</v>
      </c>
      <c r="H269" s="8" t="s">
        <v>2625</v>
      </c>
      <c r="I269" s="8" t="s">
        <v>4360</v>
      </c>
      <c r="K269" s="12" t="s">
        <v>5186</v>
      </c>
      <c r="L269" s="8" t="s">
        <v>5189</v>
      </c>
      <c r="M269" s="13" t="s">
        <v>5187</v>
      </c>
      <c r="N269" s="8" t="s">
        <v>5188</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5049</v>
      </c>
      <c r="G272" s="8" t="s">
        <v>5066</v>
      </c>
      <c r="H272" s="8" t="s">
        <v>2625</v>
      </c>
      <c r="I272" s="8" t="s">
        <v>4360</v>
      </c>
      <c r="K272" s="12" t="s">
        <v>5047</v>
      </c>
      <c r="L272" s="8" t="s">
        <v>5048</v>
      </c>
    </row>
    <row r="273" spans="1:42">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5061</v>
      </c>
      <c r="G273" s="8" t="s">
        <v>2625</v>
      </c>
      <c r="H273" s="8" t="s">
        <v>4360</v>
      </c>
      <c r="K273" s="12" t="s">
        <v>5041</v>
      </c>
      <c r="L273" s="8" t="s">
        <v>5059</v>
      </c>
      <c r="M273" s="13" t="s">
        <v>5042</v>
      </c>
      <c r="N273" s="8" t="s">
        <v>5060</v>
      </c>
      <c r="O273" s="13" t="s">
        <v>5043</v>
      </c>
      <c r="P273" s="8" t="s">
        <v>5062</v>
      </c>
      <c r="Q273" s="13" t="s">
        <v>5044</v>
      </c>
      <c r="R273" s="8" t="s">
        <v>5063</v>
      </c>
      <c r="S273" s="13" t="s">
        <v>5045</v>
      </c>
      <c r="T273" s="8" t="s">
        <v>5064</v>
      </c>
      <c r="U273" s="13" t="s">
        <v>5046</v>
      </c>
      <c r="V273" s="8" t="s">
        <v>5065</v>
      </c>
      <c r="W273" s="13" t="s">
        <v>5195</v>
      </c>
      <c r="X273" s="8" t="s">
        <v>5199</v>
      </c>
      <c r="Y273" s="13" t="s">
        <v>5196</v>
      </c>
      <c r="Z273" s="8" t="s">
        <v>5200</v>
      </c>
      <c r="AA273" s="13" t="s">
        <v>5197</v>
      </c>
      <c r="AB273" s="8" t="s">
        <v>5201</v>
      </c>
      <c r="AC273" s="13" t="s">
        <v>5198</v>
      </c>
      <c r="AD273" s="8" t="s">
        <v>5202</v>
      </c>
    </row>
    <row r="274" spans="1:42">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4993</v>
      </c>
      <c r="G274" s="8" t="s">
        <v>4994</v>
      </c>
      <c r="H274" s="8" t="s">
        <v>2625</v>
      </c>
      <c r="I274" s="8" t="s">
        <v>4360</v>
      </c>
      <c r="K274" s="12" t="s">
        <v>4995</v>
      </c>
      <c r="L274" s="8" t="s">
        <v>4996</v>
      </c>
      <c r="M274" s="13" t="s">
        <v>4997</v>
      </c>
      <c r="N274" s="8" t="s">
        <v>4998</v>
      </c>
      <c r="O274" s="13" t="s">
        <v>4999</v>
      </c>
      <c r="P274" s="8" t="s">
        <v>5000</v>
      </c>
      <c r="Q274" s="86" t="s">
        <v>5458</v>
      </c>
      <c r="R274" s="8" t="s">
        <v>5452</v>
      </c>
    </row>
    <row r="275" spans="1:42">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5035</v>
      </c>
      <c r="G275" s="8" t="s">
        <v>5036</v>
      </c>
      <c r="H275" s="8" t="s">
        <v>5037</v>
      </c>
      <c r="I275" s="8" t="s">
        <v>2625</v>
      </c>
      <c r="J275" s="8" t="s">
        <v>5038</v>
      </c>
      <c r="K275" s="13" t="s">
        <v>5033</v>
      </c>
      <c r="L275" s="8" t="s">
        <v>5034</v>
      </c>
      <c r="M275" s="13" t="s">
        <v>5051</v>
      </c>
      <c r="N275" s="8" t="s">
        <v>5052</v>
      </c>
      <c r="O275" s="13" t="s">
        <v>5104</v>
      </c>
      <c r="Q275" s="13" t="s">
        <v>5105</v>
      </c>
      <c r="S275" s="13" t="s">
        <v>5106</v>
      </c>
      <c r="U275" s="13" t="s">
        <v>2056</v>
      </c>
      <c r="W275" s="13" t="s">
        <v>4560</v>
      </c>
      <c r="Y275" s="13" t="s">
        <v>5107</v>
      </c>
      <c r="AA275" s="86" t="s">
        <v>5458</v>
      </c>
      <c r="AB275" s="8" t="s">
        <v>5452</v>
      </c>
    </row>
    <row r="276" spans="1:42">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6" t="s">
        <v>5112</v>
      </c>
      <c r="G276" s="8" t="s">
        <v>5113</v>
      </c>
      <c r="H276" s="8" t="s">
        <v>5114</v>
      </c>
      <c r="I276" s="8" t="s">
        <v>5115</v>
      </c>
      <c r="K276" s="12" t="s">
        <v>5108</v>
      </c>
      <c r="L276" s="8" t="s">
        <v>5110</v>
      </c>
      <c r="M276" s="13" t="s">
        <v>5109</v>
      </c>
      <c r="N276" s="8" t="s">
        <v>5111</v>
      </c>
      <c r="Q276" s="86" t="s">
        <v>5458</v>
      </c>
      <c r="R276" s="8" t="s">
        <v>5452</v>
      </c>
    </row>
    <row r="277" spans="1:42">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5090</v>
      </c>
      <c r="G277" s="8" t="s">
        <v>5091</v>
      </c>
      <c r="H277" s="8" t="s">
        <v>2625</v>
      </c>
      <c r="I277" s="8" t="s">
        <v>4360</v>
      </c>
      <c r="K277" s="86" t="s">
        <v>5458</v>
      </c>
      <c r="L277" s="8" t="s">
        <v>5452</v>
      </c>
    </row>
    <row r="278" spans="1:42">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5242</v>
      </c>
      <c r="G278" s="8" t="s">
        <v>5243</v>
      </c>
      <c r="H278" s="8" t="s">
        <v>5244</v>
      </c>
      <c r="K278" s="12" t="s">
        <v>5238</v>
      </c>
      <c r="L278" s="8" t="s">
        <v>5241</v>
      </c>
      <c r="M278" s="13" t="s">
        <v>5239</v>
      </c>
      <c r="N278" s="8" t="s">
        <v>5240</v>
      </c>
      <c r="O278" s="86" t="s">
        <v>5458</v>
      </c>
      <c r="P278" s="8" t="s">
        <v>5452</v>
      </c>
    </row>
    <row r="279" spans="1:42">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5316</v>
      </c>
      <c r="G279" s="8" t="s">
        <v>5317</v>
      </c>
      <c r="H279" s="8" t="s">
        <v>5318</v>
      </c>
      <c r="I279" s="8" t="s">
        <v>2625</v>
      </c>
      <c r="J279" s="8" t="s">
        <v>4360</v>
      </c>
      <c r="K279" s="12" t="s">
        <v>5245</v>
      </c>
      <c r="L279" s="8" t="s">
        <v>5355</v>
      </c>
      <c r="M279" s="13" t="s">
        <v>5246</v>
      </c>
      <c r="N279" s="8" t="s">
        <v>5356</v>
      </c>
      <c r="O279" s="13" t="s">
        <v>5247</v>
      </c>
      <c r="P279" s="8" t="s">
        <v>5357</v>
      </c>
      <c r="Q279" s="13" t="s">
        <v>5248</v>
      </c>
      <c r="R279" s="8" t="s">
        <v>5358</v>
      </c>
      <c r="S279" s="13" t="s">
        <v>5319</v>
      </c>
      <c r="T279" s="8" t="s">
        <v>5359</v>
      </c>
      <c r="U279" s="13" t="s">
        <v>5320</v>
      </c>
      <c r="V279" s="8" t="s">
        <v>5360</v>
      </c>
      <c r="W279" s="13" t="s">
        <v>5321</v>
      </c>
      <c r="X279" s="8" t="s">
        <v>5361</v>
      </c>
      <c r="Y279" s="13" t="s">
        <v>5322</v>
      </c>
      <c r="Z279" s="8" t="s">
        <v>5362</v>
      </c>
      <c r="AA279" s="13" t="s">
        <v>5324</v>
      </c>
      <c r="AB279" s="8" t="s">
        <v>5363</v>
      </c>
      <c r="AC279" s="13" t="s">
        <v>5323</v>
      </c>
      <c r="AD279" s="8" t="s">
        <v>5364</v>
      </c>
      <c r="AG279" s="86" t="s">
        <v>5458</v>
      </c>
      <c r="AH279" s="8" t="s">
        <v>5452</v>
      </c>
    </row>
    <row r="280" spans="1:42">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5237</v>
      </c>
      <c r="K280" s="76" t="s">
        <v>5453</v>
      </c>
      <c r="L280" s="8" t="s">
        <v>5454</v>
      </c>
    </row>
    <row r="281" spans="1:42">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5237</v>
      </c>
      <c r="K281" s="76" t="s">
        <v>5453</v>
      </c>
      <c r="L281" s="8" t="s">
        <v>5454</v>
      </c>
    </row>
    <row r="282" spans="1:42">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5237</v>
      </c>
      <c r="K282" s="76" t="s">
        <v>5453</v>
      </c>
      <c r="L282" s="8" t="s">
        <v>5454</v>
      </c>
    </row>
    <row r="283" spans="1:42">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5307</v>
      </c>
      <c r="G283" s="8" t="s">
        <v>5308</v>
      </c>
      <c r="H283" s="8" t="s">
        <v>2625</v>
      </c>
      <c r="I283" s="8" t="s">
        <v>4360</v>
      </c>
      <c r="K283" s="12" t="s">
        <v>5309</v>
      </c>
      <c r="L283" s="8" t="s">
        <v>5331</v>
      </c>
      <c r="M283" s="13" t="s">
        <v>4141</v>
      </c>
      <c r="N283" s="8" t="s">
        <v>5332</v>
      </c>
      <c r="O283" s="13" t="s">
        <v>4140</v>
      </c>
      <c r="P283" s="8" t="s">
        <v>5333</v>
      </c>
      <c r="Q283" s="13" t="s">
        <v>5310</v>
      </c>
      <c r="R283" s="8" t="s">
        <v>5334</v>
      </c>
      <c r="S283" s="13" t="s">
        <v>5311</v>
      </c>
      <c r="T283" s="8" t="s">
        <v>5335</v>
      </c>
      <c r="U283" s="13" t="s">
        <v>5312</v>
      </c>
      <c r="V283" s="8" t="s">
        <v>5335</v>
      </c>
      <c r="W283" s="13" t="s">
        <v>5313</v>
      </c>
      <c r="X283" s="8" t="s">
        <v>5335</v>
      </c>
      <c r="Y283" s="13" t="s">
        <v>5314</v>
      </c>
      <c r="Z283" s="8" t="s">
        <v>5336</v>
      </c>
      <c r="AA283" s="13" t="s">
        <v>2056</v>
      </c>
      <c r="AB283" s="8" t="s">
        <v>5337</v>
      </c>
      <c r="AC283" s="13" t="s">
        <v>5315</v>
      </c>
      <c r="AD283" s="8" t="s">
        <v>5338</v>
      </c>
      <c r="AE283" s="13" t="s">
        <v>5477</v>
      </c>
      <c r="AG283" s="13" t="s">
        <v>5478</v>
      </c>
      <c r="AI283" s="86" t="s">
        <v>5458</v>
      </c>
      <c r="AJ283" s="8" t="s">
        <v>5452</v>
      </c>
    </row>
    <row r="284" spans="1:42">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5192</v>
      </c>
      <c r="G284" s="8" t="s">
        <v>5193</v>
      </c>
      <c r="H284" s="8" t="s">
        <v>5194</v>
      </c>
      <c r="K284" s="12" t="s">
        <v>5254</v>
      </c>
      <c r="L284" s="8" t="s">
        <v>5306</v>
      </c>
      <c r="M284" s="13" t="s">
        <v>5255</v>
      </c>
      <c r="N284" s="8" t="s">
        <v>5305</v>
      </c>
      <c r="O284" s="13" t="s">
        <v>5282</v>
      </c>
      <c r="P284" s="8" t="s">
        <v>5304</v>
      </c>
      <c r="Q284" s="13" t="s">
        <v>5283</v>
      </c>
      <c r="R284" s="8" t="s">
        <v>5303</v>
      </c>
      <c r="S284" s="13" t="s">
        <v>5284</v>
      </c>
      <c r="T284" s="8" t="s">
        <v>5302</v>
      </c>
      <c r="U284" s="13" t="s">
        <v>5285</v>
      </c>
      <c r="V284" s="8" t="s">
        <v>5301</v>
      </c>
      <c r="W284" s="13" t="s">
        <v>5286</v>
      </c>
      <c r="X284" s="8" t="s">
        <v>5300</v>
      </c>
      <c r="Y284" s="13" t="s">
        <v>5287</v>
      </c>
      <c r="Z284" s="8" t="s">
        <v>5299</v>
      </c>
      <c r="AA284" s="13" t="s">
        <v>5288</v>
      </c>
      <c r="AB284" s="8" t="s">
        <v>5298</v>
      </c>
      <c r="AC284" s="13" t="s">
        <v>1932</v>
      </c>
      <c r="AD284" s="8" t="s">
        <v>5297</v>
      </c>
      <c r="AE284" s="13" t="s">
        <v>5289</v>
      </c>
      <c r="AF284" s="8" t="s">
        <v>5296</v>
      </c>
      <c r="AG284" s="13" t="s">
        <v>5290</v>
      </c>
      <c r="AH284" s="8" t="s">
        <v>5295</v>
      </c>
      <c r="AI284" s="13" t="s">
        <v>5291</v>
      </c>
      <c r="AJ284" s="8" t="s">
        <v>5294</v>
      </c>
      <c r="AK284" s="13" t="s">
        <v>2199</v>
      </c>
      <c r="AL284" s="8" t="s">
        <v>5293</v>
      </c>
      <c r="AM284" s="13" t="s">
        <v>2200</v>
      </c>
      <c r="AN284" s="8" t="s">
        <v>5292</v>
      </c>
      <c r="AO284" s="86" t="s">
        <v>5458</v>
      </c>
      <c r="AP284" s="8" t="s">
        <v>5452</v>
      </c>
    </row>
    <row r="285" spans="1:42">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2" t="s">
        <v>5237</v>
      </c>
      <c r="K285" s="86" t="s">
        <v>5507</v>
      </c>
      <c r="L285" s="8" t="s">
        <v>5508</v>
      </c>
    </row>
    <row r="286" spans="1:42">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2" t="s">
        <v>5237</v>
      </c>
      <c r="K286" s="86" t="s">
        <v>5507</v>
      </c>
      <c r="L286" s="8" t="s">
        <v>5508</v>
      </c>
    </row>
    <row r="287" spans="1:42">
      <c r="A287" s="8" t="str">
        <f>IF(games!A287="", "", games!A287)</f>
        <v>NBA巔峰對決</v>
      </c>
      <c r="C287" s="8" t="str">
        <f t="shared" si="12"/>
        <v>giftcodesbanner/NBA巔峰對決-禮包碼.jpg</v>
      </c>
      <c r="D287" s="8" t="str">
        <f t="shared" si="13"/>
        <v>https://www.ssbuy.tw/gift-codes.html?game=NBA巔峰對決</v>
      </c>
      <c r="E287" s="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2" t="s">
        <v>5372</v>
      </c>
      <c r="G287" s="8" t="s">
        <v>5373</v>
      </c>
      <c r="H287" s="8" t="s">
        <v>2625</v>
      </c>
      <c r="I287" s="8" t="s">
        <v>4360</v>
      </c>
      <c r="K287" s="13" t="s">
        <v>5366</v>
      </c>
      <c r="L287" s="8" t="s">
        <v>5369</v>
      </c>
      <c r="M287" s="13" t="s">
        <v>5367</v>
      </c>
      <c r="N287" s="8" t="s">
        <v>5370</v>
      </c>
      <c r="O287" s="13" t="s">
        <v>5368</v>
      </c>
      <c r="P287" s="8" t="s">
        <v>5371</v>
      </c>
      <c r="Q287" s="13" t="s">
        <v>5374</v>
      </c>
      <c r="R287" s="8" t="s">
        <v>5375</v>
      </c>
      <c r="S287" t="s">
        <v>5475</v>
      </c>
      <c r="U287" t="s">
        <v>5476</v>
      </c>
      <c r="W287" s="86" t="s">
        <v>5458</v>
      </c>
      <c r="X287" s="8" t="s">
        <v>5452</v>
      </c>
    </row>
    <row r="288" spans="1:42">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2" t="s">
        <v>5237</v>
      </c>
      <c r="K288" s="86" t="s">
        <v>5507</v>
      </c>
      <c r="L288" s="8" t="s">
        <v>5508</v>
      </c>
    </row>
    <row r="289" spans="1:49">
      <c r="A289" s="8" t="str">
        <f>IF(games!A289="", "", games!A289)</f>
        <v>信長 霸道</v>
      </c>
      <c r="C289" s="8" t="str">
        <f t="shared" si="12"/>
        <v>giftcodesbanner/信長 霸道-禮包碼.jpg</v>
      </c>
      <c r="D289" s="8" t="str">
        <f t="shared" si="13"/>
        <v>https://www.ssbuy.tw/gift-codes.html?game=信長 霸道</v>
      </c>
      <c r="E289" s="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2" t="s">
        <v>5237</v>
      </c>
      <c r="K289" s="86" t="s">
        <v>5507</v>
      </c>
      <c r="L289" s="8" t="s">
        <v>5508</v>
      </c>
    </row>
    <row r="290" spans="1:49">
      <c r="A290" s="8" t="str">
        <f>IF(games!A290="", "", games!A290)</f>
        <v>勇者前線Versus</v>
      </c>
      <c r="C290" s="8" t="str">
        <f t="shared" si="12"/>
        <v>giftcodesbanner/勇者前線Versus-禮包碼.jpg</v>
      </c>
      <c r="D290" s="8" t="str">
        <f t="shared" si="13"/>
        <v>https://www.ssbuy.tw/gift-codes.html?game=勇者前線Versus</v>
      </c>
      <c r="E290" s="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2" t="s">
        <v>5237</v>
      </c>
      <c r="K290" s="86" t="s">
        <v>5507</v>
      </c>
      <c r="L290" s="8" t="s">
        <v>5508</v>
      </c>
    </row>
    <row r="291" spans="1:49">
      <c r="A291" s="8" t="str">
        <f>IF(games!A291="", "", games!A291)</f>
        <v>幻域方舟</v>
      </c>
      <c r="C291" s="8" t="str">
        <f t="shared" si="12"/>
        <v>giftcodesbanner/幻域方舟-禮包碼.jpg</v>
      </c>
      <c r="D291" s="8" t="str">
        <f t="shared" si="13"/>
        <v>https://www.ssbuy.tw/gift-codes.html?game=幻域方舟</v>
      </c>
      <c r="E291" s="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2" t="s">
        <v>5456</v>
      </c>
      <c r="G291" s="8" t="s">
        <v>5455</v>
      </c>
      <c r="H291" s="8" t="s">
        <v>5457</v>
      </c>
      <c r="K291" s="76" t="s">
        <v>5459</v>
      </c>
      <c r="L291" s="8" t="s">
        <v>5460</v>
      </c>
      <c r="M291" s="86" t="s">
        <v>5507</v>
      </c>
      <c r="N291" s="8" t="s">
        <v>5508</v>
      </c>
      <c r="AC291" s="86" t="s">
        <v>5458</v>
      </c>
      <c r="AD291" s="8" t="s">
        <v>5452</v>
      </c>
    </row>
    <row r="292" spans="1:49">
      <c r="A292" s="8" t="str">
        <f>IF(games!A292="", "", games!A292)</f>
        <v>開天</v>
      </c>
      <c r="C292" s="8" t="str">
        <f t="shared" si="12"/>
        <v>giftcodesbanner/開天-禮包碼.jpg</v>
      </c>
      <c r="D292" s="8" t="str">
        <f t="shared" si="13"/>
        <v>https://www.ssbuy.tw/gift-codes.html?game=開天</v>
      </c>
      <c r="E292" s="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2" t="s">
        <v>5469</v>
      </c>
      <c r="G292" s="8" t="s">
        <v>5470</v>
      </c>
      <c r="H292" s="8" t="s">
        <v>2625</v>
      </c>
      <c r="K292" s="86" t="s">
        <v>5461</v>
      </c>
      <c r="M292" s="13" t="s">
        <v>5462</v>
      </c>
      <c r="N292" s="87"/>
      <c r="O292" s="13" t="s">
        <v>5463</v>
      </c>
      <c r="Q292" s="13" t="s">
        <v>5464</v>
      </c>
      <c r="S292" s="13" t="s">
        <v>5465</v>
      </c>
      <c r="U292" s="13" t="s">
        <v>1933</v>
      </c>
      <c r="W292" s="13" t="s">
        <v>5466</v>
      </c>
      <c r="Y292" s="13" t="s">
        <v>5467</v>
      </c>
      <c r="AA292" s="13" t="s">
        <v>5468</v>
      </c>
      <c r="AC292" s="13" t="s">
        <v>5520</v>
      </c>
      <c r="AE292" s="13" t="s">
        <v>5521</v>
      </c>
      <c r="AG292" s="13" t="s">
        <v>5522</v>
      </c>
      <c r="AI292" s="13" t="s">
        <v>5523</v>
      </c>
      <c r="AK292" s="13" t="s">
        <v>5524</v>
      </c>
      <c r="AM292" s="13" t="s">
        <v>5525</v>
      </c>
      <c r="AO292" s="13" t="s">
        <v>5526</v>
      </c>
      <c r="AQ292" s="13" t="s">
        <v>5527</v>
      </c>
      <c r="AS292" s="13" t="s">
        <v>5528</v>
      </c>
      <c r="AU292" s="13" t="s">
        <v>5529</v>
      </c>
      <c r="AW292" s="13" t="s">
        <v>5530</v>
      </c>
    </row>
    <row r="293" spans="1:49">
      <c r="A293" s="8" t="str">
        <f>IF(games!A293="", "", games!A293)</f>
        <v>人人有功練：腸仔江湖見</v>
      </c>
      <c r="C293" s="8" t="str">
        <f t="shared" si="12"/>
        <v>giftcodesbanner/人人有功練：腸仔江湖見-禮包碼.jpg</v>
      </c>
      <c r="D293" s="8" t="str">
        <f t="shared" si="13"/>
        <v>https://www.ssbuy.tw/gift-codes.html?game=人人有功練：腸仔江湖見</v>
      </c>
      <c r="E293" s="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2" t="s">
        <v>5469</v>
      </c>
      <c r="G293" s="8" t="s">
        <v>5470</v>
      </c>
      <c r="H293" s="8" t="s">
        <v>2625</v>
      </c>
      <c r="K293" s="86" t="s">
        <v>5471</v>
      </c>
      <c r="M293" s="13" t="s">
        <v>5472</v>
      </c>
      <c r="O293" s="13" t="s">
        <v>5473</v>
      </c>
      <c r="Q293" s="13" t="s">
        <v>5474</v>
      </c>
      <c r="S293" s="13" t="s">
        <v>5479</v>
      </c>
      <c r="U293" s="13" t="s">
        <v>5289</v>
      </c>
      <c r="W293" s="13" t="s">
        <v>1841</v>
      </c>
      <c r="Y293" s="13" t="s">
        <v>5480</v>
      </c>
      <c r="AA293" s="13" t="s">
        <v>5481</v>
      </c>
      <c r="AC293" s="13" t="s">
        <v>2912</v>
      </c>
      <c r="AE293" s="13" t="s">
        <v>5482</v>
      </c>
      <c r="AG293" s="13" t="s">
        <v>5483</v>
      </c>
      <c r="AI293" s="13" t="s">
        <v>5484</v>
      </c>
      <c r="AK293" s="86" t="s">
        <v>5458</v>
      </c>
      <c r="AL293" s="8" t="s">
        <v>5452</v>
      </c>
    </row>
    <row r="294" spans="1:49">
      <c r="A294" s="8" t="str">
        <f>IF(games!A294="", "", games!A294)</f>
        <v>楓之谷：放置冒險記</v>
      </c>
      <c r="C294" s="8" t="str">
        <f t="shared" si="12"/>
        <v>giftcodesbanner/楓之谷：放置冒險記-禮包碼.jpg</v>
      </c>
      <c r="D294" s="8" t="str">
        <f t="shared" si="13"/>
        <v>https://www.ssbuy.tw/gift-codes.html?game=楓之谷：放置冒險記</v>
      </c>
      <c r="E294" s="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2" t="s">
        <v>5669</v>
      </c>
      <c r="G294" s="8" t="s">
        <v>5670</v>
      </c>
      <c r="H294" s="8" t="s">
        <v>5671</v>
      </c>
      <c r="I294" s="8" t="s">
        <v>2625</v>
      </c>
      <c r="K294" s="86" t="s">
        <v>5507</v>
      </c>
      <c r="L294" s="8" t="s">
        <v>5508</v>
      </c>
      <c r="M294" s="13" t="s">
        <v>5672</v>
      </c>
      <c r="N294" s="8" t="s">
        <v>5673</v>
      </c>
    </row>
    <row r="295" spans="1:49">
      <c r="A295" s="8" t="str">
        <f>IF(games!A295="", "", games!A295)</f>
        <v>Shiba Wars：Goddess Link TD</v>
      </c>
      <c r="C295" s="8" t="str">
        <f t="shared" si="12"/>
        <v>giftcodesbanner/Shiba Wars：Goddess Link TD-禮包碼.jpg</v>
      </c>
      <c r="D295" s="8" t="str">
        <f t="shared" si="13"/>
        <v>https://www.ssbuy.tw/gift-codes.html?game=Shiba Wars：Goddess Link TD</v>
      </c>
      <c r="E295" s="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2" t="s">
        <v>5237</v>
      </c>
      <c r="K295" s="86" t="s">
        <v>5507</v>
      </c>
      <c r="L295" s="8" t="s">
        <v>5508</v>
      </c>
    </row>
    <row r="296" spans="1:49">
      <c r="A296" s="8" t="str">
        <f>IF(games!A296="", "", games!A296)</f>
        <v>熱血江湖：福利加強版</v>
      </c>
      <c r="C296" s="8" t="str">
        <f t="shared" si="12"/>
        <v>giftcodesbanner/熱血江湖：福利加強版-禮包碼.jpg</v>
      </c>
      <c r="D296" s="8" t="str">
        <f t="shared" si="13"/>
        <v>https://www.ssbuy.tw/gift-codes.html?game=熱血江湖：福利加強版</v>
      </c>
      <c r="E296" s="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2" t="s">
        <v>5504</v>
      </c>
      <c r="G296" s="8" t="s">
        <v>5505</v>
      </c>
      <c r="H296" s="8" t="s">
        <v>2625</v>
      </c>
      <c r="K296" s="88">
        <v>666666</v>
      </c>
      <c r="M296" s="13">
        <v>777777</v>
      </c>
      <c r="O296" s="13">
        <v>888888</v>
      </c>
      <c r="Q296" s="13" t="s">
        <v>5510</v>
      </c>
      <c r="S296" s="13" t="s">
        <v>5511</v>
      </c>
      <c r="U296" s="13" t="s">
        <v>5512</v>
      </c>
      <c r="W296" s="13" t="s">
        <v>5513</v>
      </c>
      <c r="Y296" s="13" t="s">
        <v>5514</v>
      </c>
      <c r="AA296" s="13" t="s">
        <v>5515</v>
      </c>
      <c r="AC296" s="13" t="s">
        <v>5516</v>
      </c>
      <c r="AE296" s="13" t="s">
        <v>5517</v>
      </c>
      <c r="AG296" s="13" t="s">
        <v>5518</v>
      </c>
      <c r="AI296" s="13" t="s">
        <v>5519</v>
      </c>
      <c r="AK296" s="13" t="s">
        <v>5717</v>
      </c>
      <c r="AM296" s="13" t="s">
        <v>5718</v>
      </c>
      <c r="AO296" s="13" t="s">
        <v>5719</v>
      </c>
      <c r="AQ296" s="13" t="s">
        <v>5720</v>
      </c>
      <c r="AS296" s="86" t="s">
        <v>5716</v>
      </c>
      <c r="AT296" s="8" t="s">
        <v>5508</v>
      </c>
    </row>
    <row r="297" spans="1:49">
      <c r="A297" s="8" t="str">
        <f>IF(games!A297="", "", games!A297)</f>
        <v>熱血主公Go</v>
      </c>
      <c r="C297" s="8" t="str">
        <f t="shared" si="12"/>
        <v>giftcodesbanner/熱血主公Go-禮包碼.jpg</v>
      </c>
      <c r="D297" s="8" t="str">
        <f t="shared" si="13"/>
        <v>https://www.ssbuy.tw/gift-codes.html?game=熱血主公Go</v>
      </c>
      <c r="E297" s="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29" t="s">
        <v>5494</v>
      </c>
      <c r="G297" s="8" t="s">
        <v>5495</v>
      </c>
      <c r="H297" s="8" t="s">
        <v>2625</v>
      </c>
      <c r="K297" s="12" t="s">
        <v>5493</v>
      </c>
      <c r="L297" s="8" t="s">
        <v>5506</v>
      </c>
      <c r="M297" s="8" t="s">
        <v>5488</v>
      </c>
      <c r="N297" s="8" t="s">
        <v>5506</v>
      </c>
      <c r="O297" s="13" t="s">
        <v>5489</v>
      </c>
      <c r="P297" s="8" t="s">
        <v>5506</v>
      </c>
      <c r="Q297" s="13" t="s">
        <v>5490</v>
      </c>
      <c r="R297" s="8" t="s">
        <v>5506</v>
      </c>
      <c r="S297" s="13" t="s">
        <v>5491</v>
      </c>
      <c r="T297" s="8" t="s">
        <v>5506</v>
      </c>
      <c r="U297" s="13" t="s">
        <v>5492</v>
      </c>
      <c r="V297" s="8" t="s">
        <v>5506</v>
      </c>
      <c r="W297" s="86" t="s">
        <v>5507</v>
      </c>
      <c r="X297" s="8" t="s">
        <v>5508</v>
      </c>
    </row>
    <row r="298" spans="1:49">
      <c r="A298" s="8" t="str">
        <f>IF(games!A298="", "", games!A298)</f>
        <v>歡迎來到夢樂園</v>
      </c>
      <c r="C298" s="8" t="str">
        <f t="shared" si="12"/>
        <v>giftcodesbanner/歡迎來到夢樂園-禮包碼.jpg</v>
      </c>
      <c r="D298" s="8" t="str">
        <f t="shared" si="13"/>
        <v>https://www.ssbuy.tw/gift-codes.html?game=歡迎來到夢樂園</v>
      </c>
      <c r="E298" s="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29" t="s">
        <v>5604</v>
      </c>
      <c r="G298" s="8" t="s">
        <v>5605</v>
      </c>
      <c r="H298" s="8" t="s">
        <v>2625</v>
      </c>
      <c r="K298" s="86" t="s">
        <v>5507</v>
      </c>
      <c r="L298" s="8" t="s">
        <v>5508</v>
      </c>
      <c r="M298" s="13" t="s">
        <v>5598</v>
      </c>
      <c r="N298" s="8" t="s">
        <v>5601</v>
      </c>
      <c r="O298" s="13" t="s">
        <v>5599</v>
      </c>
      <c r="P298" s="8" t="s">
        <v>5602</v>
      </c>
      <c r="Q298" s="13" t="s">
        <v>5600</v>
      </c>
      <c r="R298" s="8" t="s">
        <v>5603</v>
      </c>
    </row>
    <row r="299" spans="1:49">
      <c r="A299" s="8" t="str">
        <f>IF(games!A299="", "", games!A299)</f>
        <v>Cryowar</v>
      </c>
      <c r="C299" s="8" t="str">
        <f t="shared" si="12"/>
        <v>giftcodesbanner/Cryowar-禮包碼.jpg</v>
      </c>
      <c r="D299" s="8" t="str">
        <f t="shared" si="13"/>
        <v>https://www.ssbuy.tw/gift-codes.html?game=Cryowar</v>
      </c>
      <c r="E299" s="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2" t="s">
        <v>5237</v>
      </c>
      <c r="K299" s="86" t="s">
        <v>5507</v>
      </c>
      <c r="L299" s="8" t="s">
        <v>5508</v>
      </c>
    </row>
    <row r="300" spans="1:49">
      <c r="A300" s="8" t="str">
        <f>IF(games!A300="", "", games!A300)</f>
        <v>深岩銀河：倖存者</v>
      </c>
      <c r="C300" s="8" t="str">
        <f t="shared" si="12"/>
        <v>giftcodesbanner/深岩銀河：倖存者-禮包碼.jpg</v>
      </c>
      <c r="D300" s="8" t="str">
        <f t="shared" si="13"/>
        <v>https://www.ssbuy.tw/gift-codes.html?game=深岩銀河：倖存者</v>
      </c>
      <c r="E300" s="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2" t="s">
        <v>5237</v>
      </c>
      <c r="K300" s="86" t="s">
        <v>5507</v>
      </c>
      <c r="L300" s="8" t="s">
        <v>5508</v>
      </c>
    </row>
    <row r="301" spans="1:49">
      <c r="A301" s="8" t="str">
        <f>IF(games!A301="", "", games!A301)</f>
        <v>熱血排球少女</v>
      </c>
      <c r="C301" s="8" t="str">
        <f t="shared" si="12"/>
        <v>giftcodesbanner/熱血排球少女-禮包碼.jpg</v>
      </c>
      <c r="D301" s="8" t="str">
        <f t="shared" si="13"/>
        <v>https://www.ssbuy.tw/gift-codes.html?game=熱血排球少女</v>
      </c>
      <c r="E301" s="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2" t="s">
        <v>5237</v>
      </c>
      <c r="K301" s="86" t="s">
        <v>5507</v>
      </c>
      <c r="L301" s="8" t="s">
        <v>5508</v>
      </c>
    </row>
    <row r="302" spans="1:49">
      <c r="A302" s="8" t="str">
        <f>IF(games!A302="", "", games!A302)</f>
        <v>Jetpack Joyride Racing</v>
      </c>
      <c r="C302" s="8" t="str">
        <f t="shared" si="12"/>
        <v>giftcodesbanner/Jetpack Joyride Racing-禮包碼.jpg</v>
      </c>
      <c r="D302" s="8" t="str">
        <f t="shared" si="13"/>
        <v>https://www.ssbuy.tw/gift-codes.html?game=Jetpack Joyride Racing</v>
      </c>
      <c r="E302" s="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2" t="s">
        <v>5237</v>
      </c>
      <c r="K302" s="86" t="s">
        <v>5507</v>
      </c>
      <c r="L302" s="8" t="s">
        <v>5508</v>
      </c>
    </row>
    <row r="303" spans="1:49">
      <c r="A303" s="8" t="str">
        <f>IF(games!A303="", "", games!A303)</f>
        <v>三國格子爭奪戰</v>
      </c>
      <c r="C303" s="8" t="str">
        <f t="shared" si="12"/>
        <v>giftcodesbanner/三國格子爭奪戰-禮包碼.jpg</v>
      </c>
      <c r="D303" s="8" t="str">
        <f t="shared" si="13"/>
        <v>https://www.ssbuy.tw/gift-codes.html?game=三國格子爭奪戰</v>
      </c>
      <c r="E303" s="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2" t="s">
        <v>5616</v>
      </c>
      <c r="G303" s="8" t="s">
        <v>5617</v>
      </c>
      <c r="H303" s="8" t="s">
        <v>2625</v>
      </c>
      <c r="K303" s="86" t="s">
        <v>5507</v>
      </c>
      <c r="L303" s="8" t="s">
        <v>5508</v>
      </c>
      <c r="M303" s="13" t="s">
        <v>5607</v>
      </c>
      <c r="N303" s="8" t="s">
        <v>5618</v>
      </c>
      <c r="O303" s="13" t="s">
        <v>5609</v>
      </c>
      <c r="P303" s="8" t="s">
        <v>5619</v>
      </c>
      <c r="Q303" s="13" t="s">
        <v>5614</v>
      </c>
      <c r="R303" s="8" t="s">
        <v>5620</v>
      </c>
      <c r="S303" s="13" t="s">
        <v>5615</v>
      </c>
      <c r="T303" s="8" t="s">
        <v>5621</v>
      </c>
      <c r="U303" s="13" t="s">
        <v>5631</v>
      </c>
      <c r="W303" s="13" t="s">
        <v>5608</v>
      </c>
      <c r="Y303" s="13" t="s">
        <v>5675</v>
      </c>
    </row>
    <row r="304" spans="1:49">
      <c r="A304" s="8" t="str">
        <f>IF(games!A304="", "", games!A304)</f>
        <v>貓茶小當家：掌櫃養成記</v>
      </c>
      <c r="C304" s="8" t="str">
        <f t="shared" si="12"/>
        <v>giftcodesbanner/貓茶小當家：掌櫃養成記-禮包碼.jpg</v>
      </c>
      <c r="D304" s="8" t="str">
        <f t="shared" si="13"/>
        <v>https://www.ssbuy.tw/gift-codes.html?game=貓茶小當家：掌櫃養成記</v>
      </c>
      <c r="E304" s="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2" t="s">
        <v>5666</v>
      </c>
      <c r="G304" s="8" t="s">
        <v>5667</v>
      </c>
      <c r="H304" s="8" t="s">
        <v>2625</v>
      </c>
      <c r="K304" s="86" t="s">
        <v>5507</v>
      </c>
      <c r="L304" s="8" t="s">
        <v>5508</v>
      </c>
      <c r="M304" s="13" t="s">
        <v>5668</v>
      </c>
      <c r="N304" s="8" t="s">
        <v>5674</v>
      </c>
    </row>
    <row r="305" spans="1:51">
      <c r="A305" s="8" t="str">
        <f>IF(games!A305="", "", games!A305)</f>
        <v>Viladia：精靈村的時光</v>
      </c>
      <c r="C305" s="8" t="str">
        <f t="shared" si="12"/>
        <v>giftcodesbanner/Viladia：精靈村的時光-禮包碼.jpg</v>
      </c>
      <c r="D305" s="8" t="str">
        <f t="shared" si="13"/>
        <v>https://www.ssbuy.tw/gift-codes.html?game=Viladia：精靈村的時光</v>
      </c>
      <c r="E305" s="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2" t="s">
        <v>5237</v>
      </c>
      <c r="K305" s="86" t="s">
        <v>5507</v>
      </c>
      <c r="L305" s="8" t="s">
        <v>5508</v>
      </c>
    </row>
    <row r="306" spans="1:51">
      <c r="A306" s="8" t="str">
        <f>IF(games!A306="", "", games!A306)</f>
        <v>G9：特功聯盟</v>
      </c>
      <c r="C306" s="8" t="str">
        <f t="shared" si="12"/>
        <v>giftcodesbanner/G9：特功聯盟-禮包碼.jpg</v>
      </c>
      <c r="D306" s="8" t="str">
        <f t="shared" si="13"/>
        <v>https://www.ssbuy.tw/gift-codes.html?game=G9：特功聯盟</v>
      </c>
      <c r="E306" s="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2" t="s">
        <v>5612</v>
      </c>
      <c r="G306" s="8" t="s">
        <v>5613</v>
      </c>
      <c r="H306" s="8" t="s">
        <v>2625</v>
      </c>
      <c r="K306" s="86" t="s">
        <v>5507</v>
      </c>
      <c r="L306" s="8" t="s">
        <v>5508</v>
      </c>
      <c r="M306" s="13" t="s">
        <v>5610</v>
      </c>
      <c r="N306" s="8" t="s">
        <v>2754</v>
      </c>
      <c r="O306" s="13" t="s">
        <v>2755</v>
      </c>
      <c r="P306" s="8" t="s">
        <v>5611</v>
      </c>
    </row>
    <row r="307" spans="1:51">
      <c r="A307" s="8" t="str">
        <f>IF(games!A307="", "", games!A307)</f>
        <v>AION2</v>
      </c>
      <c r="C307" s="8" t="str">
        <f t="shared" si="12"/>
        <v>giftcodesbanner/AION2-禮包碼.jpg</v>
      </c>
      <c r="D307" s="8" t="str">
        <f t="shared" si="13"/>
        <v>https://www.ssbuy.tw/gift-codes.html?game=AION2</v>
      </c>
      <c r="E307" s="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2" t="s">
        <v>5237</v>
      </c>
      <c r="K307" s="86" t="s">
        <v>5507</v>
      </c>
      <c r="L307" s="8" t="s">
        <v>5508</v>
      </c>
    </row>
    <row r="308" spans="1:51">
      <c r="A308" s="8" t="str">
        <f>IF(games!A308="", "", games!A308)</f>
        <v>信長之野望 真戰</v>
      </c>
      <c r="C308" s="8" t="str">
        <f t="shared" si="12"/>
        <v>giftcodesbanner/信長之野望 真戰-禮包碼.jpg</v>
      </c>
      <c r="D308" s="8" t="str">
        <f t="shared" si="13"/>
        <v>https://www.ssbuy.tw/gift-codes.html?game=信長之野望 真戰</v>
      </c>
      <c r="E308" s="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2" t="s">
        <v>5237</v>
      </c>
      <c r="K308" s="86" t="s">
        <v>5507</v>
      </c>
      <c r="L308" s="8" t="s">
        <v>5508</v>
      </c>
    </row>
    <row r="309" spans="1:51">
      <c r="A309" s="8" t="str">
        <f>IF(games!A309="", "", games!A309)</f>
        <v>BLEACH：刀鳴</v>
      </c>
      <c r="C309" s="8" t="str">
        <f t="shared" si="12"/>
        <v>giftcodesbanner/BLEACH：刀鳴-禮包碼.jpg</v>
      </c>
      <c r="D309" s="8" t="str">
        <f t="shared" si="13"/>
        <v>https://www.ssbuy.tw/gift-codes.html?game=BLEACH：刀鳴</v>
      </c>
      <c r="E309" s="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2" t="s">
        <v>5753</v>
      </c>
      <c r="G309" s="8" t="s">
        <v>6210</v>
      </c>
      <c r="H309" s="8" t="s">
        <v>2625</v>
      </c>
      <c r="K309" s="86" t="s">
        <v>5507</v>
      </c>
      <c r="L309" s="8" t="s">
        <v>5508</v>
      </c>
      <c r="M309" s="13" t="s">
        <v>5747</v>
      </c>
      <c r="N309" s="8" t="s">
        <v>5748</v>
      </c>
      <c r="O309" s="13" t="s">
        <v>5749</v>
      </c>
      <c r="P309" s="8" t="s">
        <v>5750</v>
      </c>
      <c r="Q309" s="13" t="s">
        <v>5751</v>
      </c>
      <c r="R309" s="8" t="s">
        <v>5752</v>
      </c>
      <c r="S309" s="13" t="s">
        <v>5754</v>
      </c>
      <c r="U309" s="13" t="s">
        <v>5756</v>
      </c>
      <c r="W309" s="13" t="s">
        <v>5755</v>
      </c>
      <c r="Y309" s="13" t="s">
        <v>5757</v>
      </c>
      <c r="AA309" s="13" t="s">
        <v>5851</v>
      </c>
      <c r="AC309" s="13" t="s">
        <v>5852</v>
      </c>
      <c r="AE309" s="13" t="s">
        <v>5853</v>
      </c>
      <c r="AG309" s="13" t="s">
        <v>5854</v>
      </c>
      <c r="AI309" s="13" t="s">
        <v>5855</v>
      </c>
      <c r="AK309" s="13" t="s">
        <v>5856</v>
      </c>
      <c r="AM309" s="13" t="s">
        <v>6183</v>
      </c>
      <c r="AO309" s="13" t="s">
        <v>6184</v>
      </c>
      <c r="AQ309" s="13" t="s">
        <v>6185</v>
      </c>
      <c r="AS309" s="13" t="s">
        <v>6186</v>
      </c>
      <c r="AU309" s="13" t="s">
        <v>6187</v>
      </c>
      <c r="AW309" s="13" t="s">
        <v>6188</v>
      </c>
      <c r="AY309" s="13" t="s">
        <v>6209</v>
      </c>
    </row>
    <row r="310" spans="1:51">
      <c r="A310" s="8" t="str">
        <f>IF(games!A310="", "", games!A310)</f>
        <v>不朽龍裔</v>
      </c>
      <c r="C310" s="8" t="str">
        <f t="shared" si="12"/>
        <v>giftcodesbanner/不朽龍裔-禮包碼.jpg</v>
      </c>
      <c r="D310" s="8" t="str">
        <f t="shared" si="13"/>
        <v>https://www.ssbuy.tw/gift-codes.html?game=不朽龍裔</v>
      </c>
      <c r="E310" s="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2" t="s">
        <v>5919</v>
      </c>
      <c r="G310" s="8" t="s">
        <v>5470</v>
      </c>
      <c r="H310" s="8" t="s">
        <v>2625</v>
      </c>
      <c r="K310" s="86" t="s">
        <v>5507</v>
      </c>
      <c r="L310" s="8" t="s">
        <v>5508</v>
      </c>
      <c r="M310" s="13" t="s">
        <v>5912</v>
      </c>
    </row>
    <row r="311" spans="1:51">
      <c r="A311" s="8" t="str">
        <f>IF(games!A311="", "", games!A311)</f>
        <v>NBA籃球世界</v>
      </c>
      <c r="C311" s="8" t="str">
        <f t="shared" si="12"/>
        <v>giftcodesbanner/NBA籃球世界-禮包碼.jpg</v>
      </c>
      <c r="D311" s="8" t="str">
        <f t="shared" si="13"/>
        <v>https://www.ssbuy.tw/gift-codes.html?game=NBA籃球世界</v>
      </c>
      <c r="E311" s="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2" t="s">
        <v>5237</v>
      </c>
      <c r="K311" s="86" t="s">
        <v>5507</v>
      </c>
      <c r="L311" s="8" t="s">
        <v>5508</v>
      </c>
    </row>
    <row r="312" spans="1:51">
      <c r="A312" s="8" t="str">
        <f>IF(games!A312="", "", games!A312)</f>
        <v>英雄來搞鬼</v>
      </c>
      <c r="C312" s="8" t="str">
        <f t="shared" ref="C312:C370" si="14">IF(A312="","", "giftcodesbanner/" &amp; A312 &amp; "-禮包碼.jpg")</f>
        <v>giftcodesbanner/英雄來搞鬼-禮包碼.jpg</v>
      </c>
      <c r="D312" s="8" t="str">
        <f t="shared" ref="D312:D370" si="15">IF(A312="","", "https://www.ssbuy.tw/gift-codes.html?game="&amp;A312)</f>
        <v>https://www.ssbuy.tw/gift-codes.html?game=英雄來搞鬼</v>
      </c>
      <c r="E312" s="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29" t="s">
        <v>5723</v>
      </c>
      <c r="G312" s="8" t="s">
        <v>5724</v>
      </c>
      <c r="H312" s="8" t="s">
        <v>2625</v>
      </c>
      <c r="K312" s="86" t="s">
        <v>5507</v>
      </c>
      <c r="L312" s="8" t="s">
        <v>5508</v>
      </c>
      <c r="M312" s="13" t="s">
        <v>5721</v>
      </c>
      <c r="N312" s="8" t="s">
        <v>5722</v>
      </c>
      <c r="O312" s="13" t="s">
        <v>5807</v>
      </c>
      <c r="Q312" s="13" t="s">
        <v>5808</v>
      </c>
      <c r="S312" s="13" t="s">
        <v>5809</v>
      </c>
      <c r="U312" s="13" t="s">
        <v>5810</v>
      </c>
      <c r="W312" s="13" t="s">
        <v>5811</v>
      </c>
      <c r="Y312" s="13" t="s">
        <v>5812</v>
      </c>
      <c r="AA312" s="13" t="s">
        <v>5813</v>
      </c>
      <c r="AC312" s="13" t="s">
        <v>5884</v>
      </c>
      <c r="AE312" s="13" t="s">
        <v>5885</v>
      </c>
    </row>
    <row r="313" spans="1:51">
      <c r="A313" s="8" t="str">
        <f>IF(games!A313="", "", games!A313)</f>
        <v>RO新世代：攜手同行</v>
      </c>
      <c r="C313" s="8" t="str">
        <f t="shared" si="14"/>
        <v>giftcodesbanner/RO新世代：攜手同行-禮包碼.jpg</v>
      </c>
      <c r="D313" s="8" t="str">
        <f t="shared" si="15"/>
        <v>https://www.ssbuy.tw/gift-codes.html?game=RO新世代：攜手同行</v>
      </c>
      <c r="E313" s="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2" t="s">
        <v>5469</v>
      </c>
      <c r="G313" s="8" t="s">
        <v>5470</v>
      </c>
      <c r="H313" s="8" t="s">
        <v>2625</v>
      </c>
      <c r="K313" s="86" t="s">
        <v>5507</v>
      </c>
      <c r="L313" s="8" t="s">
        <v>5508</v>
      </c>
      <c r="M313" s="13" t="s">
        <v>5773</v>
      </c>
      <c r="O313" s="13" t="s">
        <v>5774</v>
      </c>
      <c r="Q313" s="13" t="s">
        <v>5775</v>
      </c>
      <c r="S313" s="13" t="s">
        <v>5776</v>
      </c>
      <c r="U313" s="13" t="s">
        <v>5777</v>
      </c>
      <c r="W313" s="13" t="s">
        <v>5778</v>
      </c>
      <c r="Y313" s="13" t="s">
        <v>5779</v>
      </c>
      <c r="AA313" s="13" t="s">
        <v>5780</v>
      </c>
      <c r="AC313" s="13" t="s">
        <v>5781</v>
      </c>
      <c r="AE313" s="13" t="s">
        <v>5782</v>
      </c>
    </row>
    <row r="314" spans="1:51">
      <c r="A314" s="8" t="str">
        <f>IF(games!A314="", "", games!A314)</f>
        <v>星落</v>
      </c>
      <c r="C314" s="8" t="str">
        <f t="shared" si="14"/>
        <v>giftcodesbanner/星落-禮包碼.jpg</v>
      </c>
      <c r="D314" s="8" t="str">
        <f t="shared" si="15"/>
        <v>https://www.ssbuy.tw/gift-codes.html?game=星落</v>
      </c>
      <c r="E314" s="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2" t="s">
        <v>5882</v>
      </c>
      <c r="G314" s="8" t="s">
        <v>5883</v>
      </c>
      <c r="H314" s="8" t="s">
        <v>5849</v>
      </c>
      <c r="K314" s="86" t="s">
        <v>5507</v>
      </c>
      <c r="L314" s="8" t="s">
        <v>5508</v>
      </c>
      <c r="M314" s="13" t="s">
        <v>5772</v>
      </c>
      <c r="N314" s="8" t="s">
        <v>5881</v>
      </c>
    </row>
    <row r="315" spans="1:51">
      <c r="A315" s="8" t="str">
        <f>IF(games!A315="", "", games!A315)</f>
        <v>超自然行動組</v>
      </c>
      <c r="C315" s="8" t="str">
        <f t="shared" si="14"/>
        <v>giftcodesbanner/超自然行動組-禮包碼.jpg</v>
      </c>
      <c r="D315" s="8" t="str">
        <f t="shared" si="15"/>
        <v>https://www.ssbuy.tw/gift-codes.html?game=超自然行動組</v>
      </c>
      <c r="E315" s="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2" t="s">
        <v>5237</v>
      </c>
      <c r="K315" s="86" t="s">
        <v>5507</v>
      </c>
      <c r="L315" s="8" t="s">
        <v>5508</v>
      </c>
    </row>
    <row r="316" spans="1:51">
      <c r="A316" s="8" t="str">
        <f>IF(games!A316="", "", games!A316)</f>
        <v>問劍長生</v>
      </c>
      <c r="C316" s="8" t="str">
        <f t="shared" si="14"/>
        <v>giftcodesbanner/問劍長生-禮包碼.jpg</v>
      </c>
      <c r="D316" s="8" t="str">
        <f t="shared" si="15"/>
        <v>https://www.ssbuy.tw/gift-codes.html?game=問劍長生</v>
      </c>
      <c r="E316" s="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2" t="s">
        <v>5770</v>
      </c>
      <c r="G316" s="8" t="s">
        <v>5771</v>
      </c>
      <c r="H316" s="8" t="s">
        <v>5857</v>
      </c>
      <c r="I316" s="8" t="s">
        <v>2625</v>
      </c>
      <c r="K316" s="86" t="s">
        <v>5507</v>
      </c>
      <c r="L316" s="8" t="s">
        <v>5508</v>
      </c>
      <c r="M316" s="13" t="s">
        <v>5858</v>
      </c>
      <c r="N316" s="8" t="s">
        <v>5880</v>
      </c>
      <c r="O316" s="13" t="s">
        <v>5866</v>
      </c>
      <c r="P316" s="8" t="s">
        <v>5879</v>
      </c>
      <c r="Q316" s="13" t="s">
        <v>5867</v>
      </c>
      <c r="R316" s="8" t="s">
        <v>5879</v>
      </c>
      <c r="S316" s="13" t="s">
        <v>5878</v>
      </c>
      <c r="T316" s="8" t="s">
        <v>5879</v>
      </c>
      <c r="U316" s="13" t="s">
        <v>5928</v>
      </c>
      <c r="W316" s="13" t="s">
        <v>5929</v>
      </c>
      <c r="Y316" s="13" t="s">
        <v>5930</v>
      </c>
      <c r="AA316" s="13" t="s">
        <v>5931</v>
      </c>
      <c r="AC316" s="13" t="s">
        <v>5932</v>
      </c>
    </row>
    <row r="317" spans="1:51">
      <c r="A317" s="8" t="str">
        <f>IF(games!A317="", "", games!A317)</f>
        <v>道友你好劍：群英集結</v>
      </c>
      <c r="C317" s="8" t="str">
        <f t="shared" si="14"/>
        <v>giftcodesbanner/道友你好劍：群英集結-禮包碼.jpg</v>
      </c>
      <c r="D317" s="8" t="str">
        <f t="shared" si="15"/>
        <v>https://www.ssbuy.tw/gift-codes.html?game=道友你好劍：群英集結</v>
      </c>
      <c r="E317" s="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29" t="s">
        <v>5847</v>
      </c>
      <c r="G317" s="8" t="s">
        <v>5848</v>
      </c>
      <c r="H317" s="8" t="s">
        <v>5850</v>
      </c>
      <c r="K317" s="86" t="s">
        <v>5507</v>
      </c>
      <c r="L317" s="8" t="s">
        <v>5508</v>
      </c>
      <c r="M317" s="13" t="s">
        <v>5830</v>
      </c>
      <c r="N317" s="8" t="s">
        <v>5840</v>
      </c>
      <c r="O317" s="13" t="s">
        <v>5831</v>
      </c>
      <c r="P317" s="8" t="s">
        <v>5841</v>
      </c>
      <c r="Q317" s="13" t="s">
        <v>5832</v>
      </c>
      <c r="R317" s="8" t="s">
        <v>5842</v>
      </c>
      <c r="S317" s="13" t="s">
        <v>3218</v>
      </c>
      <c r="T317" s="8" t="s">
        <v>5843</v>
      </c>
      <c r="U317" s="13" t="s">
        <v>3222</v>
      </c>
      <c r="V317" s="8" t="s">
        <v>5844</v>
      </c>
      <c r="W317" s="13" t="s">
        <v>5845</v>
      </c>
      <c r="X317" s="8" t="s">
        <v>5846</v>
      </c>
    </row>
    <row r="318" spans="1:51">
      <c r="A318" s="8" t="str">
        <f>IF(games!A318="", "", games!A318)</f>
        <v>荒島求生：重建家園</v>
      </c>
      <c r="C318" s="8" t="str">
        <f t="shared" si="14"/>
        <v>giftcodesbanner/荒島求生：重建家園-禮包碼.jpg</v>
      </c>
      <c r="D318" s="8" t="str">
        <f t="shared" si="15"/>
        <v>https://www.ssbuy.tw/gift-codes.html?game=荒島求生：重建家園</v>
      </c>
      <c r="E318" s="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29" t="s">
        <v>5847</v>
      </c>
      <c r="G318" s="8" t="s">
        <v>5848</v>
      </c>
      <c r="H318" s="8" t="s">
        <v>5850</v>
      </c>
      <c r="K318" s="86" t="s">
        <v>5507</v>
      </c>
      <c r="L318" s="8" t="s">
        <v>5508</v>
      </c>
    </row>
    <row r="319" spans="1:51">
      <c r="A319" s="8" t="str">
        <f>IF(games!A319="", "", games!A319)</f>
        <v>絕地鴨衛</v>
      </c>
      <c r="C319" s="8" t="str">
        <f t="shared" si="14"/>
        <v>giftcodesbanner/絕地鴨衛-禮包碼.jpg</v>
      </c>
      <c r="D319" s="8" t="str">
        <f t="shared" si="15"/>
        <v>https://www.ssbuy.tw/gift-codes.html?game=絕地鴨衛</v>
      </c>
      <c r="E319" s="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2" t="s">
        <v>5237</v>
      </c>
      <c r="K319" s="86" t="s">
        <v>5507</v>
      </c>
      <c r="L319" s="8" t="s">
        <v>5508</v>
      </c>
    </row>
    <row r="320" spans="1:51">
      <c r="A320" s="8" t="str">
        <f>IF(games!A320="", "", games!A320)</f>
        <v>NBA 2K26 Myteam</v>
      </c>
      <c r="C320" s="8" t="str">
        <f t="shared" si="14"/>
        <v>giftcodesbanner/NBA 2K26 Myteam-禮包碼.jpg</v>
      </c>
      <c r="D320" s="8" t="str">
        <f t="shared" si="15"/>
        <v>https://www.ssbuy.tw/gift-codes.html?game=NBA 2K26 Myteam</v>
      </c>
      <c r="E320" s="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2" t="s">
        <v>5237</v>
      </c>
      <c r="K320" s="86" t="s">
        <v>5507</v>
      </c>
      <c r="L320" s="8" t="s">
        <v>5508</v>
      </c>
    </row>
    <row r="321" spans="1:49">
      <c r="A321" s="8" t="str">
        <f>IF(games!A321="", "", games!A321)</f>
        <v>放置法陣</v>
      </c>
      <c r="C321" s="8" t="str">
        <f t="shared" si="14"/>
        <v>giftcodesbanner/放置法陣-禮包碼.jpg</v>
      </c>
      <c r="D321" s="8" t="str">
        <f t="shared" si="15"/>
        <v>https://www.ssbuy.tw/gift-codes.html?game=放置法陣</v>
      </c>
      <c r="E321" s="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2" t="s">
        <v>5974</v>
      </c>
      <c r="G321" s="8" t="s">
        <v>5975</v>
      </c>
      <c r="H321" s="8" t="s">
        <v>5850</v>
      </c>
      <c r="K321" s="86" t="s">
        <v>5507</v>
      </c>
      <c r="L321" s="8" t="s">
        <v>5508</v>
      </c>
      <c r="M321" s="13" t="s">
        <v>5972</v>
      </c>
      <c r="N321" s="8" t="s">
        <v>5973</v>
      </c>
      <c r="O321" s="13" t="s">
        <v>6094</v>
      </c>
      <c r="P321" s="8" t="s">
        <v>6095</v>
      </c>
    </row>
    <row r="322" spans="1:49">
      <c r="A322" s="8" t="str">
        <f>IF(games!A322="", "", games!A322)</f>
        <v>魔導少年 魔導士編年史</v>
      </c>
      <c r="C322" s="8" t="str">
        <f t="shared" si="14"/>
        <v>giftcodesbanner/魔導少年 魔導士編年史-禮包碼.jpg</v>
      </c>
      <c r="D322" s="8" t="str">
        <f t="shared" si="15"/>
        <v>https://www.ssbuy.tw/gift-codes.html?game=魔導少年 魔導士編年史</v>
      </c>
      <c r="E322" s="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2" t="s">
        <v>5237</v>
      </c>
      <c r="K322" s="86" t="s">
        <v>5507</v>
      </c>
      <c r="L322" s="8" t="s">
        <v>5508</v>
      </c>
    </row>
    <row r="323" spans="1:49">
      <c r="A323" s="8" t="str">
        <f>IF(games!A323="", "", games!A323)</f>
        <v>獵風傳說：石器大作戰</v>
      </c>
      <c r="C323" s="8" t="str">
        <f t="shared" si="14"/>
        <v>giftcodesbanner/獵風傳說：石器大作戰-禮包碼.jpg</v>
      </c>
      <c r="D323" s="8" t="str">
        <f t="shared" si="15"/>
        <v>https://www.ssbuy.tw/gift-codes.html?game=獵風傳說：石器大作戰</v>
      </c>
      <c r="E323" s="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2" t="s">
        <v>6005</v>
      </c>
      <c r="G323" s="8" t="s">
        <v>6006</v>
      </c>
      <c r="H323" s="8" t="s">
        <v>6007</v>
      </c>
      <c r="I323" s="8" t="s">
        <v>5850</v>
      </c>
      <c r="K323" s="86" t="s">
        <v>5507</v>
      </c>
      <c r="L323" s="8" t="s">
        <v>5508</v>
      </c>
      <c r="M323" s="13" t="s">
        <v>5969</v>
      </c>
      <c r="O323" s="13" t="s">
        <v>5970</v>
      </c>
      <c r="Q323" s="13" t="s">
        <v>5971</v>
      </c>
      <c r="S323" s="13" t="s">
        <v>5984</v>
      </c>
      <c r="U323" s="13" t="s">
        <v>5983</v>
      </c>
      <c r="W323" s="13" t="s">
        <v>5985</v>
      </c>
      <c r="Y323" s="13" t="s">
        <v>5986</v>
      </c>
      <c r="Z323" s="8" t="s">
        <v>5990</v>
      </c>
      <c r="AA323" s="13" t="s">
        <v>5987</v>
      </c>
      <c r="AC323" s="13" t="s">
        <v>5988</v>
      </c>
      <c r="AE323" s="13" t="s">
        <v>5989</v>
      </c>
      <c r="AG323" s="13" t="s">
        <v>5991</v>
      </c>
      <c r="AH323" s="8" t="s">
        <v>5993</v>
      </c>
      <c r="AI323" s="13" t="s">
        <v>5992</v>
      </c>
      <c r="AJ323" s="8" t="s">
        <v>5993</v>
      </c>
      <c r="AK323" s="13" t="s">
        <v>4074</v>
      </c>
      <c r="AL323" s="8" t="s">
        <v>5993</v>
      </c>
      <c r="AM323" s="13" t="s">
        <v>5994</v>
      </c>
      <c r="AO323" s="13" t="s">
        <v>5995</v>
      </c>
      <c r="AQ323" s="13" t="s">
        <v>5996</v>
      </c>
      <c r="AS323" s="13" t="s">
        <v>5997</v>
      </c>
      <c r="AU323" s="13" t="s">
        <v>5998</v>
      </c>
      <c r="AW323" s="13" t="s">
        <v>5999</v>
      </c>
    </row>
    <row r="324" spans="1:49">
      <c r="A324" s="8" t="str">
        <f>IF(games!A324="", "", games!A324)</f>
        <v>依露希爾</v>
      </c>
      <c r="C324" s="8" t="str">
        <f t="shared" si="14"/>
        <v>giftcodesbanner/依露希爾-禮包碼.jpg</v>
      </c>
      <c r="D324" s="8" t="str">
        <f t="shared" si="15"/>
        <v>https://www.ssbuy.tw/gift-codes.html?game=依露希爾</v>
      </c>
      <c r="E324" s="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2" t="s">
        <v>6001</v>
      </c>
      <c r="G324" s="8" t="s">
        <v>6002</v>
      </c>
      <c r="H324" s="8" t="s">
        <v>6003</v>
      </c>
      <c r="I324" s="8" t="s">
        <v>6004</v>
      </c>
      <c r="J324" s="8" t="s">
        <v>5850</v>
      </c>
      <c r="K324" s="86" t="s">
        <v>5507</v>
      </c>
      <c r="L324" s="8" t="s">
        <v>5508</v>
      </c>
      <c r="M324" s="13" t="s">
        <v>5947</v>
      </c>
      <c r="N324" s="8" t="s">
        <v>6000</v>
      </c>
      <c r="O324" s="13" t="s">
        <v>6230</v>
      </c>
      <c r="Q324" s="13" t="s">
        <v>6270</v>
      </c>
    </row>
    <row r="325" spans="1:49">
      <c r="A325" s="8" t="str">
        <f>IF(games!A325="", "", games!A325)</f>
        <v>契約吧！精靈少女</v>
      </c>
      <c r="C325" s="8" t="str">
        <f t="shared" si="14"/>
        <v>giftcodesbanner/契約吧！精靈少女-禮包碼.jpg</v>
      </c>
      <c r="D325" s="8" t="str">
        <f t="shared" si="15"/>
        <v>https://www.ssbuy.tw/gift-codes.html?game=契約吧！精靈少女</v>
      </c>
      <c r="E325" s="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2" t="s">
        <v>5237</v>
      </c>
      <c r="K325" s="86" t="s">
        <v>5507</v>
      </c>
      <c r="L325" s="8" t="s">
        <v>5508</v>
      </c>
      <c r="M325" s="13" t="s">
        <v>5963</v>
      </c>
      <c r="N325" s="8" t="s">
        <v>5966</v>
      </c>
      <c r="O325" s="13" t="s">
        <v>5964</v>
      </c>
      <c r="P325" s="8" t="s">
        <v>5966</v>
      </c>
      <c r="Q325" s="13" t="s">
        <v>5965</v>
      </c>
      <c r="R325" s="8" t="s">
        <v>5966</v>
      </c>
    </row>
    <row r="326" spans="1:49">
      <c r="A326" s="8" t="str">
        <f>IF(games!A326="", "", games!A326)</f>
        <v>曹操不囉嗦</v>
      </c>
      <c r="C326" s="8" t="str">
        <f t="shared" si="14"/>
        <v>giftcodesbanner/曹操不囉嗦-禮包碼.jpg</v>
      </c>
      <c r="D326" s="8" t="str">
        <f t="shared" si="15"/>
        <v>https://www.ssbuy.tw/gift-codes.html?game=曹操不囉嗦</v>
      </c>
      <c r="E326" s="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2" t="s">
        <v>5237</v>
      </c>
      <c r="K326" s="86" t="s">
        <v>5507</v>
      </c>
      <c r="L326" s="8" t="s">
        <v>5508</v>
      </c>
    </row>
    <row r="327" spans="1:49">
      <c r="A327" s="8" t="str">
        <f>IF(games!A327="", "", games!A327)</f>
        <v>江湖有詭</v>
      </c>
      <c r="C327" s="8" t="str">
        <f t="shared" si="14"/>
        <v>giftcodesbanner/江湖有詭-禮包碼.jpg</v>
      </c>
      <c r="D327" s="8" t="str">
        <f t="shared" si="15"/>
        <v>https://www.ssbuy.tw/gift-codes.html?game=江湖有詭</v>
      </c>
      <c r="E327" s="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2" t="s">
        <v>6061</v>
      </c>
      <c r="G327" s="8" t="s">
        <v>6062</v>
      </c>
      <c r="H327" s="8" t="s">
        <v>5850</v>
      </c>
      <c r="K327" s="86" t="s">
        <v>5507</v>
      </c>
      <c r="L327" s="8" t="s">
        <v>5508</v>
      </c>
      <c r="M327" s="13">
        <v>666666</v>
      </c>
      <c r="O327" s="13">
        <v>7777777</v>
      </c>
      <c r="Q327" s="13">
        <v>88888888</v>
      </c>
      <c r="S327" s="13" t="s">
        <v>6012</v>
      </c>
      <c r="U327" s="13" t="s">
        <v>6013</v>
      </c>
      <c r="W327" s="13" t="s">
        <v>6014</v>
      </c>
      <c r="Y327" s="13" t="s">
        <v>6015</v>
      </c>
      <c r="AA327" s="13" t="s">
        <v>6016</v>
      </c>
      <c r="AC327" s="13" t="s">
        <v>6017</v>
      </c>
      <c r="AE327" s="13" t="s">
        <v>6018</v>
      </c>
      <c r="AG327" s="13" t="s">
        <v>6019</v>
      </c>
      <c r="AI327" s="13" t="s">
        <v>6020</v>
      </c>
      <c r="AK327" s="13" t="s">
        <v>6021</v>
      </c>
    </row>
    <row r="328" spans="1:49">
      <c r="A328" s="8" t="str">
        <f>IF(games!A328="", "", games!A328)</f>
        <v>將軍請息怒</v>
      </c>
      <c r="C328" s="8" t="str">
        <f t="shared" si="14"/>
        <v>giftcodesbanner/將軍請息怒-禮包碼.jpg</v>
      </c>
      <c r="D328" s="8" t="str">
        <f t="shared" si="15"/>
        <v>https://www.ssbuy.tw/gift-codes.html?game=將軍請息怒</v>
      </c>
      <c r="E328" s="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2" t="s">
        <v>6001</v>
      </c>
      <c r="G328" s="8" t="s">
        <v>6117</v>
      </c>
      <c r="H328" s="8" t="s">
        <v>6264</v>
      </c>
      <c r="K328" s="86" t="s">
        <v>5507</v>
      </c>
      <c r="L328" s="8" t="s">
        <v>5508</v>
      </c>
      <c r="M328" s="13" t="s">
        <v>6063</v>
      </c>
      <c r="O328" s="13" t="s">
        <v>6064</v>
      </c>
      <c r="Q328" s="13" t="s">
        <v>6065</v>
      </c>
      <c r="S328" s="13" t="s">
        <v>6112</v>
      </c>
      <c r="U328" s="13" t="s">
        <v>6066</v>
      </c>
      <c r="W328" s="13" t="s">
        <v>6110</v>
      </c>
      <c r="Y328" s="13" t="s">
        <v>6111</v>
      </c>
      <c r="AA328" s="13" t="s">
        <v>1932</v>
      </c>
      <c r="AC328" s="13" t="s">
        <v>6113</v>
      </c>
      <c r="AE328" s="13" t="s">
        <v>6114</v>
      </c>
      <c r="AG328" s="13" t="s">
        <v>6115</v>
      </c>
      <c r="AI328" s="13" t="s">
        <v>6116</v>
      </c>
    </row>
    <row r="329" spans="1:49">
      <c r="A329" s="8" t="str">
        <f>IF(games!A329="", "", games!A329)</f>
        <v>RO：世界之旅</v>
      </c>
      <c r="C329" s="8" t="str">
        <f t="shared" si="14"/>
        <v>giftcodesbanner/RO：世界之旅-禮包碼.jpg</v>
      </c>
      <c r="D329" s="8" t="str">
        <f t="shared" si="15"/>
        <v>https://www.ssbuy.tw/gift-codes.html?game=RO：世界之旅</v>
      </c>
      <c r="E329" s="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2" t="s">
        <v>5237</v>
      </c>
      <c r="K329" s="86" t="s">
        <v>5507</v>
      </c>
      <c r="L329" s="8" t="s">
        <v>5508</v>
      </c>
      <c r="M329" s="13" t="s">
        <v>6022</v>
      </c>
      <c r="O329" s="13" t="s">
        <v>6023</v>
      </c>
      <c r="Q329" s="13" t="s">
        <v>6024</v>
      </c>
      <c r="S329" s="13" t="s">
        <v>6025</v>
      </c>
      <c r="U329" s="13" t="s">
        <v>6295</v>
      </c>
      <c r="W329" s="13" t="s">
        <v>6026</v>
      </c>
      <c r="Y329" s="13" t="s">
        <v>6027</v>
      </c>
      <c r="AA329" s="13" t="s">
        <v>6028</v>
      </c>
    </row>
    <row r="330" spans="1:49">
      <c r="A330" s="8" t="str">
        <f>IF(games!A330="", "", games!A330)</f>
        <v>燕雲十六聲</v>
      </c>
      <c r="C330" s="8" t="str">
        <f t="shared" si="14"/>
        <v>giftcodesbanner/燕雲十六聲-禮包碼.jpg</v>
      </c>
      <c r="D330" s="8" t="str">
        <f t="shared" si="15"/>
        <v>https://www.ssbuy.tw/gift-codes.html?game=燕雲十六聲</v>
      </c>
      <c r="E330" s="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2" t="s">
        <v>6067</v>
      </c>
      <c r="G330" s="8" t="s">
        <v>6068</v>
      </c>
      <c r="H330" s="8" t="s">
        <v>6069</v>
      </c>
      <c r="K330" s="86" t="s">
        <v>5507</v>
      </c>
      <c r="L330" s="8" t="s">
        <v>5508</v>
      </c>
      <c r="M330" s="13" t="s">
        <v>6070</v>
      </c>
      <c r="N330" s="8" t="s">
        <v>6292</v>
      </c>
      <c r="O330" s="13" t="s">
        <v>6071</v>
      </c>
      <c r="P330" s="8" t="s">
        <v>6291</v>
      </c>
      <c r="Q330" s="13" t="s">
        <v>6072</v>
      </c>
      <c r="R330" s="8" t="s">
        <v>6293</v>
      </c>
      <c r="S330" s="13" t="s">
        <v>6073</v>
      </c>
      <c r="T330" s="8" t="s">
        <v>6074</v>
      </c>
      <c r="U330" s="13" t="s">
        <v>6075</v>
      </c>
      <c r="V330" s="8" t="s">
        <v>6294</v>
      </c>
      <c r="W330" s="13" t="s">
        <v>6076</v>
      </c>
      <c r="Y330" s="13" t="s">
        <v>6077</v>
      </c>
      <c r="Z330" s="8" t="s">
        <v>6078</v>
      </c>
    </row>
    <row r="331" spans="1:49">
      <c r="A331" s="8" t="str">
        <f>IF(games!A331="", "", games!A331)</f>
        <v>99強化木棒</v>
      </c>
      <c r="C331" s="8" t="str">
        <f t="shared" si="14"/>
        <v>giftcodesbanner/99強化木棒-禮包碼.jpg</v>
      </c>
      <c r="D331" s="8" t="str">
        <f t="shared" si="15"/>
        <v>https://www.ssbuy.tw/gift-codes.html?game=99強化木棒</v>
      </c>
      <c r="E331" s="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2" t="s">
        <v>6339</v>
      </c>
      <c r="G331" s="8" t="s">
        <v>6340</v>
      </c>
      <c r="K331" s="86" t="s">
        <v>5507</v>
      </c>
      <c r="L331" s="8" t="s">
        <v>5508</v>
      </c>
      <c r="M331" s="13" t="s">
        <v>6341</v>
      </c>
      <c r="O331" s="13" t="s">
        <v>6342</v>
      </c>
      <c r="Q331" s="13" t="s">
        <v>6343</v>
      </c>
      <c r="S331" s="13" t="s">
        <v>6344</v>
      </c>
    </row>
    <row r="332" spans="1:49">
      <c r="A332" s="8" t="str">
        <f>IF(games!A332="", "", games!A332)</f>
        <v>天龍八部榮耀版</v>
      </c>
      <c r="C332" s="8" t="str">
        <f t="shared" si="14"/>
        <v>giftcodesbanner/天龍八部榮耀版-禮包碼.jpg</v>
      </c>
      <c r="D332" s="8" t="str">
        <f t="shared" si="15"/>
        <v>https://www.ssbuy.tw/gift-codes.html?game=天龍八部榮耀版</v>
      </c>
      <c r="E332" s="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2" t="s">
        <v>6345</v>
      </c>
      <c r="G332" s="8" t="s">
        <v>6346</v>
      </c>
      <c r="H332" s="8" t="s">
        <v>6265</v>
      </c>
      <c r="K332" s="86" t="s">
        <v>5507</v>
      </c>
      <c r="L332" s="8" t="s">
        <v>5508</v>
      </c>
      <c r="M332" s="13" t="s">
        <v>6118</v>
      </c>
      <c r="N332" s="8" t="s">
        <v>6347</v>
      </c>
      <c r="O332" s="13" t="s">
        <v>6119</v>
      </c>
      <c r="P332" s="8" t="s">
        <v>6348</v>
      </c>
      <c r="Q332" s="13" t="s">
        <v>6120</v>
      </c>
      <c r="R332" s="8" t="s">
        <v>6349</v>
      </c>
      <c r="S332" s="13" t="s">
        <v>6121</v>
      </c>
      <c r="T332" s="8" t="s">
        <v>6350</v>
      </c>
      <c r="U332" s="13" t="s">
        <v>6122</v>
      </c>
      <c r="V332" s="8" t="s">
        <v>6351</v>
      </c>
      <c r="W332" s="13" t="s">
        <v>6123</v>
      </c>
      <c r="X332" s="8" t="s">
        <v>6352</v>
      </c>
      <c r="Y332" s="13" t="s">
        <v>6124</v>
      </c>
      <c r="Z332" s="8" t="s">
        <v>6353</v>
      </c>
      <c r="AA332" s="13" t="s">
        <v>6269</v>
      </c>
    </row>
    <row r="333" spans="1:49">
      <c r="A333" s="8" t="str">
        <f>IF(games!A333="", "", games!A333)</f>
        <v>SD鋼彈 G世代 永恆</v>
      </c>
      <c r="C333" s="8" t="str">
        <f t="shared" si="14"/>
        <v>giftcodesbanner/SD鋼彈 G世代 永恆-禮包碼.jpg</v>
      </c>
      <c r="D333" s="8" t="str">
        <f t="shared" si="15"/>
        <v>https://www.ssbuy.tw/gift-codes.html?game=SD鋼彈 G世代 永恆</v>
      </c>
      <c r="E333" s="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2" t="s">
        <v>5237</v>
      </c>
      <c r="G333" s="89" t="s">
        <v>6144</v>
      </c>
      <c r="K333" s="86" t="s">
        <v>5507</v>
      </c>
      <c r="L333" s="8" t="s">
        <v>5508</v>
      </c>
      <c r="M333" s="13" t="s">
        <v>6145</v>
      </c>
      <c r="N333" s="8" t="s">
        <v>6161</v>
      </c>
      <c r="O333" s="13" t="s">
        <v>6146</v>
      </c>
      <c r="P333" s="8" t="s">
        <v>6161</v>
      </c>
      <c r="Q333" s="13" t="s">
        <v>6147</v>
      </c>
      <c r="R333" s="8" t="s">
        <v>6161</v>
      </c>
      <c r="S333" s="13" t="s">
        <v>6148</v>
      </c>
      <c r="T333" s="8" t="s">
        <v>6161</v>
      </c>
      <c r="U333" s="13" t="s">
        <v>6149</v>
      </c>
      <c r="V333" s="8" t="s">
        <v>6161</v>
      </c>
      <c r="W333" s="13" t="s">
        <v>6150</v>
      </c>
      <c r="X333" s="8" t="s">
        <v>6162</v>
      </c>
      <c r="Y333" s="13" t="s">
        <v>6151</v>
      </c>
      <c r="Z333" s="8" t="s">
        <v>6163</v>
      </c>
      <c r="AA333" s="13" t="s">
        <v>6152</v>
      </c>
      <c r="AB333" s="8" t="s">
        <v>6163</v>
      </c>
      <c r="AC333" s="13" t="s">
        <v>6153</v>
      </c>
      <c r="AD333" s="8" t="s">
        <v>6163</v>
      </c>
      <c r="AE333" s="13" t="s">
        <v>6154</v>
      </c>
      <c r="AF333" s="8" t="s">
        <v>6168</v>
      </c>
      <c r="AG333" s="13" t="s">
        <v>6155</v>
      </c>
      <c r="AH333" s="8" t="s">
        <v>6164</v>
      </c>
      <c r="AI333" s="13" t="s">
        <v>6156</v>
      </c>
      <c r="AJ333" s="8" t="s">
        <v>6165</v>
      </c>
      <c r="AK333" s="13" t="s">
        <v>6157</v>
      </c>
      <c r="AL333" s="8" t="s">
        <v>6166</v>
      </c>
      <c r="AM333" s="13" t="s">
        <v>6158</v>
      </c>
      <c r="AN333" s="8" t="s">
        <v>6167</v>
      </c>
      <c r="AO333" s="13" t="s">
        <v>6159</v>
      </c>
      <c r="AQ333" s="13" t="s">
        <v>6160</v>
      </c>
    </row>
    <row r="334" spans="1:49">
      <c r="A334" s="8" t="str">
        <f>IF(games!A334="", "", games!A334)</f>
        <v>純被動大師：放置型養成</v>
      </c>
      <c r="C334" s="8" t="str">
        <f t="shared" si="14"/>
        <v>giftcodesbanner/純被動大師：放置型養成-禮包碼.jpg</v>
      </c>
      <c r="D334" s="8" t="str">
        <f t="shared" si="15"/>
        <v>https://www.ssbuy.tw/gift-codes.html?game=純被動大師：放置型養成</v>
      </c>
      <c r="E334" s="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2" t="s">
        <v>5237</v>
      </c>
      <c r="K334" s="86" t="s">
        <v>5507</v>
      </c>
      <c r="L334" s="8" t="s">
        <v>5508</v>
      </c>
    </row>
    <row r="335" spans="1:49">
      <c r="A335" s="8" t="str">
        <f>IF(games!A335="", "", games!A335)</f>
        <v>超次元三國</v>
      </c>
      <c r="C335" s="8" t="str">
        <f t="shared" si="14"/>
        <v>giftcodesbanner/超次元三國-禮包碼.jpg</v>
      </c>
      <c r="D335" s="8" t="str">
        <f t="shared" si="15"/>
        <v>https://www.ssbuy.tw/gift-codes.html?game=超次元三國</v>
      </c>
      <c r="E335" s="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2" t="s">
        <v>6354</v>
      </c>
      <c r="G335" s="8" t="s">
        <v>6355</v>
      </c>
      <c r="H335" s="8" t="s">
        <v>6356</v>
      </c>
      <c r="I335" s="8" t="s">
        <v>6265</v>
      </c>
      <c r="K335" s="86" t="s">
        <v>5507</v>
      </c>
      <c r="L335" s="8" t="s">
        <v>5508</v>
      </c>
      <c r="M335" s="13" t="s">
        <v>6307</v>
      </c>
      <c r="O335" s="13" t="s">
        <v>6308</v>
      </c>
      <c r="Q335" s="13" t="s">
        <v>6309</v>
      </c>
      <c r="S335" s="13" t="s">
        <v>6310</v>
      </c>
      <c r="U335" s="13" t="s">
        <v>6311</v>
      </c>
      <c r="W335" s="13" t="s">
        <v>6312</v>
      </c>
      <c r="Y335" s="13" t="s">
        <v>6313</v>
      </c>
      <c r="AA335" s="13" t="s">
        <v>6314</v>
      </c>
    </row>
    <row r="336" spans="1:49">
      <c r="A336" s="8" t="str">
        <f>IF(games!A336="", "", games!A336)</f>
        <v>poker fate</v>
      </c>
      <c r="C336" s="8" t="str">
        <f t="shared" si="14"/>
        <v>giftcodesbanner/poker fate-禮包碼.jpg</v>
      </c>
      <c r="D336" s="8" t="str">
        <f t="shared" si="15"/>
        <v>https://www.ssbuy.tw/gift-codes.html?game=poker fate</v>
      </c>
      <c r="E336" s="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2" t="s">
        <v>5237</v>
      </c>
      <c r="K336" s="86" t="s">
        <v>5507</v>
      </c>
      <c r="L336" s="8" t="s">
        <v>5508</v>
      </c>
    </row>
    <row r="337" spans="1:21">
      <c r="A337" s="8" t="str">
        <f>IF(games!A337="", "", games!A337)</f>
        <v>時空心語</v>
      </c>
      <c r="C337" s="8" t="str">
        <f t="shared" si="14"/>
        <v>giftcodesbanner/時空心語-禮包碼.jpg</v>
      </c>
      <c r="D337" s="8" t="str">
        <f t="shared" si="15"/>
        <v>https://www.ssbuy.tw/gift-codes.html?game=時空心語</v>
      </c>
      <c r="E337" s="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2" t="s">
        <v>6262</v>
      </c>
      <c r="G337" s="8" t="s">
        <v>6263</v>
      </c>
      <c r="H337" s="8" t="s">
        <v>6265</v>
      </c>
      <c r="K337" s="86" t="s">
        <v>5507</v>
      </c>
      <c r="L337" s="8" t="s">
        <v>5508</v>
      </c>
      <c r="M337" s="13" t="s">
        <v>6266</v>
      </c>
      <c r="O337" s="13" t="s">
        <v>6267</v>
      </c>
      <c r="Q337" s="13" t="s">
        <v>6268</v>
      </c>
    </row>
    <row r="338" spans="1:21">
      <c r="A338" s="8" t="str">
        <f>IF(games!A338="", "", games!A338)</f>
        <v>Archeland Re：阿契蘭</v>
      </c>
      <c r="C338" s="8" t="str">
        <f t="shared" si="14"/>
        <v>giftcodesbanner/Archeland Re：阿契蘭-禮包碼.jpg</v>
      </c>
      <c r="D338" s="8" t="str">
        <f t="shared" si="15"/>
        <v>https://www.ssbuy.tw/gift-codes.html?game=Archeland Re：阿契蘭</v>
      </c>
      <c r="E338" s="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2" t="s">
        <v>5237</v>
      </c>
      <c r="K338" s="86" t="s">
        <v>5507</v>
      </c>
      <c r="L338" s="8" t="s">
        <v>5508</v>
      </c>
    </row>
    <row r="339" spans="1:21">
      <c r="A339" s="8" t="str">
        <f>IF(games!A339="", "", games!A339)</f>
        <v>幻獸寶貝</v>
      </c>
      <c r="C339" s="8" t="str">
        <f t="shared" si="14"/>
        <v>giftcodesbanner/幻獸寶貝-禮包碼.jpg</v>
      </c>
      <c r="D339" s="8" t="str">
        <f t="shared" si="15"/>
        <v>https://www.ssbuy.tw/gift-codes.html?game=幻獸寶貝</v>
      </c>
      <c r="E339" s="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29" t="s">
        <v>6277</v>
      </c>
      <c r="G339" s="8" t="s">
        <v>6278</v>
      </c>
      <c r="H339" s="8" t="s">
        <v>6265</v>
      </c>
      <c r="K339" s="86" t="s">
        <v>5507</v>
      </c>
      <c r="L339" s="8" t="s">
        <v>5508</v>
      </c>
      <c r="M339" s="13" t="s">
        <v>6275</v>
      </c>
      <c r="N339" s="8" t="s">
        <v>6276</v>
      </c>
      <c r="O339" s="13" t="s">
        <v>6288</v>
      </c>
      <c r="Q339" s="13" t="s">
        <v>6289</v>
      </c>
      <c r="S339" s="13" t="s">
        <v>1933</v>
      </c>
      <c r="U339" s="13" t="s">
        <v>6290</v>
      </c>
    </row>
    <row r="340" spans="1:21">
      <c r="A340" s="8" t="str">
        <f>IF(games!A340="", "", games!A340)</f>
        <v>齒輪束縛</v>
      </c>
      <c r="C340" s="8" t="str">
        <f t="shared" si="14"/>
        <v>giftcodesbanner/齒輪束縛-禮包碼.jpg</v>
      </c>
      <c r="D340" s="8" t="str">
        <f t="shared" si="15"/>
        <v>https://www.ssbuy.tw/gift-codes.html?game=齒輪束縛</v>
      </c>
      <c r="E340" s="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2" t="s">
        <v>5237</v>
      </c>
      <c r="K340" s="86" t="s">
        <v>5507</v>
      </c>
      <c r="L340" s="8" t="s">
        <v>5508</v>
      </c>
    </row>
    <row r="341" spans="1:21">
      <c r="A341" s="8" t="str">
        <f>IF(games!A341="", "", games!A341)</f>
        <v>仙境傳說：怪獸廚房</v>
      </c>
      <c r="C341" s="8" t="str">
        <f t="shared" si="14"/>
        <v>giftcodesbanner/仙境傳說：怪獸廚房-禮包碼.jpg</v>
      </c>
      <c r="D341" s="8" t="str">
        <f t="shared" si="15"/>
        <v>https://www.ssbuy.tw/gift-codes.html?game=仙境傳說：怪獸廚房</v>
      </c>
      <c r="E341" s="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29" t="s">
        <v>6328</v>
      </c>
      <c r="G341" s="8" t="s">
        <v>6329</v>
      </c>
      <c r="H341" s="8" t="s">
        <v>6265</v>
      </c>
      <c r="K341" s="86" t="s">
        <v>5507</v>
      </c>
      <c r="L341" s="8" t="s">
        <v>5508</v>
      </c>
    </row>
    <row r="342" spans="1:21">
      <c r="A342" s="8" t="str">
        <f>IF(games!A342="", "", games!A342)</f>
        <v>掌心宮略</v>
      </c>
      <c r="C342" s="8" t="str">
        <f t="shared" si="14"/>
        <v>giftcodesbanner/掌心宮略-禮包碼.jpg</v>
      </c>
      <c r="D342" s="8" t="str">
        <f t="shared" si="15"/>
        <v>https://www.ssbuy.tw/gift-codes.html?game=掌心宮略</v>
      </c>
      <c r="E342" s="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2" t="s">
        <v>5237</v>
      </c>
      <c r="K342" s="86" t="s">
        <v>5507</v>
      </c>
      <c r="L342" s="8" t="s">
        <v>5508</v>
      </c>
    </row>
    <row r="343" spans="1:21">
      <c r="A343" s="8" t="str">
        <f>IF(games!A343="", "", games!A343)</f>
        <v>God Breaker：弒神者</v>
      </c>
      <c r="C343" s="8" t="str">
        <f t="shared" si="14"/>
        <v>giftcodesbanner/God Breaker：弒神者-禮包碼.jpg</v>
      </c>
      <c r="D343" s="8" t="str">
        <f t="shared" si="15"/>
        <v>https://www.ssbuy.tw/gift-codes.html?game=God Breaker：弒神者</v>
      </c>
      <c r="E343" s="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2" t="s">
        <v>5237</v>
      </c>
      <c r="K343" s="86" t="s">
        <v>5507</v>
      </c>
      <c r="L343" s="8" t="s">
        <v>5508</v>
      </c>
      <c r="M343" s="13" t="s">
        <v>6330</v>
      </c>
    </row>
    <row r="344" spans="1:21">
      <c r="A344" s="8" t="str">
        <f>IF(games!A344="", "", games!A344)</f>
        <v/>
      </c>
      <c r="C344" s="8" t="str">
        <f t="shared" si="14"/>
        <v/>
      </c>
      <c r="D344" s="8" t="str">
        <f t="shared" si="15"/>
        <v/>
      </c>
      <c r="E344" s="9" t="str">
        <f>IF(games!I344&lt;&gt;"", games!I344, "")</f>
        <v/>
      </c>
    </row>
    <row r="345" spans="1:21">
      <c r="A345" s="8" t="str">
        <f>IF(games!A345="", "", games!A345)</f>
        <v/>
      </c>
      <c r="C345" s="8" t="str">
        <f t="shared" si="14"/>
        <v/>
      </c>
      <c r="D345" s="8" t="str">
        <f t="shared" si="15"/>
        <v/>
      </c>
      <c r="E345" s="9" t="str">
        <f>IF(games!I345&lt;&gt;"", games!I345, "")</f>
        <v/>
      </c>
    </row>
    <row r="346" spans="1:21">
      <c r="A346" s="8" t="str">
        <f>IF(games!A346="", "", games!A346)</f>
        <v/>
      </c>
      <c r="C346" s="8" t="str">
        <f t="shared" si="14"/>
        <v/>
      </c>
      <c r="D346" s="8" t="str">
        <f t="shared" si="15"/>
        <v/>
      </c>
      <c r="E346" s="9" t="str">
        <f>IF(games!I346&lt;&gt;"", games!I346, "")</f>
        <v/>
      </c>
    </row>
    <row r="347" spans="1:21">
      <c r="A347" s="8" t="str">
        <f>IF(games!A347="", "", games!A347)</f>
        <v/>
      </c>
      <c r="C347" s="8" t="str">
        <f t="shared" si="14"/>
        <v/>
      </c>
      <c r="D347" s="8" t="str">
        <f t="shared" si="15"/>
        <v/>
      </c>
      <c r="E347" s="9" t="str">
        <f>IF(games!I347&lt;&gt;"", games!I347, "")</f>
        <v/>
      </c>
    </row>
    <row r="348" spans="1:21">
      <c r="A348" s="8" t="str">
        <f>IF(games!A348="", "", games!A348)</f>
        <v/>
      </c>
      <c r="C348" s="8" t="str">
        <f t="shared" si="14"/>
        <v/>
      </c>
      <c r="D348" s="8" t="str">
        <f t="shared" si="15"/>
        <v/>
      </c>
      <c r="E348" s="9" t="str">
        <f>IF(games!I348&lt;&gt;"", games!I348, "")</f>
        <v/>
      </c>
    </row>
    <row r="349" spans="1:21">
      <c r="A349" s="8" t="str">
        <f>IF(games!A349="", "", games!A349)</f>
        <v/>
      </c>
      <c r="C349" s="8" t="str">
        <f t="shared" si="14"/>
        <v/>
      </c>
      <c r="D349" s="8" t="str">
        <f t="shared" si="15"/>
        <v/>
      </c>
      <c r="E349" s="9" t="str">
        <f>IF(games!I349&lt;&gt;"", games!I349, "")</f>
        <v/>
      </c>
    </row>
    <row r="350" spans="1:21">
      <c r="A350" s="8" t="str">
        <f>IF(games!A350="", "", games!A350)</f>
        <v/>
      </c>
      <c r="C350" s="8" t="str">
        <f t="shared" si="14"/>
        <v/>
      </c>
      <c r="D350" s="8" t="str">
        <f t="shared" si="15"/>
        <v/>
      </c>
      <c r="E350" s="9" t="str">
        <f>IF(games!I350&lt;&gt;"", games!I350, "")</f>
        <v/>
      </c>
    </row>
    <row r="351" spans="1:21">
      <c r="A351" s="8" t="str">
        <f>IF(games!A351="", "", games!A351)</f>
        <v/>
      </c>
      <c r="C351" s="8" t="str">
        <f t="shared" si="14"/>
        <v/>
      </c>
      <c r="D351" s="8" t="str">
        <f t="shared" si="15"/>
        <v/>
      </c>
      <c r="E351" s="9" t="str">
        <f>IF(games!I351&lt;&gt;"", games!I351, "")</f>
        <v/>
      </c>
    </row>
    <row r="352" spans="1:21">
      <c r="A352" s="8" t="str">
        <f>IF(games!A352="", "", games!A352)</f>
        <v/>
      </c>
      <c r="C352" s="8" t="str">
        <f t="shared" si="14"/>
        <v/>
      </c>
      <c r="D352" s="8" t="str">
        <f t="shared" si="15"/>
        <v/>
      </c>
      <c r="E352" s="9" t="str">
        <f>IF(games!I352&lt;&gt;"", games!I352, "")</f>
        <v/>
      </c>
    </row>
    <row r="353" spans="1:5">
      <c r="A353" s="8" t="str">
        <f>IF(games!A353="", "", games!A353)</f>
        <v/>
      </c>
      <c r="C353" s="8" t="str">
        <f t="shared" si="14"/>
        <v/>
      </c>
      <c r="D353" s="8" t="str">
        <f t="shared" si="15"/>
        <v/>
      </c>
      <c r="E353" s="9" t="str">
        <f>IF(games!I353&lt;&gt;"", games!I353, "")</f>
        <v/>
      </c>
    </row>
    <row r="354" spans="1:5">
      <c r="A354" s="8" t="str">
        <f>IF(games!A354="", "", games!A354)</f>
        <v/>
      </c>
      <c r="C354" s="8" t="str">
        <f t="shared" si="14"/>
        <v/>
      </c>
      <c r="D354" s="8" t="str">
        <f t="shared" si="15"/>
        <v/>
      </c>
      <c r="E354" s="9" t="str">
        <f>IF(games!I354&lt;&gt;"", games!I354, "")</f>
        <v/>
      </c>
    </row>
    <row r="355" spans="1:5">
      <c r="A355" s="8" t="str">
        <f>IF(games!A355="", "", games!A355)</f>
        <v/>
      </c>
      <c r="C355" s="8" t="str">
        <f t="shared" si="14"/>
        <v/>
      </c>
      <c r="D355" s="8" t="str">
        <f t="shared" si="15"/>
        <v/>
      </c>
      <c r="E355" s="9" t="str">
        <f>IF(games!I355&lt;&gt;"", games!I355, "")</f>
        <v/>
      </c>
    </row>
    <row r="356" spans="1:5">
      <c r="A356" s="8" t="str">
        <f>IF(games!A356="", "", games!A356)</f>
        <v/>
      </c>
      <c r="C356" s="8" t="str">
        <f t="shared" si="14"/>
        <v/>
      </c>
      <c r="D356" s="8" t="str">
        <f t="shared" si="15"/>
        <v/>
      </c>
      <c r="E356" s="9" t="str">
        <f>IF(games!I356&lt;&gt;"", games!I356, "")</f>
        <v/>
      </c>
    </row>
    <row r="357" spans="1:5">
      <c r="A357" s="8" t="str">
        <f>IF(games!A357="", "", games!A357)</f>
        <v/>
      </c>
      <c r="C357" s="8" t="str">
        <f t="shared" si="14"/>
        <v/>
      </c>
      <c r="D357" s="8" t="str">
        <f t="shared" si="15"/>
        <v/>
      </c>
      <c r="E357" s="9" t="str">
        <f>IF(games!I357&lt;&gt;"", games!I357, "")</f>
        <v/>
      </c>
    </row>
    <row r="358" spans="1:5">
      <c r="A358" s="8" t="str">
        <f>IF(games!A358="", "", games!A358)</f>
        <v/>
      </c>
      <c r="C358" s="8" t="str">
        <f t="shared" si="14"/>
        <v/>
      </c>
      <c r="D358" s="8" t="str">
        <f t="shared" si="15"/>
        <v/>
      </c>
      <c r="E358" s="9" t="str">
        <f>IF(games!I358&lt;&gt;"", games!I358, "")</f>
        <v/>
      </c>
    </row>
    <row r="359" spans="1:5">
      <c r="A359" s="8" t="str">
        <f>IF(games!A359="", "", games!A359)</f>
        <v/>
      </c>
      <c r="C359" s="8" t="str">
        <f t="shared" si="14"/>
        <v/>
      </c>
      <c r="D359" s="8" t="str">
        <f t="shared" si="15"/>
        <v/>
      </c>
      <c r="E359" s="9" t="str">
        <f>IF(games!I359&lt;&gt;"", games!I359, "")</f>
        <v/>
      </c>
    </row>
    <row r="360" spans="1:5">
      <c r="A360" s="8" t="str">
        <f>IF(games!A360="", "", games!A360)</f>
        <v/>
      </c>
      <c r="C360" s="8" t="str">
        <f t="shared" si="14"/>
        <v/>
      </c>
      <c r="D360" s="8" t="str">
        <f t="shared" si="15"/>
        <v/>
      </c>
      <c r="E360" s="9" t="str">
        <f>IF(games!I360&lt;&gt;"", games!I360, "")</f>
        <v/>
      </c>
    </row>
    <row r="361" spans="1:5">
      <c r="A361" s="8" t="str">
        <f>IF(games!A361="", "", games!A361)</f>
        <v/>
      </c>
      <c r="C361" s="8" t="str">
        <f t="shared" si="14"/>
        <v/>
      </c>
      <c r="D361" s="8" t="str">
        <f t="shared" si="15"/>
        <v/>
      </c>
      <c r="E361" s="9" t="str">
        <f>IF(games!I361&lt;&gt;"", games!I361, "")</f>
        <v/>
      </c>
    </row>
    <row r="362" spans="1:5">
      <c r="A362" s="8" t="str">
        <f>IF(games!A362="", "", games!A362)</f>
        <v/>
      </c>
      <c r="C362" s="8" t="str">
        <f t="shared" si="14"/>
        <v/>
      </c>
      <c r="D362" s="8" t="str">
        <f t="shared" si="15"/>
        <v/>
      </c>
      <c r="E362" s="9" t="str">
        <f>IF(games!I362&lt;&gt;"", games!I362, "")</f>
        <v/>
      </c>
    </row>
    <row r="363" spans="1:5">
      <c r="A363" s="8" t="str">
        <f>IF(games!A363="", "", games!A363)</f>
        <v/>
      </c>
      <c r="C363" s="8" t="str">
        <f t="shared" si="14"/>
        <v/>
      </c>
      <c r="D363" s="8" t="str">
        <f t="shared" si="15"/>
        <v/>
      </c>
      <c r="E363" s="9" t="str">
        <f>IF(games!I363&lt;&gt;"", games!I363, "")</f>
        <v/>
      </c>
    </row>
    <row r="364" spans="1:5">
      <c r="A364" s="8" t="str">
        <f>IF(games!A364="", "", games!A364)</f>
        <v/>
      </c>
      <c r="C364" s="8" t="str">
        <f t="shared" si="14"/>
        <v/>
      </c>
      <c r="D364" s="8" t="str">
        <f t="shared" si="15"/>
        <v/>
      </c>
      <c r="E364" s="9" t="str">
        <f>IF(games!I364&lt;&gt;"", games!I364, "")</f>
        <v/>
      </c>
    </row>
    <row r="365" spans="1:5">
      <c r="A365" s="8" t="str">
        <f>IF(games!A365="", "", games!A365)</f>
        <v/>
      </c>
      <c r="C365" s="8" t="str">
        <f t="shared" si="14"/>
        <v/>
      </c>
      <c r="D365" s="8" t="str">
        <f t="shared" si="15"/>
        <v/>
      </c>
      <c r="E365" s="9" t="str">
        <f>IF(games!I365&lt;&gt;"", games!I365, "")</f>
        <v/>
      </c>
    </row>
    <row r="366" spans="1:5">
      <c r="C366" s="8" t="str">
        <f t="shared" si="14"/>
        <v/>
      </c>
      <c r="D366" s="8" t="str">
        <f t="shared" si="15"/>
        <v/>
      </c>
      <c r="E366" s="9" t="str">
        <f>IF(games!I366&lt;&gt;"", games!I366, "")</f>
        <v/>
      </c>
    </row>
    <row r="367" spans="1:5">
      <c r="C367" s="8" t="str">
        <f t="shared" si="14"/>
        <v/>
      </c>
      <c r="D367" s="8" t="str">
        <f t="shared" si="15"/>
        <v/>
      </c>
      <c r="E367" s="9" t="str">
        <f>IF(games!I367&lt;&gt;"", games!I367, "")</f>
        <v/>
      </c>
    </row>
    <row r="368" spans="1: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ref="C371:C429" si="16">IF(A371="","", "giftcodesbanner/" &amp; A371 &amp; "-禮包碼.jpg")</f>
        <v/>
      </c>
      <c r="D371" s="8" t="str">
        <f t="shared" ref="D371:D429" si="17">IF(A371="","", "https://www.ssbuy.tw/gift-codes.html?game="&amp;A371)</f>
        <v/>
      </c>
      <c r="E371" s="9" t="str">
        <f>IF(games!I371&lt;&gt;"", games!I371, "")</f>
        <v/>
      </c>
    </row>
    <row r="372" spans="3:5">
      <c r="C372" s="8" t="str">
        <f t="shared" si="16"/>
        <v/>
      </c>
      <c r="D372" s="8" t="str">
        <f t="shared" si="17"/>
        <v/>
      </c>
      <c r="E372" s="9" t="str">
        <f>IF(games!I372&lt;&gt;"", games!I372, "")</f>
        <v/>
      </c>
    </row>
    <row r="373" spans="3:5">
      <c r="C373" s="8" t="str">
        <f t="shared" si="16"/>
        <v/>
      </c>
      <c r="D373" s="8" t="str">
        <f t="shared" si="17"/>
        <v/>
      </c>
      <c r="E373" s="9" t="str">
        <f>IF(games!I373&lt;&gt;"", games!I373, "")</f>
        <v/>
      </c>
    </row>
    <row r="374" spans="3:5">
      <c r="C374" s="8" t="str">
        <f t="shared" si="16"/>
        <v/>
      </c>
      <c r="D374" s="8" t="str">
        <f t="shared" si="17"/>
        <v/>
      </c>
      <c r="E374" s="9" t="str">
        <f>IF(games!I374&lt;&gt;"", games!I374, "")</f>
        <v/>
      </c>
    </row>
    <row r="375" spans="3:5">
      <c r="C375" s="8" t="str">
        <f t="shared" si="16"/>
        <v/>
      </c>
      <c r="D375" s="8" t="str">
        <f t="shared" si="17"/>
        <v/>
      </c>
      <c r="E375" s="9" t="str">
        <f>IF(games!I375&lt;&gt;"", games!I375, "")</f>
        <v/>
      </c>
    </row>
    <row r="376" spans="3:5">
      <c r="C376" s="8" t="str">
        <f t="shared" si="16"/>
        <v/>
      </c>
      <c r="D376" s="8" t="str">
        <f t="shared" si="17"/>
        <v/>
      </c>
      <c r="E376" s="9" t="str">
        <f>IF(games!I376&lt;&gt;"", games!I376, "")</f>
        <v/>
      </c>
    </row>
    <row r="377" spans="3:5">
      <c r="C377" s="8" t="str">
        <f t="shared" si="16"/>
        <v/>
      </c>
      <c r="D377" s="8" t="str">
        <f t="shared" si="17"/>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row>
    <row r="395" spans="3:5">
      <c r="C395" s="8" t="str">
        <f t="shared" si="16"/>
        <v/>
      </c>
      <c r="D395" s="8" t="str">
        <f t="shared" si="17"/>
        <v/>
      </c>
    </row>
    <row r="396" spans="3:5">
      <c r="C396" s="8" t="str">
        <f t="shared" si="16"/>
        <v/>
      </c>
      <c r="D396" s="8" t="str">
        <f t="shared" si="17"/>
        <v/>
      </c>
    </row>
    <row r="397" spans="3:5">
      <c r="C397" s="8" t="str">
        <f t="shared" si="16"/>
        <v/>
      </c>
      <c r="D397" s="8" t="str">
        <f t="shared" si="17"/>
        <v/>
      </c>
    </row>
    <row r="398" spans="3:5">
      <c r="C398" s="8" t="str">
        <f t="shared" si="16"/>
        <v/>
      </c>
      <c r="D398" s="8" t="str">
        <f t="shared" si="17"/>
        <v/>
      </c>
    </row>
    <row r="399" spans="3:5">
      <c r="C399" s="8" t="str">
        <f t="shared" si="16"/>
        <v/>
      </c>
      <c r="D399" s="8" t="str">
        <f t="shared" si="17"/>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 ref="K340" r:id="rId74"/>
    <hyperlink ref="K341" r:id="rId75"/>
    <hyperlink ref="K342" r:id="rId76"/>
    <hyperlink ref="K343" r:id="rId77"/>
  </hyperlinks>
  <pageMargins left="0.7" right="0.7" top="0.75" bottom="0.75" header="0.3" footer="0.3"/>
  <pageSetup paperSize="9" orientation="portrait" r:id="rId7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2025-12-20T14:54:22Z</dcterms:modified>
</cp:coreProperties>
</file>