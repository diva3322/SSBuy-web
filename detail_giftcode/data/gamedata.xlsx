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557" i="1" l="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A556" i="3"/>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C556" i="3"/>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<sst xmlns="http://schemas.openxmlformats.org/spreadsheetml/2006/main" count="15064" uniqueCount="9566">
  <si>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</si>
  <si>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</si>
  <si>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</si>
  <si>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</si>
  <si>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</si>
  <si>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</si>
  <si>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</si>
  <si>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</si>
  <si>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</si>
  <si>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</si>
  <si>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</si>
  <si>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</si>
  <si>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</si>
  <si>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</si>
  <si>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</si>
  <si>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</si>
  <si>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</si>
  <si>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</si>
  <si>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</si>
  <si>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</si>
  <si>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</si>
  <si>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</si>
  <si>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</si>
  <si>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</si>
  <si>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</si>
  <si>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</si>
  <si>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</si>
  <si>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</si>
  <si>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</si>
  <si>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</si>
  <si>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</si>
  <si>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</si>
  <si>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</si>
  <si>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</si>
  <si>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</si>
  <si>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</si>
  <si>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</si>
  <si>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</si>
  <si>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</si>
  <si>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</si>
  <si>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</si>
  <si>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</si>
  <si>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</si>
  <si>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</si>
  <si>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</si>
  <si>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</si>
  <si>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</si>
  <si>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</si>
  <si>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</si>
  <si>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</si>
  <si>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</si>
  <si>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</si>
  <si>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</si>
  <si>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</si>
  <si>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</si>
  <si>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</si>
  <si>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</si>
  <si>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</si>
  <si>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</si>
  <si>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</si>
  <si>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</si>
  <si>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</si>
  <si>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</si>
  <si>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</si>
  <si>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</si>
  <si>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</si>
  <si>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</si>
  <si>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</si>
  <si>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</si>
  <si>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</si>
  <si>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</si>
  <si>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</si>
  <si>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</si>
  <si>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</si>
  <si>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</si>
  <si>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</si>
  <si>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</si>
  <si>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</si>
  <si>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</si>
  <si>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</si>
  <si>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</si>
  <si>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</si>
  <si>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</si>
  <si>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</si>
  <si>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</si>
  <si>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</si>
  <si>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</si>
  <si>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</si>
  <si>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</si>
  <si>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</si>
  <si>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</si>
  <si>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</si>
  <si>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</si>
  <si>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</si>
  <si>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</si>
  <si>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</si>
  <si>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</si>
  <si>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</si>
  <si>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</si>
  <si>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</si>
  <si>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</si>
  <si>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</si>
  <si>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</si>
  <si>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</si>
  <si>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</si>
  <si>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</si>
  <si>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</si>
  <si>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</si>
  <si>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</si>
  <si>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</si>
  <si>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</si>
  <si>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</si>
  <si>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</si>
  <si>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</si>
  <si>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</si>
  <si>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</si>
  <si>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</si>
  <si>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</si>
  <si>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</si>
  <si>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</si>
  <si>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</si>
  <si>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</si>
  <si>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</si>
  <si>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</si>
  <si>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</si>
  <si>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</si>
  <si>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</si>
  <si>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</si>
  <si>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</si>
  <si>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</si>
  <si>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</si>
  <si>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</si>
  <si>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</si>
  <si>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</si>
  <si>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</si>
  <si>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</si>
  <si>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</si>
  <si>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</si>
  <si>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</si>
  <si>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</si>
  <si>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</si>
  <si>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</si>
  <si>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</si>
  <si>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</si>
  <si>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</si>
  <si>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</si>
  <si>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</si>
  <si>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</si>
  <si>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</si>
  <si>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</si>
  <si>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</si>
  <si>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</si>
  <si>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</si>
  <si>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</si>
  <si>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</si>
  <si>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</si>
  <si>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</si>
  <si>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</si>
  <si>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</si>
  <si>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</si>
  <si>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</si>
  <si>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</si>
  <si>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</si>
  <si>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</si>
  <si>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</si>
  <si>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</si>
  <si>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</si>
  <si>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</si>
  <si>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</si>
  <si>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</si>
  <si>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</si>
  <si>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</si>
  <si>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</si>
  <si>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</si>
  <si>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</si>
  <si>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</si>
  <si>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</si>
  <si>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</si>
  <si>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</si>
  <si>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</si>
  <si>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</si>
  <si>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</si>
  <si>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</si>
  <si>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</si>
  <si>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</si>
  <si>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</si>
  <si>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</si>
  <si>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</si>
  <si>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</si>
  <si>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</si>
  <si>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</si>
  <si>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</si>
  <si>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</si>
  <si>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</si>
  <si>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</si>
  <si>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</si>
  <si>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</si>
  <si>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</si>
  <si>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</si>
  <si>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</si>
  <si>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</si>
  <si>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</si>
  <si>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</si>
  <si>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</si>
  <si>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</si>
  <si>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</si>
  <si>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</si>
  <si>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</si>
  <si>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</si>
  <si>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</si>
  <si>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</si>
  <si>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</si>
  <si>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</si>
  <si>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</si>
  <si>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</si>
  <si>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</si>
  <si>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</si>
  <si>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</si>
  <si>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</si>
  <si>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</si>
  <si>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</si>
  <si>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</si>
  <si>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</si>
  <si>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</si>
  <si>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</si>
  <si>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</si>
  <si>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</si>
  <si>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</si>
  <si>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</si>
  <si>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</si>
  <si>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</si>
  <si>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</si>
  <si>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</si>
  <si>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</si>
  <si>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</si>
  <si>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</si>
  <si>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</si>
  <si>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</si>
  <si>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</si>
  <si>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</si>
  <si>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</si>
  <si>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</si>
  <si>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</si>
  <si>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</si>
  <si>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</si>
  <si>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</si>
  <si>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</si>
  <si>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</si>
  <si>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</si>
  <si>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</si>
  <si>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</si>
  <si>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</si>
  <si>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</si>
  <si>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</si>
  <si>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</si>
  <si>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</si>
  <si>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</si>
  <si>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</si>
  <si>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</si>
  <si>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</si>
  <si>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</si>
  <si>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</si>
  <si>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</si>
  <si>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</si>
  <si>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</si>
  <si>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</si>
  <si>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</si>
  <si>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</si>
  <si>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</si>
  <si>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</si>
  <si>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</si>
  <si>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</si>
  <si>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</si>
  <si>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</si>
  <si>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</si>
  <si>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</si>
  <si>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</si>
  <si>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</si>
  <si>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</si>
  <si>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</si>
  <si>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</si>
  <si>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</si>
  <si>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</si>
  <si>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</si>
  <si>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</si>
  <si>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</si>
  <si>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</si>
  <si>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</si>
  <si>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</si>
  <si>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</si>
  <si>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</si>
  <si>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</si>
  <si>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</si>
  <si>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</si>
  <si>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</si>
  <si>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</si>
  <si>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</si>
  <si>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</si>
  <si>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</si>
  <si>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</si>
  <si>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</si>
  <si>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</si>
  <si>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</si>
  <si>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</si>
  <si>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</si>
  <si>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</si>
  <si>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</si>
  <si>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</si>
  <si>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</si>
  <si>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</si>
  <si>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</si>
  <si>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</si>
  <si>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</si>
  <si>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</si>
  <si>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</si>
  <si>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</si>
  <si>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</si>
  <si>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</si>
  <si>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</si>
  <si>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</si>
  <si>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</si>
  <si>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</si>
  <si>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</si>
  <si>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</si>
  <si>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</si>
  <si>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</si>
  <si>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</si>
  <si>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</si>
  <si>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</si>
  <si>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</si>
  <si>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</si>
  <si>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</si>
  <si>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</si>
  <si>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</si>
  <si>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</si>
  <si>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</si>
  <si>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</si>
  <si>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</si>
  <si>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</si>
  <si>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</si>
  <si>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</si>
  <si>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</si>
  <si>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</si>
  <si>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</si>
  <si>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</si>
  <si>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</si>
  <si>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</si>
  <si>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</si>
  <si>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</si>
  <si>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</si>
  <si>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</si>
  <si>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</si>
  <si>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</si>
  <si>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</si>
  <si>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</si>
  <si>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</si>
  <si>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</si>
  <si>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</si>
  <si>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</si>
  <si>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</si>
  <si>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</si>
  <si>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</si>
  <si>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</si>
  <si>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</si>
  <si>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</si>
  <si>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</si>
  <si>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</si>
  <si>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</si>
  <si>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</si>
  <si>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</si>
  <si>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</si>
  <si>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</si>
  <si>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</si>
  <si>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</si>
  <si>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</si>
  <si>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</si>
  <si>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</si>
  <si>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</si>
  <si>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</si>
  <si>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</si>
  <si>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</si>
  <si>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</si>
  <si>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</si>
  <si>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</si>
  <si>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</si>
  <si>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</si>
  <si>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</si>
  <si>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</si>
  <si>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</si>
  <si>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</si>
  <si>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</si>
  <si>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</si>
  <si>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</si>
  <si>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</si>
  <si>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</si>
  <si>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</si>
  <si>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</si>
  <si>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</si>
  <si>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</si>
  <si>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</si>
  <si>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</si>
  <si>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</si>
  <si>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</si>
  <si>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</si>
  <si>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</si>
  <si>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</si>
  <si>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</si>
  <si>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</si>
  <si>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</si>
  <si>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</si>
  <si>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</si>
  <si>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</si>
  <si>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</si>
  <si>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</si>
  <si>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</si>
  <si>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</si>
  <si>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</si>
  <si>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</si>
  <si>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</si>
  <si>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</si>
  <si>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</si>
  <si>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</si>
  <si>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</si>
  <si>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</si>
  <si>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</si>
  <si>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</si>
  <si>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</si>
  <si>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</si>
  <si>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</si>
  <si>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</si>
  <si>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</si>
  <si>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</si>
  <si>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</si>
  <si>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</si>
  <si>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</si>
  <si>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</si>
  <si>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</si>
  <si>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</si>
  <si>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</si>
  <si>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</si>
  <si>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</si>
  <si>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</si>
  <si>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</si>
  <si>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</si>
  <si>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</si>
  <si>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</si>
  <si>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</si>
  <si>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</si>
  <si>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</si>
  <si>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</si>
  <si>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</si>
  <si>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</si>
  <si>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</si>
  <si>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</si>
  <si>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</si>
  <si>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</si>
  <si>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</si>
  <si>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</si>
  <si>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</si>
  <si>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</si>
  <si>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</si>
  <si>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</si>
  <si>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</si>
  <si>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</si>
  <si>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</si>
  <si>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</si>
  <si>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</si>
  <si>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</si>
  <si>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</si>
  <si>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</si>
  <si>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</si>
  <si>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</si>
  <si>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</si>
  <si>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</si>
  <si>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</si>
  <si>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</si>
  <si>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</si>
  <si>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</si>
  <si>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</si>
  <si>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</si>
  <si>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</si>
  <si>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</si>
  <si>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</si>
  <si>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</si>
  <si>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</si>
  <si>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</si>
  <si>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</si>
  <si>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</si>
  <si>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</si>
  <si>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</si>
  <si>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</si>
  <si>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</si>
  <si>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</si>
  <si>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</si>
  <si>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</si>
  <si>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</si>
  <si>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</si>
  <si>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</si>
  <si>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</si>
  <si>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</si>
  <si>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</si>
  <si>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</si>
  <si>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</si>
  <si>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</si>
  <si>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</si>
  <si>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</si>
  <si>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</si>
  <si>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</si>
  <si>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</si>
  <si>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</si>
  <si>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</si>
  <si>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</si>
  <si>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</si>
  <si>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</si>
  <si>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</si>
  <si>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</si>
  <si>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</si>
  <si>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</si>
  <si>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</si>
  <si>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</si>
  <si>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</si>
  <si>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</si>
  <si>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</si>
  <si>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</si>
  <si>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</si>
  <si>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</si>
  <si>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</si>
  <si>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</si>
  <si>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</si>
  <si>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</si>
  <si>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</si>
  <si>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</si>
  <si>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</si>
  <si>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</si>
  <si>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</si>
  <si>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</si>
  <si>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</si>
  <si>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</si>
  <si>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</si>
  <si>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</si>
  <si>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</si>
  <si>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</si>
  <si>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</si>
  <si>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</si>
  <si>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</si>
  <si>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</si>
  <si>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</si>
  <si>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</si>
  <si>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</si>
  <si>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</si>
  <si>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</si>
  <si>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</si>
  <si>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</si>
  <si>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</si>
  <si>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</si>
  <si>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</si>
  <si>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</si>
  <si>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</si>
  <si>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</si>
  <si>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</si>
  <si>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</si>
  <si>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</si>
  <si>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</si>
  <si>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</si>
  <si>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</si>
  <si>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</si>
  <si>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</si>
  <si>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</si>
  <si>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</si>
  <si>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</si>
  <si>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</si>
  <si>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</si>
  <si>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</si>
  <si>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</si>
  <si>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</si>
  <si>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</si>
  <si>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</si>
  <si>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</si>
  <si>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</si>
  <si>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</si>
  <si>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</si>
  <si>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</si>
  <si>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</si>
  <si>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</si>
  <si>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</si>
  <si>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</si>
  <si>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</si>
  <si>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</si>
  <si>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</si>
  <si>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</si>
  <si>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</si>
  <si>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</si>
  <si>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</si>
  <si>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</si>
  <si>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</si>
  <si>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</si>
  <si>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</si>
  <si>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</si>
  <si>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</si>
  <si>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</si>
  <si>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</si>
  <si>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</si>
  <si>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</si>
  <si>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</si>
  <si>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</si>
  <si>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</si>
  <si>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</si>
  <si>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</si>
  <si>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</si>
  <si>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</si>
  <si>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</si>
  <si>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</si>
  <si>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</si>
  <si>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</si>
  <si>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</si>
  <si>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</si>
  <si>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</si>
  <si>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</si>
  <si>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</si>
  <si>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</si>
  <si>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</si>
  <si>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</si>
  <si>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</si>
  <si>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</si>
  <si>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</si>
  <si>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</si>
  <si>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</si>
  <si>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</si>
  <si>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</si>
  <si>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</si>
  <si>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</si>
  <si>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</si>
  <si>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</si>
  <si>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</si>
  <si>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</si>
  <si>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</si>
  <si>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</si>
  <si>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</si>
  <si>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</si>
  <si>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</si>
  <si>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</si>
  <si>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</si>
  <si>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</si>
  <si>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</si>
  <si>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</si>
  <si>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</si>
  <si>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</si>
  <si>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</si>
  <si>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</si>
  <si>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</si>
  <si>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</si>
  <si>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</si>
  <si>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</si>
  <si>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</si>
  <si>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</si>
  <si>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</si>
  <si>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</si>
  <si>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</si>
  <si>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</si>
  <si>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</si>
  <si>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</si>
  <si>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</si>
  <si>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</si>
  <si>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</si>
  <si>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</si>
  <si>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</si>
  <si>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</si>
  <si>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</si>
  <si>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</si>
  <si>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</si>
  <si>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</si>
  <si>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</si>
  <si>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</si>
  <si>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</si>
  <si>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</si>
  <si>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</si>
  <si>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</si>
  <si>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</si>
  <si>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</si>
  <si>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</si>
  <si>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</si>
  <si>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</si>
  <si>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</si>
  <si>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</si>
  <si>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</si>
  <si>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</si>
  <si>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</si>
  <si>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</si>
  <si>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</si>
  <si>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</si>
  <si>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</si>
  <si>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</si>
  <si>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</si>
  <si>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</si>
  <si>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</si>
  <si>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</si>
  <si>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</si>
  <si>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</si>
  <si>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</si>
  <si>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</si>
  <si>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</si>
  <si>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</si>
  <si>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</si>
  <si>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</si>
  <si>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</si>
  <si>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</si>
  <si>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</si>
  <si>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</si>
  <si>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</si>
  <si>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</si>
  <si>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</si>
  <si>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</si>
  <si>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</si>
  <si>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</si>
  <si>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</si>
  <si>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</si>
  <si>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</si>
  <si>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</si>
  <si>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</si>
  <si>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</si>
  <si>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</si>
  <si>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</si>
  <si>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</si>
  <si>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</si>
  <si>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</si>
  <si>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</si>
  <si>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</si>
  <si>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</si>
  <si>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</si>
  <si>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</si>
  <si>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</si>
  <si>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</si>
  <si>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</si>
  <si>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</si>
  <si>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</si>
  <si>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</si>
  <si>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</si>
  <si>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</si>
  <si>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</si>
  <si>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</si>
  <si>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</si>
  <si>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</si>
  <si>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</si>
  <si>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</si>
  <si>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</si>
  <si>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</si>
  <si>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</si>
  <si>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</si>
  <si>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</si>
  <si>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</si>
  <si>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</si>
  <si>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</si>
  <si>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</si>
  <si>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</si>
  <si>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</si>
  <si>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</si>
  <si>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</si>
  <si>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</si>
  <si>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</si>
  <si>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</si>
  <si>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</si>
  <si>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</si>
  <si>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</si>
  <si>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</si>
  <si>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</si>
  <si>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</si>
  <si>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</si>
  <si>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</si>
  <si>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</si>
  <si>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</si>
  <si>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</si>
  <si>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</si>
  <si>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</si>
  <si>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</si>
  <si>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</si>
  <si>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</si>
  <si>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</si>
  <si>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</si>
  <si>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</si>
  <si>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</si>
  <si>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</si>
  <si>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</si>
  <si>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</si>
  <si>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</si>
  <si>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</si>
  <si>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</si>
  <si>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</si>
  <si>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</si>
  <si>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</si>
  <si>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</si>
  <si>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</si>
  <si>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</si>
  <si>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</si>
  <si>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</si>
  <si>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</si>
  <si>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</si>
  <si>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</si>
  <si>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</si>
  <si>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</si>
  <si>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</si>
  <si>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</si>
  <si>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</si>
  <si>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</si>
  <si>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</si>
  <si>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</si>
  <si>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</si>
  <si>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</si>
  <si>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</si>
  <si>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</si>
  <si>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</si>
  <si>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</si>
  <si>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</si>
  <si>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</si>
  <si>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</si>
  <si>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</si>
  <si>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</si>
  <si>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</si>
  <si>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</si>
  <si>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</si>
  <si>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</si>
  <si>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</si>
  <si>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</si>
  <si>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</si>
  <si>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</si>
  <si>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</si>
  <si>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</si>
  <si>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</si>
  <si>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</si>
  <si>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</si>
  <si>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</si>
  <si>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</si>
  <si>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</si>
  <si>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</si>
  <si>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</si>
  <si>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</si>
  <si>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</si>
  <si>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</si>
  <si>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</si>
  <si>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</si>
  <si>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</si>
  <si>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</si>
  <si>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</si>
  <si>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</si>
  <si>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</si>
  <si>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</si>
  <si>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</si>
  <si>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</si>
  <si>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</si>
  <si>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</si>
  <si>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</si>
  <si>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</si>
  <si>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</si>
  <si>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</si>
  <si>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</si>
  <si>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</si>
  <si>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</si>
  <si>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</si>
  <si>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</si>
  <si>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</si>
  <si>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</si>
  <si>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</si>
  <si>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</si>
  <si>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</si>
  <si>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</si>
  <si>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</si>
  <si>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</si>
  <si>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</si>
  <si>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</si>
  <si>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</si>
  <si>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</si>
  <si>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</si>
  <si>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</si>
  <si>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</si>
  <si>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</si>
  <si>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</si>
  <si>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</si>
  <si>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</si>
  <si>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</si>
  <si>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</si>
  <si>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</si>
  <si>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</si>
  <si>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</si>
  <si>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</si>
  <si>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</si>
  <si>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</si>
  <si>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</si>
  <si>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</si>
  <si>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</si>
  <si>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</si>
  <si>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</si>
  <si>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</si>
  <si>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</si>
  <si>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</si>
  <si>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</si>
  <si>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</si>
  <si>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</si>
  <si>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</si>
  <si>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</si>
  <si>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</si>
  <si>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</si>
  <si>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</si>
  <si>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</si>
  <si>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</si>
  <si>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</si>
  <si>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</si>
  <si>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</si>
  <si>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</si>
  <si>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</si>
  <si>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</si>
  <si>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</si>
  <si>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</si>
  <si>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</si>
  <si>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</si>
  <si>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</si>
  <si>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</si>
  <si>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</si>
  <si>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</si>
  <si>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</si>
  <si>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</si>
  <si>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</si>
  <si>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</si>
  <si>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</si>
  <si>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</si>
  <si>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</si>
  <si>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</si>
  <si>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</si>
  <si>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</si>
  <si>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</si>
  <si>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</si>
  <si>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</si>
  <si>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</si>
  <si>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</si>
  <si>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</si>
  <si>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</si>
  <si>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</si>
  <si>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</si>
  <si>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</si>
  <si>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</si>
  <si>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</si>
  <si>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</si>
  <si>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</si>
  <si>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</si>
  <si>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</si>
  <si>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</si>
  <si>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</si>
  <si>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</si>
  <si>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</si>
  <si>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</si>
  <si>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</si>
  <si>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</si>
  <si>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</si>
  <si>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</si>
  <si>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</si>
  <si>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</si>
  <si>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</si>
  <si>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</si>
  <si>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</si>
  <si>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</si>
  <si>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</si>
  <si>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</si>
  <si>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</si>
  <si>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</si>
  <si>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</si>
  <si>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</si>
  <si>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</si>
  <si>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</si>
  <si>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</si>
  <si>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</si>
  <si>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</si>
  <si>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</si>
  <si>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</si>
  <si>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</si>
  <si>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</si>
  <si>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</si>
  <si>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</si>
  <si>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</si>
  <si>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</si>
  <si>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</si>
  <si>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</si>
  <si>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</si>
  <si>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</si>
  <si>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</si>
  <si>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</si>
  <si>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</si>
  <si>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</si>
  <si>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</si>
  <si>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</si>
  <si>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</si>
  <si>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</si>
  <si>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</si>
  <si>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</si>
  <si>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</si>
  <si>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</si>
  <si>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</si>
  <si>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</si>
  <si>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</si>
  <si>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</si>
  <si>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</si>
  <si>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</si>
  <si>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</si>
  <si>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</si>
  <si>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</si>
  <si>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</si>
  <si>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</si>
  <si>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</si>
  <si>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</si>
  <si>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</si>
  <si>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</si>
  <si>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</si>
  <si>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</si>
  <si>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</si>
  <si>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</si>
  <si>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</si>
  <si>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</si>
  <si>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</si>
  <si>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</si>
  <si>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</si>
  <si>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</si>
  <si>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</si>
  <si>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</si>
  <si>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</si>
  <si>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</si>
  <si>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</si>
  <si>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</si>
  <si>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</si>
  <si>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</si>
  <si>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</si>
  <si>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</si>
  <si>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</si>
  <si>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</si>
  <si>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</si>
  <si>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</si>
  <si>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</si>
  <si>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</si>
  <si>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</si>
  <si>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</si>
  <si>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</si>
  <si>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</si>
  <si>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</si>
  <si>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</si>
  <si>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</si>
  <si>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</si>
  <si>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</si>
  <si>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</si>
  <si>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</si>
  <si>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</si>
  <si>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</si>
  <si>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</si>
  <si>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</si>
  <si>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</si>
  <si>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</si>
  <si>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</si>
  <si>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</si>
  <si>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</si>
  <si>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</si>
  <si>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</si>
  <si>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</si>
  <si>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</si>
  <si>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</si>
  <si>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</si>
  <si>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</si>
  <si>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</si>
  <si>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</si>
  <si>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</si>
  <si>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</si>
  <si>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</si>
  <si>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</si>
  <si>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</si>
  <si>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</si>
  <si>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</si>
  <si>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</si>
  <si>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</si>
  <si>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</si>
  <si>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</si>
  <si>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</si>
  <si>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</si>
  <si>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</si>
  <si>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</si>
  <si>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</si>
  <si>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</si>
  <si>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</si>
  <si>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</si>
  <si>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</si>
  <si>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</si>
  <si>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</si>
  <si>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</si>
  <si>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</si>
  <si>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</si>
  <si>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</si>
  <si>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</si>
  <si>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</si>
  <si>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</si>
  <si>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</si>
  <si>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</si>
  <si>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</si>
  <si>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</si>
  <si>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</si>
  <si>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</si>
  <si>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</si>
  <si>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</si>
  <si>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</si>
  <si>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</si>
  <si>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</si>
  <si>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</si>
  <si>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</si>
  <si>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</si>
  <si>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</si>
  <si>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</si>
  <si>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</si>
  <si>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</si>
  <si>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</si>
  <si>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</si>
  <si>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</si>
  <si>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</si>
  <si>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</si>
  <si>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</si>
  <si>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</si>
  <si>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</si>
  <si>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</si>
  <si>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</si>
  <si>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</si>
  <si>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</si>
  <si>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</si>
  <si>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</si>
  <si>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</si>
  <si>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</si>
  <si>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</si>
  <si>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</si>
  <si>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</si>
  <si>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</si>
  <si>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</si>
  <si>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</si>
  <si>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</si>
  <si>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</si>
  <si>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</si>
  <si>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</si>
  <si>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</si>
  <si>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</si>
  <si>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</si>
  <si>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</si>
  <si>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</si>
  <si>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</si>
  <si>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</si>
  <si>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</si>
  <si>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</si>
  <si>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</si>
  <si>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</si>
  <si>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</si>
  <si>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</si>
  <si>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</si>
  <si>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</si>
  <si>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</si>
  <si>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</si>
  <si>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</si>
  <si>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</si>
  <si>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</si>
  <si>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</si>
  <si>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</si>
  <si>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</si>
  <si>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</si>
  <si>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</si>
  <si>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</si>
  <si>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</si>
  <si>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</si>
  <si>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</si>
  <si>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</si>
  <si>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</si>
  <si>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</si>
  <si>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</si>
  <si>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</si>
  <si>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</si>
  <si>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</si>
  <si>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</si>
  <si>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</si>
  <si>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</si>
  <si>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</si>
  <si>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</si>
  <si>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</si>
  <si>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</si>
  <si>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</si>
  <si>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</si>
  <si>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</si>
  <si>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</si>
  <si>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</si>
  <si>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</si>
  <si>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</si>
  <si>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</si>
  <si>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</si>
  <si>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</si>
  <si>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</si>
  <si>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</si>
  <si>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</si>
  <si>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</si>
  <si>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</si>
  <si>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</si>
  <si>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</si>
  <si>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</si>
  <si>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</si>
  <si>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</si>
  <si>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</si>
  <si>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</si>
  <si>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</si>
  <si>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</si>
  <si>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</si>
  <si>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</si>
  <si>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</si>
  <si>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</si>
  <si>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</si>
  <si>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</si>
  <si>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</si>
  <si>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</si>
  <si>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</si>
  <si>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</si>
  <si>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</si>
  <si>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</si>
  <si>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</si>
  <si>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</si>
  <si>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</si>
  <si>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</si>
  <si>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</si>
  <si>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</si>
  <si>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</si>
  <si>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</si>
  <si>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</si>
  <si>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</si>
  <si>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</si>
  <si>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</si>
  <si>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</si>
  <si>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</si>
  <si>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</si>
  <si>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</si>
  <si>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</si>
  <si>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</si>
  <si>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</si>
  <si>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</si>
  <si>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</si>
  <si>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</si>
  <si>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</si>
  <si>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</si>
  <si>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</si>
  <si>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</si>
  <si>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</si>
  <si>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</si>
  <si>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</si>
  <si>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</si>
  <si>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</si>
  <si>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</si>
  <si>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</si>
  <si>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</si>
  <si>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</si>
  <si>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</si>
  <si>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</si>
  <si>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</si>
  <si>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</si>
  <si>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</si>
  <si>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</si>
  <si>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</si>
  <si>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</si>
  <si>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</si>
  <si>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</si>
  <si>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</si>
  <si>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</si>
  <si>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</si>
  <si>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</si>
  <si>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</si>
  <si>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</si>
  <si>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</si>
  <si>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</si>
  <si>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</si>
  <si>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</si>
  <si>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</si>
  <si>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</si>
  <si>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</si>
  <si>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</si>
  <si>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</si>
  <si>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</si>
  <si>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</si>
  <si>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</si>
  <si>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</si>
  <si>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</si>
  <si>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</si>
  <si>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</si>
  <si>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</si>
  <si>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</si>
  <si>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</si>
  <si>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</si>
  <si>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</si>
  <si>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</si>
  <si>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</si>
  <si>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</si>
  <si>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</si>
  <si>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</si>
  <si>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</si>
  <si>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</si>
  <si>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</si>
  <si>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</si>
  <si>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</si>
  <si>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</si>
  <si>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</si>
  <si>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</si>
  <si>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</si>
  <si>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</si>
  <si>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</si>
  <si>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</si>
  <si>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</si>
  <si>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</si>
  <si>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</si>
  <si>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</si>
  <si>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</si>
  <si>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</si>
  <si>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</si>
  <si>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</si>
  <si>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</si>
  <si>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</si>
  <si>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</si>
  <si>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</si>
  <si>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</si>
  <si>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</si>
  <si>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</si>
  <si>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</si>
  <si>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</si>
  <si>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</si>
  <si>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</si>
  <si>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</si>
  <si>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</si>
  <si>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</si>
  <si>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</si>
  <si>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</si>
  <si>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</si>
  <si>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</si>
  <si>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</si>
  <si>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</si>
  <si>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</si>
  <si>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</si>
  <si>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</si>
  <si>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</si>
  <si>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</si>
  <si>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</si>
  <si>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</si>
  <si>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</si>
  <si>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</si>
  <si>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</si>
  <si>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</si>
  <si>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</si>
  <si>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</si>
  <si>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</si>
  <si>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</si>
  <si>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</si>
  <si>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</si>
  <si>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</si>
  <si>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</si>
  <si>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</si>
  <si>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</si>
  <si>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</si>
  <si>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</si>
  <si>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</si>
  <si>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</si>
  <si>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</si>
  <si>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</si>
  <si>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</si>
  <si>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</si>
  <si>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</si>
  <si>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</si>
  <si>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</si>
  <si>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</si>
  <si>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</si>
  <si>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</si>
  <si>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</si>
  <si>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</si>
  <si>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</si>
  <si>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</si>
  <si>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</si>
  <si>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</si>
  <si>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</si>
  <si>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</si>
  <si>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</si>
  <si>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</si>
  <si>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</si>
  <si>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</si>
  <si>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</si>
  <si>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</si>
  <si>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</si>
  <si>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</si>
  <si>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</si>
  <si>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</si>
  <si>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</si>
  <si>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</si>
  <si>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</si>
  <si>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</si>
  <si>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</si>
  <si>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</si>
  <si>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</si>
  <si>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</si>
  <si>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</si>
  <si>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</si>
  <si>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</si>
  <si>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</si>
  <si>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</si>
  <si>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</si>
  <si>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</si>
  <si>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</si>
  <si>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</si>
  <si>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</si>
  <si>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</si>
  <si>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</si>
  <si>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</si>
  <si>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</si>
  <si>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</si>
  <si>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</si>
  <si>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</si>
  <si>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</si>
  <si>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</si>
  <si>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</si>
  <si>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</si>
  <si>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</si>
  <si>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</si>
  <si>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</si>
  <si>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</si>
  <si>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</si>
  <si>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</si>
  <si>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</si>
  <si>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</si>
  <si>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</si>
  <si>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</si>
  <si>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</si>
  <si>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</si>
  <si>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</si>
  <si>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</si>
  <si>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</si>
  <si>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</si>
  <si>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</si>
  <si>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</si>
  <si>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</si>
  <si>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</si>
  <si>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</si>
  <si>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</si>
  <si>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</si>
  <si>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</si>
  <si>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</si>
  <si>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</si>
  <si>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</si>
  <si>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</si>
  <si>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</si>
  <si>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</si>
  <si>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</si>
  <si>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</si>
  <si>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</si>
  <si>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</si>
  <si>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</si>
  <si>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</si>
  <si>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</si>
  <si>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</si>
  <si>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</si>
  <si>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</si>
  <si>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</si>
  <si>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</si>
  <si>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</si>
  <si>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</si>
  <si>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</si>
  <si>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</si>
  <si>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</si>
  <si>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</si>
  <si>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</si>
  <si>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</si>
  <si>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</si>
  <si>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</si>
  <si>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</si>
  <si>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</si>
  <si>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</si>
  <si>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</si>
  <si>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</si>
  <si>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</si>
  <si>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</si>
  <si>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</si>
  <si>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</si>
  <si>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</si>
  <si>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</si>
  <si>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</si>
  <si>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</si>
  <si>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</si>
  <si>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</si>
  <si>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</si>
  <si>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</si>
  <si>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</si>
  <si>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</si>
  <si>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</si>
  <si>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</si>
  <si>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</si>
  <si>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</si>
  <si>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</si>
  <si>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</si>
  <si>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</si>
  <si>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</si>
  <si>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</si>
  <si>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</si>
  <si>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</si>
  <si>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</si>
  <si>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</si>
  <si>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</si>
  <si>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</si>
  <si>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</si>
  <si>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</si>
  <si>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</si>
  <si>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</si>
  <si>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</si>
  <si>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</si>
  <si>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</si>
  <si>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</si>
  <si>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</si>
  <si>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</si>
  <si>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</si>
  <si>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</si>
  <si>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</si>
  <si>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</si>
  <si>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</si>
  <si>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</si>
  <si>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</si>
  <si>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</si>
  <si>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</si>
  <si>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</si>
  <si>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</si>
  <si>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</si>
  <si>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</si>
  <si>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</si>
  <si>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</si>
  <si>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</si>
  <si>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</si>
  <si>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</si>
  <si>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</si>
  <si>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</si>
  <si>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</si>
  <si>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</si>
  <si>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</si>
  <si>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</si>
  <si>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</si>
  <si>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</si>
  <si>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</si>
  <si>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</si>
  <si>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</si>
  <si>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</si>
  <si>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</si>
  <si>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</si>
  <si>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</si>
  <si>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</si>
  <si>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</si>
  <si>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</si>
  <si>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</si>
  <si>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</si>
  <si>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</si>
  <si>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</si>
  <si>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</si>
  <si>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</si>
  <si>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</si>
  <si>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</si>
  <si>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</si>
  <si>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</si>
  <si>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</si>
  <si>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</si>
  <si>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</si>
  <si>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</si>
  <si>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</si>
  <si>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</si>
  <si>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</si>
  <si>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</si>
  <si>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</si>
  <si>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</si>
  <si>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</si>
  <si>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</si>
  <si>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</si>
  <si>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</si>
  <si>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</si>
  <si>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</si>
  <si>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</si>
  <si>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</si>
  <si>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</si>
  <si>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</si>
  <si>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</si>
  <si>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</si>
  <si>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</si>
  <si>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</si>
  <si>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</si>
  <si>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</si>
  <si>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</si>
  <si>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</si>
  <si>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</si>
  <si>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</si>
  <si>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</si>
  <si>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</si>
  <si>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</si>
  <si>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</si>
  <si>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</si>
  <si>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</si>
  <si>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</si>
  <si>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</si>
  <si>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</si>
  <si>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</si>
  <si>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</si>
  <si>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</si>
  <si>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</si>
  <si>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</si>
  <si>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</si>
  <si>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</si>
  <si>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</si>
  <si>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</si>
  <si>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</si>
  <si>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</si>
  <si>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</si>
  <si>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</si>
  <si>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</si>
  <si>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</si>
  <si>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</si>
  <si>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</si>
  <si>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</si>
  <si>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</si>
  <si>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</si>
  <si>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</si>
  <si>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</si>
  <si>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</si>
  <si>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</si>
  <si>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</si>
  <si>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</si>
  <si>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</si>
  <si>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</si>
  <si>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</si>
  <si>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</si>
  <si>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</si>
  <si>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</si>
  <si>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</si>
  <si>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</si>
  <si>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</si>
  <si>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</si>
  <si>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</si>
  <si>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</si>
  <si>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</si>
  <si>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</si>
  <si>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</si>
  <si>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</si>
  <si>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</si>
  <si>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</si>
  <si>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</si>
  <si>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</si>
  <si>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</si>
  <si>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</si>
  <si>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</si>
  <si>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</si>
  <si>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</si>
  <si>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</si>
  <si>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</si>
  <si>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</si>
  <si>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</si>
  <si>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</si>
  <si>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</si>
  <si>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</si>
  <si>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</si>
  <si>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</si>
  <si>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</si>
  <si>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</si>
  <si>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</si>
  <si>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</si>
  <si>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</si>
  <si>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</si>
  <si>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</si>
  <si>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</si>
  <si>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</si>
  <si>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</si>
  <si>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</si>
  <si>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</si>
  <si>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</si>
  <si>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</si>
  <si>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</si>
  <si>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</si>
  <si>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</si>
  <si>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</si>
  <si>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</si>
  <si>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</si>
  <si>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</si>
  <si>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</si>
  <si>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</si>
  <si>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</si>
  <si>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</si>
  <si>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</si>
  <si>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</si>
  <si>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</si>
  <si>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</si>
  <si>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</si>
  <si>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</si>
  <si>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</si>
  <si>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</si>
  <si>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</si>
  <si>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</si>
  <si>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</si>
  <si>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</si>
  <si>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</si>
  <si>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</si>
  <si>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</si>
  <si>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</si>
  <si>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</si>
  <si>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</si>
  <si>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</si>
  <si>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</si>
  <si>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</si>
  <si>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</si>
  <si>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</si>
  <si>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</si>
  <si>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</si>
  <si>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</si>
  <si>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</si>
  <si>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</si>
  <si>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</si>
  <si>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</si>
  <si>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</si>
  <si>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</si>
  <si>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</si>
  <si>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</si>
  <si>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</si>
  <si>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</si>
  <si>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</si>
  <si>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</si>
  <si>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</si>
  <si>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</si>
  <si>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</si>
  <si>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</si>
  <si>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</si>
  <si>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</si>
  <si>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</si>
  <si>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</si>
  <si>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</si>
  <si>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</si>
  <si>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</si>
  <si>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</si>
  <si>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</si>
  <si>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</si>
  <si>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</si>
  <si>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</si>
  <si>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</si>
  <si>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</si>
  <si>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</si>
  <si>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</si>
  <si>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</si>
  <si>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</si>
  <si>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</si>
  <si>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</si>
  <si>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</si>
  <si>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</si>
  <si>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</si>
  <si>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</si>
  <si>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</si>
  <si>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</si>
  <si>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</si>
  <si>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</si>
  <si>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</si>
  <si>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</si>
  <si>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</si>
  <si>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</si>
  <si>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</si>
  <si>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</si>
  <si>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</si>
  <si>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</si>
  <si>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</si>
  <si>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</si>
  <si>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</si>
  <si>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</si>
  <si>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</si>
  <si>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</si>
  <si>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</si>
  <si>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</si>
  <si>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</si>
  <si>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</si>
  <si>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</si>
  <si>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</si>
  <si>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</si>
  <si>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</si>
  <si>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</si>
  <si>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</si>
  <si>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</si>
  <si>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</si>
  <si>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</si>
  <si>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</si>
  <si>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</si>
  <si>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</si>
  <si>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</si>
  <si>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</si>
  <si>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</si>
  <si>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</si>
  <si>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</si>
  <si>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</si>
  <si>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</si>
  <si>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</si>
  <si>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</si>
  <si>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</si>
  <si>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</si>
  <si>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</si>
  <si>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</si>
  <si>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</si>
  <si>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</si>
  <si>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</si>
  <si>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</si>
  <si>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</si>
  <si>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</si>
  <si>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</si>
  <si>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</si>
  <si>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</si>
  <si>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</si>
  <si>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</si>
  <si>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</si>
  <si>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</si>
  <si>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</si>
  <si>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</si>
  <si>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</si>
  <si>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</si>
  <si>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</si>
  <si>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</si>
  <si>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</si>
  <si>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</si>
  <si>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</si>
  <si>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</si>
  <si>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</si>
  <si>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</si>
  <si>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</si>
  <si>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</si>
  <si>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</si>
  <si>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</si>
  <si>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</si>
  <si>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</si>
  <si>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</si>
  <si>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</si>
  <si>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</si>
  <si>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</si>
  <si>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</si>
  <si>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</si>
  <si>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</si>
  <si>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</si>
  <si>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</si>
  <si>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</si>
  <si>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</si>
  <si>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</si>
  <si>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</si>
  <si>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</si>
  <si>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</si>
  <si>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</si>
  <si>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</si>
  <si>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</si>
  <si>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</si>
  <si>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</si>
  <si>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</si>
  <si>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</si>
  <si>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</si>
  <si>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</si>
  <si>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</si>
  <si>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</si>
  <si>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</si>
  <si>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</si>
  <si>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</si>
  <si>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</si>
  <si>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</si>
  <si>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</si>
  <si>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</si>
  <si>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</si>
  <si>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</si>
  <si>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</si>
  <si>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</si>
  <si>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</si>
  <si>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</si>
  <si>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</si>
  <si>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</si>
  <si>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</si>
  <si>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</si>
  <si>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</si>
  <si>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</si>
  <si>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</si>
  <si>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</si>
  <si>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</si>
  <si>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</si>
  <si>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</si>
  <si>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</si>
  <si>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</si>
  <si>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</si>
  <si>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</si>
  <si>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</si>
  <si>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</si>
  <si>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</si>
  <si>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</si>
  <si>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</si>
  <si>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</si>
  <si>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</si>
  <si>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</si>
  <si>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</si>
  <si>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</si>
  <si>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</si>
  <si>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</si>
  <si>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</si>
  <si>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</si>
  <si>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</si>
  <si>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</si>
  <si>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</si>
  <si>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</si>
  <si>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</si>
  <si>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</si>
  <si>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</si>
  <si>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</si>
  <si>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</si>
  <si>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</si>
  <si>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</si>
  <si>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</si>
  <si>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</si>
  <si>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</si>
  <si>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</si>
  <si>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</si>
  <si>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</si>
  <si>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</si>
  <si>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</si>
  <si>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</si>
  <si>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</si>
  <si>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</si>
  <si>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</si>
  <si>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</si>
  <si>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</si>
  <si>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</si>
  <si>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</si>
  <si>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</si>
  <si>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</si>
  <si>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</si>
  <si>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</si>
  <si>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</si>
  <si>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</si>
  <si>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</si>
  <si>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</si>
  <si>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</si>
  <si>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</si>
  <si>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</si>
  <si>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</si>
  <si>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</si>
  <si>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</si>
  <si>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</si>
  <si>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</si>
  <si>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</si>
  <si>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</si>
  <si>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</si>
  <si>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</si>
  <si>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</si>
  <si>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</si>
  <si>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</si>
  <si>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</si>
  <si>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</si>
  <si>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</si>
  <si>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</si>
  <si>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</si>
  <si>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</si>
  <si>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</si>
  <si>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</si>
  <si>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</si>
  <si>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</si>
  <si>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</si>
  <si>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</si>
  <si>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</si>
  <si>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</si>
  <si>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</si>
  <si>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</si>
  <si>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</si>
  <si>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</si>
  <si>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</si>
  <si>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</si>
  <si>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</si>
  <si>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</si>
  <si>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</si>
  <si>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</si>
  <si>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</si>
  <si>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</si>
  <si>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</si>
  <si>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</si>
  <si>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</si>
  <si>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</si>
  <si>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</si>
  <si>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</si>
  <si>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</si>
  <si>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</si>
  <si>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</si>
  <si>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</si>
  <si>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</si>
  <si>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</si>
  <si>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</si>
  <si>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</si>
  <si>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</si>
  <si>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</si>
  <si>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</si>
  <si>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</si>
  <si>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</si>
  <si>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</si>
  <si>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</si>
  <si>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</si>
  <si>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</si>
  <si>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</si>
  <si>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</si>
  <si>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</si>
  <si>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</si>
  <si>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</si>
  <si>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</si>
  <si>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</si>
  <si>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</si>
  <si>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</si>
  <si>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</si>
  <si>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</si>
  <si>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</si>
  <si>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</si>
  <si>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</si>
  <si>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</si>
  <si>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</si>
  <si>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</si>
  <si>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</si>
  <si>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</si>
  <si>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</si>
  <si>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</si>
  <si>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</si>
  <si>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</si>
  <si>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</si>
  <si>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</si>
  <si>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</si>
  <si>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</si>
  <si>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</si>
  <si>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</si>
  <si>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</si>
  <si>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</si>
  <si>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</si>
  <si>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</si>
  <si>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</si>
  <si>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</si>
  <si>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</si>
  <si>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</si>
  <si>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</si>
  <si>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</si>
  <si>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</si>
  <si>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</si>
  <si>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</si>
  <si>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</si>
  <si>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</si>
  <si>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</si>
  <si>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</si>
  <si>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</si>
  <si>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</si>
  <si>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</si>
  <si>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</si>
  <si>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</si>
  <si>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</si>
  <si>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</si>
  <si>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</si>
  <si>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</si>
  <si>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</si>
  <si>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</si>
  <si>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</si>
  <si>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</si>
  <si>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</si>
  <si>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</si>
  <si>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</si>
  <si>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</si>
  <si>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</si>
  <si>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</si>
  <si>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</si>
  <si>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</si>
  <si>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</si>
  <si>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</si>
  <si>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</si>
  <si>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</si>
  <si>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</si>
  <si>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</si>
  <si>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</si>
  <si>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</si>
  <si>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</si>
  <si>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</si>
  <si>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</si>
  <si>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</si>
  <si>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</si>
  <si>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</si>
  <si>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</si>
  <si>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</si>
  <si>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</si>
  <si>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</si>
  <si>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</si>
  <si>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</si>
  <si>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</si>
  <si>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</si>
  <si>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</si>
  <si>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</si>
  <si>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</si>
  <si>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</si>
  <si>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</si>
  <si>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</si>
  <si>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</si>
  <si>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</si>
  <si>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</si>
  <si>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</si>
  <si>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</si>
  <si>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</si>
  <si>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</si>
  <si>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</si>
  <si>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</si>
  <si>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</si>
  <si>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</si>
  <si>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</si>
  <si>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</si>
  <si>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</si>
  <si>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</si>
  <si>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</si>
  <si>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</si>
  <si>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</si>
  <si>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</si>
  <si>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</si>
  <si>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</si>
  <si>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</si>
  <si>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</si>
  <si>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</si>
  <si>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</si>
  <si>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</si>
  <si>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</si>
  <si>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</si>
  <si>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</si>
  <si>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</si>
  <si>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</si>
  <si>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</si>
  <si>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</si>
  <si>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</si>
  <si>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</si>
  <si>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</si>
  <si>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</si>
  <si>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</si>
  <si>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</si>
  <si>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</si>
  <si>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</si>
  <si>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</si>
  <si>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</si>
  <si>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</si>
  <si>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</si>
  <si>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</si>
  <si>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</si>
  <si>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</si>
  <si>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</si>
  <si>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</si>
  <si>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</si>
  <si>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</si>
  <si>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</si>
  <si>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</si>
  <si>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</si>
  <si>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</si>
  <si>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</si>
  <si>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</si>
  <si>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</si>
  <si>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</si>
  <si>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</si>
  <si>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</si>
  <si>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</si>
  <si>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</si>
  <si>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</si>
  <si>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</si>
  <si>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</si>
  <si>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</si>
  <si>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</si>
  <si>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</si>
  <si>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</si>
  <si>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</si>
  <si>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</si>
  <si>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</si>
  <si>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</si>
  <si>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</si>
  <si>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</si>
  <si>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</si>
  <si>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</si>
  <si>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</si>
  <si>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</si>
  <si>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</si>
  <si>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</si>
  <si>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</si>
  <si>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</si>
  <si>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</si>
  <si>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</si>
  <si>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</si>
  <si>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</si>
  <si>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</si>
  <si>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</si>
  <si>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</si>
  <si>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</si>
  <si>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</si>
  <si>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</si>
  <si>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</si>
  <si>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</si>
  <si>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</si>
  <si>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</si>
  <si>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</si>
  <si>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</si>
  <si>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</si>
  <si>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</si>
  <si>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</si>
  <si>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</si>
  <si>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</si>
  <si>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</si>
  <si>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</si>
  <si>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</si>
  <si>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</si>
  <si>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</si>
  <si>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</si>
  <si>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</si>
  <si>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</si>
  <si>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</si>
  <si>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</si>
  <si>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</si>
  <si>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</si>
  <si>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</si>
  <si>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</si>
  <si>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</si>
  <si>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</si>
  <si>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</si>
  <si>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</si>
  <si>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</si>
  <si>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</si>
  <si>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</si>
  <si>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</si>
  <si>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</si>
  <si>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</si>
  <si>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</si>
  <si>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</si>
  <si>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</si>
  <si>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</si>
  <si>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</si>
  <si>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</si>
  <si>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</si>
  <si>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</si>
  <si>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</si>
  <si>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</si>
  <si>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</si>
  <si>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</si>
  <si>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</si>
  <si>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</si>
  <si>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</si>
  <si>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</si>
  <si>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</si>
  <si>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</si>
  <si>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</si>
  <si>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</si>
  <si>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</si>
  <si>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</si>
  <si>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</si>
  <si>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</si>
  <si>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</si>
  <si>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</si>
  <si>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</si>
  <si>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</si>
  <si>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</si>
  <si>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</si>
  <si>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</si>
  <si>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</si>
  <si>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</si>
  <si>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</si>
  <si>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</si>
  <si>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</si>
  <si>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</si>
  <si>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</si>
  <si>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</si>
  <si>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</si>
  <si>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</si>
  <si>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</si>
  <si>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</si>
  <si>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</si>
  <si>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</si>
  <si>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</si>
  <si>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</si>
  <si>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</si>
  <si>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</si>
  <si>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</si>
  <si>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</si>
  <si>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</si>
  <si>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</si>
  <si>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</si>
  <si>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</si>
  <si>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</si>
  <si>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</si>
  <si>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</si>
  <si>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</si>
  <si>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</si>
  <si>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</si>
  <si>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</si>
  <si>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</si>
  <si>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</si>
  <si>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</si>
  <si>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</si>
  <si>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</si>
  <si>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</si>
  <si>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</si>
  <si>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</si>
  <si>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</si>
  <si>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</si>
  <si>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</si>
  <si>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</si>
  <si>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</si>
  <si>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</si>
  <si>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</si>
  <si>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</si>
  <si>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</si>
  <si>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</si>
  <si>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</si>
  <si>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</si>
  <si>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</si>
  <si>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</si>
  <si>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</si>
  <si>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</si>
  <si>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</si>
  <si>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</si>
  <si>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</si>
  <si>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</si>
  <si>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</si>
  <si>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</si>
  <si>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</si>
  <si>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</si>
  <si>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</si>
  <si>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</si>
  <si>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</si>
  <si>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</si>
  <si>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</si>
  <si>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</si>
  <si>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</si>
  <si>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</si>
  <si>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</si>
  <si>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</si>
  <si>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</si>
  <si>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</si>
  <si>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</si>
  <si>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</si>
  <si>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</si>
  <si>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</si>
  <si>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</si>
  <si>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</si>
  <si>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</si>
  <si>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</si>
  <si>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</si>
  <si>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</si>
  <si>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</si>
  <si>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</si>
  <si>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</si>
  <si>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</si>
  <si>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</si>
  <si>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</si>
  <si>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</si>
  <si>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</si>
  <si>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</si>
  <si>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</si>
  <si>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</si>
  <si>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</si>
  <si>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</si>
  <si>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</si>
  <si>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</si>
  <si>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</si>
  <si>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</si>
  <si>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</si>
  <si>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</si>
  <si>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</si>
  <si>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</si>
  <si>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</si>
  <si>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</si>
  <si>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</si>
  <si>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</si>
  <si>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</si>
  <si>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</si>
  <si>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</si>
  <si>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</si>
  <si>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</si>
  <si>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</si>
  <si>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</si>
  <si>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</si>
  <si>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</si>
  <si>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</si>
  <si>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</si>
  <si>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</si>
  <si>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</si>
  <si>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</si>
  <si>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</si>
  <si>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</si>
  <si>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</si>
  <si>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</si>
  <si>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</si>
  <si>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</si>
  <si>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</si>
  <si>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</si>
  <si>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</si>
  <si>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</si>
  <si>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</si>
  <si>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</si>
  <si>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</si>
  <si>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</si>
  <si>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</si>
  <si>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</si>
  <si>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</si>
  <si>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</si>
  <si>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</si>
  <si>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</si>
  <si>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</si>
  <si>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</si>
  <si>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</si>
  <si>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</si>
  <si>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</si>
  <si>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</si>
  <si>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</si>
  <si>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</si>
  <si>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</si>
  <si>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</si>
  <si>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</si>
  <si>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</si>
  <si>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</si>
  <si>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</si>
  <si>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</si>
  <si>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</si>
  <si>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</si>
  <si>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</si>
  <si>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</si>
  <si>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</si>
  <si>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</si>
  <si>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</si>
  <si>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</si>
  <si>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</si>
  <si>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</si>
  <si>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</si>
  <si>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</si>
  <si>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</si>
  <si>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</si>
  <si>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</si>
  <si>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</si>
  <si>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</si>
  <si>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</si>
  <si>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</si>
  <si>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</si>
  <si>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</si>
  <si>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</si>
  <si>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</si>
  <si>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</si>
  <si>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</si>
  <si>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</si>
  <si>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</si>
  <si>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</si>
  <si>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</si>
  <si>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</si>
  <si>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</si>
  <si>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</si>
  <si>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</si>
  <si>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</si>
  <si>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</si>
  <si>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</si>
  <si>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</si>
  <si>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</si>
  <si>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</si>
  <si>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</si>
  <si>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</si>
  <si>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</si>
  <si>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</si>
  <si>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</si>
  <si>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</si>
  <si>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</si>
  <si>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</si>
  <si>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</si>
  <si>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</si>
  <si>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</si>
  <si>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</si>
  <si>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</si>
  <si>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</si>
  <si>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</si>
  <si>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</si>
  <si>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</si>
  <si>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</si>
  <si>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</si>
  <si>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</si>
  <si>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</si>
  <si>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</si>
  <si>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</si>
  <si>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</si>
  <si>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</si>
  <si>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</si>
  <si>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</si>
  <si>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</si>
  <si>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</si>
  <si>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</si>
  <si>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</si>
  <si>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</si>
  <si>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</si>
  <si>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</si>
  <si>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</si>
  <si>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</si>
  <si>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</si>
  <si>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</si>
  <si>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</si>
  <si>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</si>
  <si>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</si>
  <si>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</si>
  <si>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</si>
  <si>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</si>
  <si>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</si>
  <si>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</si>
  <si>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</si>
  <si>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</si>
  <si>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</si>
  <si>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</si>
  <si>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</si>
  <si>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</si>
  <si>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</si>
  <si>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</si>
  <si>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</si>
  <si>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</si>
  <si>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</si>
  <si>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</si>
  <si>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</si>
  <si>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</si>
  <si>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</si>
  <si>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</si>
  <si>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</si>
  <si>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</si>
  <si>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</si>
  <si>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</si>
  <si>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</si>
  <si>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</si>
  <si>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</si>
  <si>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</si>
  <si>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</si>
  <si>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</si>
  <si>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</si>
  <si>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</si>
  <si>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</si>
  <si>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</si>
  <si>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</si>
  <si>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</si>
  <si>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</si>
  <si>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</si>
  <si>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</si>
  <si>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</si>
  <si>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</si>
  <si>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</si>
  <si>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</si>
  <si>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</si>
  <si>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</si>
  <si>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</si>
  <si>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</si>
  <si>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</si>
  <si>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</si>
  <si>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</si>
  <si>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</si>
  <si>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</si>
  <si>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</si>
  <si>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</si>
  <si>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</si>
  <si>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</si>
  <si>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</si>
  <si>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</si>
  <si>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</si>
  <si>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</si>
  <si>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</si>
  <si>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</si>
  <si>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</si>
  <si>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</si>
  <si>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</si>
  <si>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</si>
  <si>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</si>
  <si>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</si>
  <si>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</si>
  <si>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</si>
  <si>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</si>
  <si>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</si>
  <si>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</si>
  <si>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</si>
  <si>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</si>
  <si>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</si>
  <si>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</si>
  <si>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</si>
  <si>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</si>
  <si>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</si>
  <si>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</si>
  <si>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</si>
  <si>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</si>
  <si>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</si>
  <si>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</si>
  <si>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</si>
  <si>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</si>
  <si>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</si>
  <si>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</si>
  <si>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</si>
  <si>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</si>
  <si>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</si>
  <si>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</si>
  <si>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</si>
  <si>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</si>
  <si>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</si>
  <si>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</si>
  <si>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</si>
  <si>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</si>
  <si>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</si>
  <si>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</si>
  <si>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</si>
  <si>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</si>
  <si>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</si>
  <si>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</si>
  <si>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</si>
  <si>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</si>
  <si>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</si>
  <si>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</si>
  <si>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</si>
  <si>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</si>
  <si>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</si>
  <si>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</si>
  <si>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</si>
  <si>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</si>
  <si>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</si>
  <si>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</si>
  <si>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</si>
  <si>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</si>
  <si>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</si>
  <si>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</si>
  <si>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</si>
  <si>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</si>
  <si>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</si>
  <si>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</si>
  <si>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</si>
  <si>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</si>
  <si>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</si>
  <si>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</si>
  <si>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</si>
  <si>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</si>
  <si>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</si>
  <si>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</si>
  <si>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</si>
  <si>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</si>
  <si>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</si>
  <si>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</si>
  <si>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</si>
  <si>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</si>
  <si>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</si>
  <si>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</si>
  <si>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</si>
  <si>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</si>
  <si>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</si>
  <si>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</si>
  <si>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</si>
  <si>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</si>
  <si>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</si>
  <si>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</si>
  <si>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</si>
  <si>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</si>
  <si>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</si>
  <si>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</si>
  <si>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</si>
  <si>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</si>
  <si>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</si>
  <si>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</si>
  <si>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</si>
  <si>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</si>
  <si>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</si>
  <si>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</si>
  <si>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</si>
  <si>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</si>
  <si>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</si>
  <si>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</si>
  <si>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</si>
  <si>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</si>
  <si>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</si>
  <si>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</si>
  <si>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</si>
  <si>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</si>
  <si>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</si>
  <si>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</si>
  <si>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</si>
  <si>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</si>
  <si>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</si>
  <si>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</si>
  <si>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</si>
  <si>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</si>
  <si>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</si>
  <si>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</si>
  <si>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</si>
  <si>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</si>
  <si>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</si>
  <si>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</si>
  <si>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</si>
  <si>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</si>
  <si>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</si>
  <si>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</si>
  <si>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</si>
  <si>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</si>
  <si>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</si>
  <si>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</si>
  <si>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</si>
  <si>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</si>
  <si>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</si>
  <si>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</si>
  <si>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</si>
  <si>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</si>
  <si>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</si>
  <si>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</si>
  <si>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</si>
  <si>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</si>
  <si>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</si>
  <si>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</si>
  <si>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</si>
  <si>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</si>
  <si>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</si>
  <si>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</si>
  <si>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</si>
  <si>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</si>
  <si>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</si>
  <si>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</si>
  <si>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</si>
  <si>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</si>
  <si>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</si>
  <si>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</si>
  <si>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</si>
  <si>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</si>
  <si>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</si>
  <si>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</si>
  <si>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</si>
  <si>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</si>
  <si>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</si>
  <si>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</si>
  <si>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</si>
  <si>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</si>
  <si>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</si>
  <si>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</si>
  <si>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</si>
  <si>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</si>
  <si>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</si>
  <si>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</si>
  <si>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</si>
  <si>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</si>
  <si>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</si>
  <si>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</si>
  <si>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</si>
  <si>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</si>
  <si>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</si>
  <si>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</si>
  <si>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</si>
  <si>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</si>
  <si>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</si>
  <si>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</si>
  <si>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</si>
  <si>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</si>
  <si>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</si>
  <si>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</si>
  <si>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</si>
  <si>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</si>
  <si>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</si>
  <si>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</si>
  <si>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</si>
  <si>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</si>
  <si>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</si>
  <si>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</si>
  <si>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</si>
  <si>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</si>
  <si>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</si>
  <si>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</si>
  <si>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</si>
  <si>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</si>
  <si>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</si>
  <si>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</si>
  <si>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</si>
  <si>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</si>
  <si>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</si>
  <si>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</si>
  <si>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</si>
  <si>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</si>
  <si>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</si>
  <si>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</si>
  <si>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</si>
  <si>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</si>
  <si>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</si>
  <si>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</si>
  <si>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</si>
  <si>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</si>
  <si>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</si>
  <si>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</si>
  <si>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</si>
  <si>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</si>
  <si>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</si>
  <si>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</si>
  <si>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</si>
  <si>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</si>
  <si>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</si>
  <si>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</si>
  <si>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</si>
  <si>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</si>
  <si>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</si>
  <si>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</si>
  <si>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</si>
  <si>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</si>
  <si>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</si>
  <si>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</si>
  <si>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</si>
  <si>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</si>
  <si>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</si>
  <si>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</si>
  <si>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</si>
  <si>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</si>
  <si>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</si>
  <si>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</si>
  <si>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</si>
  <si>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</si>
  <si>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</si>
  <si>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</si>
  <si>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</si>
  <si>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</si>
  <si>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</si>
  <si>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</si>
  <si>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</si>
  <si>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</si>
  <si>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</si>
  <si>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</si>
  <si>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</si>
  <si>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</si>
  <si>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</si>
  <si>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</si>
  <si>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</si>
  <si>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</si>
  <si>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</si>
  <si>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</si>
  <si>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</si>
  <si>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</si>
  <si>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</si>
  <si>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</si>
  <si>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</si>
  <si>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</si>
  <si>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</si>
  <si>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</si>
  <si>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</si>
  <si>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</si>
  <si>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</si>
  <si>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</si>
  <si>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</si>
  <si>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</si>
  <si>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</si>
  <si>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</si>
  <si>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</si>
  <si>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</si>
  <si>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</si>
  <si>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</si>
  <si>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</si>
  <si>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</si>
  <si>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</si>
  <si>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</si>
  <si>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</si>
  <si>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</si>
  <si>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</si>
  <si>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</si>
  <si>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</si>
  <si>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</si>
  <si>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</si>
  <si>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</si>
  <si>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</si>
  <si>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</si>
  <si>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</si>
  <si>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</si>
  <si>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</si>
  <si>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</si>
  <si>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</si>
  <si>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</si>
  <si>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</si>
  <si>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</si>
  <si>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</si>
  <si>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</si>
  <si>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</si>
  <si>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</si>
  <si>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</si>
  <si>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</si>
  <si>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</si>
  <si>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</si>
  <si>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</si>
  <si>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</si>
  <si>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</si>
  <si>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</si>
  <si>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</si>
  <si>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</si>
  <si>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</si>
  <si>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</si>
  <si>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</si>
  <si>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</si>
  <si>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</si>
  <si>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</si>
  <si>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</si>
  <si>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</si>
  <si>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</si>
  <si>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</si>
  <si>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</si>
  <si>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</si>
  <si>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</si>
  <si>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</si>
  <si>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</si>
  <si>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</si>
  <si>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</si>
  <si>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</si>
  <si>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</si>
  <si>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</si>
  <si>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</si>
  <si>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</si>
  <si>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</si>
  <si>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</si>
  <si>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</si>
  <si>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</si>
  <si>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</si>
  <si>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</si>
  <si>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</si>
  <si>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</si>
  <si>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</si>
  <si>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</si>
  <si>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</si>
  <si>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</si>
  <si>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</si>
  <si>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</si>
  <si>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</si>
  <si>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</si>
  <si>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</si>
  <si>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</si>
  <si>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</si>
  <si>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</si>
  <si>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</si>
  <si>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</si>
  <si>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</si>
  <si>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</si>
  <si>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</si>
  <si>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</si>
  <si>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</si>
  <si>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</si>
  <si>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</si>
  <si>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</si>
  <si>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</si>
  <si>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</si>
  <si>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</si>
  <si>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</si>
  <si>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</si>
  <si>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</si>
  <si>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</si>
  <si>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</si>
  <si>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</si>
  <si>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</si>
  <si>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</si>
  <si>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</si>
  <si>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</si>
  <si>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</si>
  <si>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</si>
  <si>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</si>
  <si>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</si>
  <si>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</si>
  <si>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</si>
  <si>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</si>
  <si>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</si>
  <si>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</si>
  <si>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</si>
  <si>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</si>
  <si>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</si>
  <si>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</si>
  <si>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</si>
  <si>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</si>
  <si>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</si>
  <si>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</si>
  <si>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</si>
  <si>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</si>
  <si>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</si>
  <si>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</si>
  <si>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</si>
  <si>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</si>
  <si>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</si>
  <si>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</si>
  <si>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</si>
  <si>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</si>
  <si>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</si>
  <si>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</si>
  <si>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</si>
  <si>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</si>
  <si>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</si>
  <si>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</si>
  <si>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</si>
  <si>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</si>
  <si>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</si>
  <si>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</si>
  <si>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</si>
  <si>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</si>
  <si>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</si>
  <si>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</si>
  <si>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</si>
  <si>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</si>
  <si>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</si>
  <si>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</si>
  <si>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</si>
  <si>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</si>
  <si>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</si>
  <si>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</si>
  <si>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</si>
  <si>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</si>
  <si>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</si>
  <si>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</si>
  <si>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</si>
  <si>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</si>
  <si>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</si>
  <si>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</si>
  <si>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</si>
  <si>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</si>
  <si>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</si>
  <si>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</si>
  <si>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</si>
  <si>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</si>
  <si>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</si>
  <si>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</si>
  <si>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</si>
  <si>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</si>
  <si>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</si>
  <si>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</si>
  <si>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</si>
  <si>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</si>
  <si>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</si>
  <si>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</si>
  <si>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</si>
  <si>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</si>
  <si>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</si>
  <si>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</si>
  <si>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</si>
  <si>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</si>
  <si>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</si>
  <si>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</si>
  <si>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</si>
  <si>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</si>
  <si>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</si>
  <si>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</si>
  <si>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</si>
  <si>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</si>
  <si>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</si>
  <si>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</si>
  <si>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</si>
  <si>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</si>
  <si>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</si>
  <si>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</si>
  <si>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</si>
  <si>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</si>
  <si>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</si>
  <si>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</si>
  <si>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</si>
  <si>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</si>
  <si>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</si>
  <si>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</si>
  <si>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</si>
  <si>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</si>
  <si>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</si>
  <si>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</si>
  <si>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</si>
  <si>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</si>
  <si>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</si>
  <si>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</si>
  <si>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</si>
  <si>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</si>
  <si>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</si>
  <si>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</si>
  <si>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</si>
  <si>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</si>
  <si>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</si>
  <si>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</si>
  <si>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</si>
  <si>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</si>
  <si>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</si>
  <si>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</si>
  <si>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</si>
  <si>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</si>
  <si>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</si>
  <si>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</si>
  <si>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</si>
  <si>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</si>
  <si>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</si>
  <si>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</si>
  <si>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</si>
  <si>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</si>
  <si>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</si>
  <si>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</si>
  <si>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</si>
  <si>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</si>
  <si>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</si>
  <si>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</si>
  <si>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</si>
  <si>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</si>
  <si>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</si>
  <si>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</si>
  <si>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</si>
  <si>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</si>
  <si>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</si>
  <si>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</si>
  <si>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</si>
  <si>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</si>
  <si>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</si>
  <si>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</si>
  <si>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</si>
  <si>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</si>
  <si>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</si>
  <si>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</si>
  <si>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</si>
  <si>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</si>
  <si>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</si>
  <si>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</si>
  <si>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</si>
  <si>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</si>
  <si>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</si>
  <si>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</si>
  <si>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</si>
  <si>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</si>
  <si>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</si>
  <si>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</si>
  <si>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</si>
  <si>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</si>
  <si>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</si>
  <si>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</si>
  <si>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</si>
  <si>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</si>
  <si>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</si>
  <si>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</si>
  <si>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</si>
  <si>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</si>
  <si>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</si>
  <si>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</si>
  <si>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</si>
  <si>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</si>
  <si>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</si>
  <si>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</si>
  <si>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</si>
  <si>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</si>
  <si>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</si>
  <si>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</si>
  <si>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</si>
  <si>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</si>
  <si>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</si>
  <si>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</si>
  <si>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</si>
  <si>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</si>
  <si>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</si>
  <si>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</si>
  <si>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</si>
  <si>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</si>
  <si>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</si>
  <si>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</si>
  <si>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</si>
  <si>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</si>
  <si>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</si>
  <si>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</si>
  <si>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</si>
  <si>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</si>
  <si>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</si>
  <si>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</si>
  <si>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</si>
  <si>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</si>
  <si>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</si>
  <si>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</si>
  <si>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</si>
  <si>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</si>
  <si>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</si>
  <si>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</si>
  <si>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</si>
  <si>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</si>
  <si>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</si>
  <si>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</si>
  <si>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</si>
  <si>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</si>
  <si>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</si>
  <si>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</si>
  <si>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</si>
  <si>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</si>
  <si>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</si>
  <si>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</si>
  <si>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</si>
  <si>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</si>
  <si>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</si>
  <si>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</si>
  <si>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</si>
  <si>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</si>
  <si>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</si>
  <si>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</si>
  <si>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</si>
  <si>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</si>
  <si>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</si>
  <si>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</si>
  <si>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</si>
  <si>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</si>
  <si>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</si>
  <si>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</si>
  <si>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</si>
  <si>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</si>
  <si>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</si>
  <si>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</si>
  <si>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</si>
  <si>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</si>
  <si>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</si>
  <si>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</si>
  <si>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</si>
  <si>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</si>
  <si>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</si>
  <si>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</si>
  <si>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</si>
  <si>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</si>
  <si>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</si>
  <si>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</si>
  <si>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</si>
  <si>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</si>
  <si>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</si>
  <si>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</si>
  <si>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</si>
  <si>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</si>
  <si>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</si>
  <si>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</si>
  <si>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</si>
  <si>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</si>
  <si>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</si>
  <si>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</si>
  <si>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</si>
  <si>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</si>
  <si>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</si>
  <si>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</si>
  <si>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</si>
  <si>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</si>
  <si>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</si>
  <si>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</si>
  <si>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</si>
  <si>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</si>
  <si>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</si>
  <si>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</si>
  <si>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</si>
  <si>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</si>
  <si>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</si>
  <si>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</si>
  <si>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</si>
  <si>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</si>
  <si>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</si>
  <si>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</si>
  <si>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</si>
  <si>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</si>
  <si>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</si>
  <si>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</si>
  <si>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</si>
  <si>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</si>
  <si>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</si>
  <si>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</si>
  <si>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</si>
  <si>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</si>
  <si>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</si>
  <si>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</si>
  <si>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</si>
  <si>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</si>
  <si>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</si>
  <si>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</si>
  <si>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</si>
  <si>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</si>
  <si>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</si>
  <si>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</si>
  <si>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</si>
  <si>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</si>
  <si>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</si>
  <si>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</si>
  <si>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</si>
  <si>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</si>
  <si>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</si>
  <si>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</si>
  <si>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</si>
  <si>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</si>
  <si>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</si>
  <si>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</si>
  <si>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</si>
  <si>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</si>
  <si>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</si>
  <si>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</si>
  <si>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</si>
  <si>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</si>
  <si>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</si>
  <si>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</si>
  <si>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</si>
  <si>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</si>
  <si>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</si>
  <si>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</si>
  <si>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</si>
  <si>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</si>
  <si>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</si>
  <si>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</si>
  <si>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</si>
  <si>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</si>
  <si>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</si>
  <si>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</si>
  <si>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</si>
  <si>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</si>
  <si>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</si>
  <si>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</si>
  <si>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</si>
  <si>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</si>
  <si>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</si>
  <si>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</si>
  <si>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</si>
  <si>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</si>
  <si>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</si>
  <si>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</si>
  <si>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</si>
  <si>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</si>
  <si>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</si>
  <si>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</si>
  <si>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</si>
  <si>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</si>
  <si>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</si>
  <si>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</si>
  <si>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</si>
  <si>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</si>
  <si>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</si>
  <si>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</si>
  <si>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</si>
  <si>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</si>
  <si>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</si>
  <si>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</si>
  <si>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</si>
  <si>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</si>
  <si>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</si>
  <si>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</si>
  <si>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</si>
  <si>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</si>
  <si>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</si>
  <si>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</si>
  <si>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</si>
  <si>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</si>
  <si>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</si>
  <si>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</si>
  <si>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</si>
  <si>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</si>
  <si>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</si>
  <si>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</si>
  <si>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</si>
  <si>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</si>
  <si>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</si>
  <si>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</si>
  <si>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</si>
  <si>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</si>
  <si>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</si>
  <si>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</si>
  <si>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</si>
  <si>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</si>
  <si>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</si>
  <si>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</si>
  <si>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</si>
  <si>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</si>
  <si>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</si>
  <si>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</si>
  <si>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</si>
  <si>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</si>
  <si>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</si>
  <si>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</si>
  <si>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</si>
  <si>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</si>
  <si>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</si>
  <si>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</si>
  <si>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</si>
  <si>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</si>
  <si>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</si>
  <si>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</si>
  <si>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</si>
  <si>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</si>
  <si>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</si>
  <si>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</si>
  <si>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</si>
  <si>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</si>
  <si>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</si>
  <si>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</si>
  <si>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</si>
  <si>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</si>
  <si>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</si>
  <si>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</si>
  <si>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</si>
  <si>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</si>
  <si>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</si>
  <si>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</si>
  <si>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</si>
  <si>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</si>
  <si>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</si>
  <si>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</si>
  <si>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</si>
  <si>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</si>
  <si>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</si>
  <si>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</si>
  <si>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</si>
  <si>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</si>
  <si>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</si>
  <si>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</si>
  <si>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</si>
  <si>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</si>
  <si>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</si>
  <si>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</si>
  <si>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</si>
  <si>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</si>
  <si>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</si>
  <si>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</si>
  <si>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</si>
  <si>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</si>
  <si>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</si>
  <si>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</si>
  <si>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</si>
  <si>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</si>
  <si>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</si>
  <si>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</si>
  <si>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</si>
  <si>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</si>
  <si>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</si>
  <si>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</si>
  <si>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</si>
  <si>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</si>
  <si>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</si>
  <si>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</si>
  <si>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</si>
  <si>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</si>
  <si>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</si>
  <si>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</si>
  <si>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</si>
  <si>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</si>
  <si>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</si>
  <si>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</si>
  <si>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</si>
  <si>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</si>
  <si>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</si>
  <si>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</si>
  <si>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</si>
  <si>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</si>
  <si>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</si>
  <si>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</si>
  <si>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</si>
  <si>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</si>
  <si>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</si>
  <si>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</si>
  <si>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</si>
  <si>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</si>
  <si>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</si>
  <si>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</si>
  <si>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</si>
  <si>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</si>
  <si>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</si>
  <si>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</si>
  <si>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</si>
  <si>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</si>
  <si>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</si>
  <si>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</si>
  <si>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</si>
  <si>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</si>
  <si>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</si>
  <si>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</si>
  <si>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</si>
  <si>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</si>
  <si>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</si>
  <si>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</si>
  <si>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</si>
  <si>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</si>
  <si>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</si>
  <si>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</si>
  <si>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</si>
  <si>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</si>
  <si>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</si>
  <si>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</si>
  <si>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</si>
  <si>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</si>
  <si>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</si>
  <si>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</si>
  <si>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</si>
  <si>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</si>
  <si>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</si>
  <si>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</si>
  <si>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</si>
  <si>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</si>
  <si>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</si>
  <si>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</si>
  <si>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</si>
  <si>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</si>
  <si>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</si>
  <si>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</si>
  <si>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</si>
  <si>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</si>
  <si>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</si>
  <si>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</si>
  <si>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</si>
  <si>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</si>
  <si>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</si>
  <si>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</si>
  <si>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</si>
  <si>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</si>
  <si>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</si>
  <si>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</si>
  <si>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</si>
  <si>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</si>
  <si>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</si>
  <si>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</si>
  <si>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</si>
  <si>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</si>
  <si>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</si>
  <si>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</si>
  <si>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</si>
  <si>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</si>
  <si>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</si>
  <si>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</si>
  <si>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</si>
  <si>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</si>
  <si>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</si>
  <si>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</si>
  <si>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</si>
  <si>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</si>
  <si>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</si>
  <si>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</si>
  <si>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</si>
  <si>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</si>
  <si>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</si>
  <si>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</si>
  <si>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</si>
  <si>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</si>
  <si>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</si>
  <si>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</si>
  <si>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</si>
  <si>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</si>
  <si>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</si>
  <si>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</si>
  <si>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</si>
  <si>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</si>
  <si>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</si>
  <si>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</si>
  <si>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</si>
  <si>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</si>
  <si>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</si>
  <si>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</si>
  <si>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</si>
  <si>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</si>
  <si>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</si>
  <si>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</si>
  <si>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</si>
  <si>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</si>
  <si>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</si>
  <si>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</si>
  <si>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</si>
  <si>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</si>
  <si>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</si>
  <si>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</si>
  <si>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</si>
  <si>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</si>
  <si>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</si>
  <si>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</si>
  <si>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</si>
  <si>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</si>
  <si>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</si>
  <si>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</si>
  <si>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</si>
  <si>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</si>
  <si>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</si>
  <si>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</si>
  <si>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</si>
  <si>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</si>
  <si>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</si>
  <si>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</si>
  <si>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</si>
  <si>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</si>
  <si>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</si>
  <si>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</si>
  <si>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</si>
  <si>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</si>
  <si>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</si>
  <si>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</si>
  <si>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</si>
  <si>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</si>
  <si>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</si>
  <si>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</si>
  <si>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</si>
  <si>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</si>
  <si>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</si>
  <si>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</si>
  <si>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</si>
  <si>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</si>
  <si>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</si>
  <si>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</si>
  <si>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</si>
  <si>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</si>
  <si>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</si>
  <si>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</si>
  <si>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</si>
  <si>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</si>
  <si>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</si>
  <si>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</si>
  <si>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</si>
  <si>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</si>
  <si>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</si>
  <si>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</si>
  <si>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</si>
  <si>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</si>
  <si>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</si>
  <si>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</si>
  <si>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</si>
  <si>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</si>
  <si>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</si>
  <si>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</si>
  <si>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</si>
  <si>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</si>
  <si>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</si>
  <si>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</si>
  <si>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</si>
  <si>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</si>
  <si>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</si>
  <si>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</si>
  <si>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</si>
  <si>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</si>
  <si>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</si>
  <si>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</si>
  <si>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</si>
  <si>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</si>
  <si>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</si>
  <si>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</si>
  <si>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</si>
  <si>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</si>
  <si>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</si>
  <si>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</si>
  <si>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</si>
  <si>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</si>
  <si>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</si>
  <si>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</si>
  <si>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</si>
  <si>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</si>
  <si>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</si>
  <si>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</si>
  <si>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</si>
  <si>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</si>
  <si>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</si>
  <si>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</si>
  <si>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</si>
  <si>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</si>
  <si>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</si>
  <si>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</si>
  <si>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</si>
  <si>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</si>
  <si>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</si>
  <si>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</si>
  <si>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</si>
  <si>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</si>
  <si>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</si>
  <si>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</si>
  <si>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</si>
  <si>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</si>
  <si>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</si>
  <si>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</si>
  <si>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</si>
  <si>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</si>
  <si>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</si>
  <si>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</si>
  <si>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</si>
  <si>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</si>
  <si>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</si>
  <si>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</si>
  <si>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</si>
  <si>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</si>
  <si>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</si>
  <si>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</si>
  <si>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</si>
  <si>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</si>
  <si>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</si>
  <si>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</si>
  <si>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</si>
  <si>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</si>
  <si>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</si>
  <si>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</si>
  <si>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</si>
  <si>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</si>
  <si>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</si>
  <si>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</si>
  <si>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</si>
  <si>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</si>
  <si>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</si>
  <si>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</si>
  <si>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</si>
  <si>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</si>
  <si>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</si>
  <si>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</si>
  <si>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</si>
  <si>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</si>
  <si>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</si>
  <si>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</si>
  <si>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</si>
  <si>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</si>
  <si>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</si>
  <si>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</si>
  <si>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</si>
  <si>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</si>
  <si>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</si>
  <si>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</si>
  <si>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</si>
  <si>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</si>
  <si>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</si>
  <si>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</si>
  <si>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</si>
  <si>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</si>
  <si>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</si>
  <si>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</si>
  <si>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</si>
  <si>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</si>
  <si>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</si>
  <si>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</si>
  <si>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</si>
  <si>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</si>
  <si>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</si>
  <si>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</si>
  <si>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</si>
  <si>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</si>
  <si>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</si>
  <si>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</si>
  <si>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</si>
  <si>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</si>
  <si>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</si>
  <si>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</si>
  <si>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</si>
  <si>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</si>
  <si>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</si>
  <si>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</si>
  <si>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</si>
  <si>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</si>
  <si>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</si>
  <si>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</si>
  <si>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</si>
  <si>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</si>
  <si>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</si>
  <si>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</si>
  <si>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</si>
  <si>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</si>
  <si>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</si>
  <si>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</si>
  <si>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</si>
  <si>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</si>
  <si>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</si>
  <si>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</si>
  <si>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</si>
  <si>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</si>
  <si>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</si>
  <si>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</si>
  <si>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</si>
  <si>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</si>
  <si>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</si>
  <si>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</si>
  <si>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</si>
  <si>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</si>
  <si>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</si>
  <si>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</si>
  <si>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</si>
  <si>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</si>
  <si>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</si>
  <si>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</si>
  <si>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</si>
  <si>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</si>
  <si>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</si>
  <si>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</si>
  <si>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</si>
  <si>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</si>
  <si>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</si>
  <si>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</si>
  <si>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</si>
  <si>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</si>
  <si>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</si>
  <si>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</si>
  <si>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</si>
  <si>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</si>
  <si>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</si>
  <si>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</si>
  <si>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</si>
  <si>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</si>
  <si>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</si>
  <si>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</si>
  <si>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</si>
  <si>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</si>
  <si>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</si>
  <si>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</si>
  <si>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</si>
  <si>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</si>
  <si>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</si>
  <si>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</si>
  <si>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</si>
  <si>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</si>
  <si>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</si>
  <si>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</si>
  <si>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</si>
  <si>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</si>
  <si>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</si>
  <si>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</si>
  <si>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</si>
  <si>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</si>
  <si>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</si>
  <si>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</si>
  <si>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</si>
  <si>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</si>
  <si>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</si>
  <si>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</si>
  <si>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</si>
  <si>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</si>
  <si>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</si>
  <si>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</si>
  <si>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</si>
  <si>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</si>
  <si>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</si>
  <si>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</si>
  <si>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</si>
  <si>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</si>
  <si>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</si>
  <si>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</si>
  <si>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</si>
  <si>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</si>
  <si>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</si>
  <si>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</si>
  <si>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</si>
  <si>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</si>
  <si>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</si>
  <si>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</si>
  <si>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</si>
  <si>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</si>
  <si>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</si>
  <si>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</si>
  <si>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</si>
  <si>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</si>
  <si>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</si>
  <si>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</si>
  <si>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</si>
  <si>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</si>
  <si>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</si>
  <si>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</si>
  <si>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</si>
  <si>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</si>
  <si>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</si>
  <si>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</si>
  <si>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</si>
  <si>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</si>
  <si>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</si>
  <si>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</si>
  <si>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</si>
  <si>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</si>
  <si>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</si>
  <si>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</si>
  <si>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</si>
  <si>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</si>
  <si>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</si>
  <si>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</si>
  <si>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</si>
  <si>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</si>
  <si>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</si>
  <si>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</si>
  <si>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</si>
  <si>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</si>
  <si>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</si>
  <si>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</si>
  <si>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</si>
  <si>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</si>
  <si>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</si>
  <si>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</si>
  <si>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</si>
  <si>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</si>
  <si>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</si>
  <si>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</si>
  <si>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</si>
  <si>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</si>
  <si>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</si>
  <si>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</si>
  <si>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</si>
  <si>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</si>
  <si>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</si>
  <si>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</si>
  <si>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</si>
  <si>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</si>
  <si>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</si>
  <si>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</si>
  <si>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</si>
  <si>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</si>
  <si>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</si>
  <si>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</si>
  <si>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</si>
  <si>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</si>
  <si>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</si>
  <si>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</si>
  <si>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</si>
  <si>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</si>
  <si>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</si>
  <si>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</si>
  <si>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</si>
  <si>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</si>
  <si>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</si>
  <si>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</si>
  <si>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</si>
  <si>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</si>
  <si>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</si>
  <si>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</si>
  <si>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</si>
  <si>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</si>
  <si>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</si>
  <si>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</si>
  <si>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</si>
  <si>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</si>
  <si>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</si>
  <si>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</si>
  <si>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</si>
  <si>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</si>
  <si>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</si>
  <si>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</si>
  <si>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</si>
  <si>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</si>
  <si>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</si>
  <si>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</si>
  <si>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</si>
  <si>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</si>
  <si>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</si>
  <si>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</si>
  <si>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</si>
  <si>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</si>
  <si>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</si>
  <si>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</si>
  <si>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</si>
  <si>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</si>
  <si>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</si>
  <si>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</si>
  <si>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</si>
  <si>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</si>
  <si>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</si>
  <si>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</si>
  <si>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</si>
  <si>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</si>
  <si>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</si>
  <si>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</si>
  <si>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</si>
  <si>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</si>
  <si>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</si>
  <si>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</si>
  <si>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</si>
  <si>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</si>
  <si>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</si>
  <si>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</si>
  <si>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</si>
  <si>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</si>
  <si>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</si>
  <si>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</si>
  <si>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</si>
  <si>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</si>
  <si>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</si>
  <si>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</si>
  <si>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</si>
  <si>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</si>
  <si>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</si>
  <si>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</si>
  <si>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</si>
  <si>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</si>
  <si>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</si>
  <si>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</si>
  <si>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</si>
  <si>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</si>
  <si>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</si>
  <si>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</si>
  <si>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</si>
  <si>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</si>
  <si>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</si>
  <si>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</si>
  <si>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</si>
  <si>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</si>
  <si>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</si>
  <si>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</si>
  <si>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</si>
  <si>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</si>
  <si>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</si>
  <si>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</si>
  <si>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</si>
  <si>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</si>
  <si>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</si>
  <si>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</si>
  <si>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</si>
  <si>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</si>
  <si>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</si>
  <si>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</si>
  <si>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</si>
  <si>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</si>
  <si>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</si>
  <si>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</si>
  <si>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</si>
  <si>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</si>
  <si>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</si>
  <si>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</si>
  <si>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</si>
  <si>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</si>
  <si>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</si>
  <si>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</si>
  <si>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</si>
  <si>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</si>
  <si>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</si>
  <si>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</si>
  <si>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</si>
  <si>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</si>
  <si>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</si>
  <si>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</si>
  <si>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</si>
  <si>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</si>
  <si>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</si>
  <si>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</si>
  <si>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</si>
  <si>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</si>
  <si>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</si>
  <si>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</si>
  <si>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</si>
  <si>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</si>
  <si>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</si>
  <si>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</si>
  <si>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</si>
  <si>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</si>
  <si>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</si>
  <si>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</si>
  <si>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</si>
  <si>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</si>
  <si>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</si>
  <si>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</si>
  <si>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</si>
  <si>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</si>
  <si>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</si>
  <si>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</si>
  <si>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</si>
  <si>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</si>
  <si>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</si>
  <si>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</si>
  <si>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</si>
  <si>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</si>
  <si>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</si>
  <si>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</si>
  <si>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</si>
  <si>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</si>
  <si>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</si>
  <si>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</si>
  <si>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</si>
  <si>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</si>
  <si>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</si>
  <si>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</si>
  <si>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</si>
  <si>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</si>
  <si>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</si>
  <si>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</si>
  <si>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</si>
  <si>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</si>
  <si>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</si>
  <si>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</si>
  <si>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</si>
  <si>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</si>
  <si>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</si>
  <si>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</si>
  <si>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</si>
  <si>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</si>
  <si>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</si>
  <si>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</si>
  <si>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</si>
  <si>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</si>
  <si>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</si>
  <si>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</si>
  <si>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</si>
  <si>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</si>
  <si>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</si>
  <si>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</si>
  <si>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</si>
  <si>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</si>
  <si>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</si>
  <si>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</si>
  <si>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</si>
  <si>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</si>
  <si>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</si>
  <si>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</si>
  <si>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</si>
  <si>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</si>
  <si>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</si>
  <si>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</si>
  <si>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</si>
  <si>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</si>
  <si>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</si>
  <si>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</si>
  <si>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</si>
  <si>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</si>
  <si>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</si>
  <si>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</si>
  <si>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</si>
  <si>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</si>
  <si>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</si>
  <si>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</si>
  <si>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</si>
  <si>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</si>
  <si>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</si>
  <si>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</si>
  <si>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</si>
  <si>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</si>
  <si>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</si>
  <si>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</si>
  <si>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</si>
  <si>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</si>
  <si>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</si>
  <si>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</si>
  <si>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</si>
  <si>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</si>
  <si>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</si>
  <si>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</si>
  <si>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</si>
  <si>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</si>
  <si>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</si>
  <si>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</si>
  <si>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</si>
  <si>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</si>
  <si>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</si>
  <si>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</si>
  <si>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</si>
  <si>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</si>
  <si>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</si>
  <si>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</si>
  <si>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</si>
  <si>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</si>
  <si>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</si>
  <si>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</si>
  <si>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</si>
  <si>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</si>
  <si>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</si>
  <si>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</si>
  <si>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</si>
  <si>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</si>
  <si>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</si>
  <si>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</si>
  <si>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</si>
  <si>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</si>
  <si>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</si>
  <si>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</si>
  <si>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</si>
  <si>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</si>
  <si>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</si>
  <si>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</si>
  <si>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</si>
  <si>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</si>
  <si>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</si>
  <si>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</si>
  <si>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</si>
  <si>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</si>
  <si>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</si>
  <si>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</si>
  <si>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</si>
  <si>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</si>
  <si>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</si>
  <si>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</si>
  <si>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</si>
  <si>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</si>
  <si>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</si>
  <si>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</si>
  <si>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</si>
  <si>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</si>
  <si>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</si>
  <si>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</si>
  <si>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</si>
  <si>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</si>
  <si>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</si>
  <si>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</si>
  <si>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</si>
  <si>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</si>
  <si>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</si>
  <si>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</si>
  <si>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</si>
  <si>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</si>
  <si>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</si>
  <si>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</si>
  <si>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</si>
  <si>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</si>
  <si>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</si>
  <si>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</si>
  <si>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</si>
  <si>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</si>
  <si>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</si>
  <si>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</si>
  <si>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</si>
  <si>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</si>
  <si>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</si>
  <si>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</si>
  <si>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</si>
  <si>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</si>
  <si>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</si>
  <si>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</si>
  <si>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</si>
  <si>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</si>
  <si>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</si>
  <si>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</si>
  <si>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</si>
  <si>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</si>
  <si>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</si>
  <si>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</si>
  <si>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</si>
  <si>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</si>
  <si>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</si>
  <si>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</si>
  <si>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</si>
  <si>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</si>
  <si>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</si>
  <si>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</si>
  <si>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</si>
  <si>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</si>
  <si>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</si>
  <si>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</si>
  <si>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</si>
  <si>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</si>
  <si>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</si>
  <si>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</si>
  <si>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</si>
  <si>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</si>
  <si>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</si>
  <si>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</si>
  <si>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</si>
  <si>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</si>
  <si>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</si>
  <si>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</si>
  <si>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</si>
  <si>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</si>
  <si>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</si>
  <si>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</si>
  <si>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</si>
  <si>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</si>
  <si>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</si>
  <si>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</si>
  <si>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</si>
  <si>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</si>
  <si>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</si>
  <si>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</si>
  <si>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</si>
  <si>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</si>
  <si>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</si>
  <si>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</si>
  <si>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</si>
  <si>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</si>
  <si>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</si>
  <si>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</si>
  <si>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</si>
  <si>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</si>
  <si>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</si>
  <si>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</si>
  <si>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</si>
  <si>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</si>
  <si>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</si>
  <si>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</si>
  <si>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</si>
  <si>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</si>
  <si>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</si>
  <si>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</si>
  <si>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</si>
  <si>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</si>
  <si>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</si>
  <si>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</si>
  <si>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</si>
  <si>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</si>
  <si>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</si>
  <si>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</si>
  <si>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</si>
  <si>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</si>
  <si>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</si>
  <si>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</si>
  <si>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</si>
  <si>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</si>
  <si>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</si>
  <si>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</si>
  <si>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</si>
  <si>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</si>
  <si>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</si>
  <si>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</si>
  <si>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</si>
  <si>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</si>
  <si>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</si>
  <si>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</si>
  <si>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</si>
  <si>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</si>
  <si>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</si>
  <si>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</si>
  <si>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</si>
  <si>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</si>
  <si>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</si>
  <si>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</si>
  <si>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</si>
  <si>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</si>
  <si>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</si>
  <si>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</si>
  <si>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</si>
  <si>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</si>
  <si>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</si>
  <si>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</si>
  <si>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</si>
  <si>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</si>
  <si>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</si>
  <si>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</si>
  <si>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</si>
  <si>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</si>
  <si>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</si>
  <si>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</si>
  <si>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</si>
  <si>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</si>
  <si>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</si>
  <si>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</si>
  <si>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</si>
  <si>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</si>
  <si>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</si>
  <si>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</si>
  <si>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</si>
  <si>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</si>
  <si>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</si>
  <si>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</si>
  <si>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</si>
  <si>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</si>
  <si>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</si>
  <si>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</si>
  <si>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</si>
  <si>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</si>
  <si>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</si>
  <si>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</si>
  <si>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</si>
  <si>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</si>
  <si>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</si>
  <si>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</si>
  <si>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</si>
  <si>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</si>
  <si>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</si>
  <si>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</si>
  <si>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</si>
  <si>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</si>
  <si>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</si>
  <si>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</si>
  <si>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</si>
  <si>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</si>
  <si>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</si>
  <si>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</si>
  <si>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</si>
  <si>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</si>
  <si>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</si>
  <si>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</si>
  <si>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</si>
  <si>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</si>
  <si>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</si>
  <si>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</si>
  <si>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</si>
  <si>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</si>
  <si>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</si>
  <si>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</si>
  <si>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</si>
  <si>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</si>
  <si>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</si>
  <si>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</si>
  <si>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</si>
  <si>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</si>
  <si>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</si>
  <si>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</si>
  <si>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</si>
  <si>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</si>
  <si>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</si>
  <si>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</si>
  <si>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</si>
  <si>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</si>
  <si>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</si>
  <si>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</si>
  <si>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</si>
  <si>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</si>
  <si>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</si>
  <si>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</si>
  <si>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</si>
  <si>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</si>
  <si>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</si>
  <si>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</si>
  <si>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</si>
  <si>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</si>
  <si>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</si>
  <si>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</si>
  <si>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</si>
  <si>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</si>
  <si>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</si>
  <si>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</si>
  <si>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</si>
  <si>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</si>
  <si>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</si>
  <si>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</si>
  <si>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</si>
  <si>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</si>
  <si>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</si>
  <si>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</si>
  <si>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</si>
  <si>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</si>
  <si>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</si>
  <si>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</si>
  <si>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</si>
  <si>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</si>
  <si>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</si>
  <si>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</si>
  <si>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</si>
  <si>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</si>
  <si>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</si>
  <si>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</si>
  <si>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</si>
  <si>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</si>
  <si>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</si>
  <si>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</si>
  <si>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</si>
  <si>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</si>
  <si>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</si>
  <si>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</si>
  <si>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</si>
  <si>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</si>
  <si>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</si>
  <si>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</si>
  <si>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</si>
  <si>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</si>
  <si>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</si>
  <si>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</si>
  <si>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</si>
  <si>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</si>
  <si>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</si>
  <si>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</si>
  <si>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</si>
  <si>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</si>
  <si>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</si>
  <si>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</si>
  <si>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</si>
  <si>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</si>
  <si>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</si>
  <si>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</si>
  <si>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</si>
  <si>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</si>
  <si>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</si>
  <si>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</si>
  <si>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</si>
  <si>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</si>
  <si>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</si>
  <si>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</si>
  <si>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</si>
  <si>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</si>
  <si>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</si>
  <si>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</si>
  <si>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</si>
  <si>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</si>
  <si>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</si>
  <si>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</si>
  <si>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</si>
  <si>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</si>
  <si>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</si>
  <si>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</si>
  <si>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</si>
  <si>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</si>
  <si>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</si>
  <si>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</si>
  <si>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</si>
  <si>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</si>
  <si>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</si>
  <si>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</si>
  <si>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</si>
  <si>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</si>
  <si>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</si>
  <si>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</si>
  <si>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</si>
  <si>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</si>
  <si>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</si>
  <si>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</si>
  <si>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</si>
  <si>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</si>
  <si>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</si>
  <si>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</si>
  <si>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</si>
  <si>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</si>
  <si>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</si>
  <si>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</si>
  <si>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</si>
  <si>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</si>
  <si>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</si>
  <si>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</si>
  <si>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</si>
  <si>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</si>
  <si>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</si>
  <si>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</si>
  <si>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</si>
  <si>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</si>
  <si>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</si>
  <si>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</si>
  <si>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</si>
  <si>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</si>
  <si>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</si>
  <si>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</si>
  <si>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</si>
  <si>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</si>
  <si>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</si>
  <si>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</si>
  <si>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</si>
  <si>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</si>
  <si>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</si>
  <si>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</si>
  <si>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</si>
  <si>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</si>
  <si>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</si>
  <si>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</si>
  <si>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</si>
  <si>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</si>
  <si>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</si>
  <si>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</si>
  <si>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</si>
  <si>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</si>
  <si>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</si>
  <si>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</si>
  <si>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</si>
  <si>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</si>
  <si>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</si>
  <si>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</si>
  <si>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</si>
  <si>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</si>
  <si>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</si>
  <si>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</si>
  <si>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</si>
  <si>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</si>
  <si>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</si>
  <si>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</si>
  <si>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</si>
  <si>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</si>
  <si>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</si>
  <si>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</si>
  <si>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</si>
  <si>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</si>
  <si>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</si>
  <si>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</si>
  <si>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</si>
  <si>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</si>
  <si>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</si>
  <si>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</si>
  <si>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</si>
  <si>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</si>
  <si>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</si>
  <si>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</si>
  <si>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</si>
  <si>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</si>
  <si>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</si>
  <si>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</si>
  <si>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</si>
  <si>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</si>
  <si>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</si>
  <si>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</si>
  <si>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</si>
  <si>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</si>
  <si>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</si>
  <si>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</si>
  <si>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</si>
  <si>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</si>
  <si>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</si>
  <si>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</si>
  <si>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</si>
  <si>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</si>
  <si>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</si>
  <si>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</si>
  <si>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</si>
  <si>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</si>
  <si>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</si>
  <si>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</si>
  <si>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</si>
  <si>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</si>
  <si>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</si>
  <si>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</si>
  <si>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</si>
  <si>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</si>
  <si>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</si>
  <si>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</si>
  <si>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</si>
  <si>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</si>
  <si>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</si>
  <si>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</si>
  <si>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</si>
  <si>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</si>
  <si>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</si>
  <si>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</si>
  <si>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</si>
  <si>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</si>
  <si>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</si>
  <si>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</si>
  <si>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</si>
  <si>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</si>
  <si>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</si>
  <si>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</si>
  <si>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</si>
  <si>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</si>
  <si>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</si>
  <si>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</si>
  <si>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</si>
  <si>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</si>
  <si>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</si>
  <si>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</si>
  <si>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</si>
  <si>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</si>
  <si>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</si>
  <si>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</si>
  <si>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</si>
  <si>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</si>
  <si>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</si>
  <si>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</si>
  <si>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</si>
  <si>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</si>
  <si>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</si>
  <si>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</si>
  <si>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</si>
  <si>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</si>
  <si>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</si>
  <si>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</si>
  <si>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</si>
  <si>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</si>
  <si>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</si>
  <si>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</si>
  <si>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</si>
  <si>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</si>
  <si>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</si>
  <si>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</si>
  <si>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</si>
  <si>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</si>
  <si>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</si>
  <si>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</si>
  <si>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</si>
  <si>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</si>
  <si>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</si>
  <si>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</si>
  <si>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</si>
  <si>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</si>
  <si>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</si>
  <si>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</si>
  <si>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</si>
  <si>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</si>
  <si>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</si>
  <si>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</si>
  <si>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</si>
  <si>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</si>
  <si>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</si>
  <si>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</si>
  <si>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</si>
  <si>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</si>
  <si>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</si>
  <si>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</si>
  <si>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</si>
  <si>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</si>
  <si>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</si>
  <si>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</si>
  <si>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</si>
  <si>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</si>
  <si>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</si>
  <si>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</si>
  <si>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</si>
  <si>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</si>
  <si>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</si>
  <si>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</si>
  <si>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</si>
  <si>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</si>
  <si>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</si>
  <si>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</si>
  <si>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</si>
  <si>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</si>
  <si>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</si>
  <si>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</si>
  <si>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</si>
  <si>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</si>
  <si>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</si>
  <si>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</si>
  <si>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</si>
  <si>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</si>
  <si>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</si>
  <si>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</si>
  <si>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</si>
  <si>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</si>
  <si>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</si>
  <si>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</si>
  <si>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</si>
  <si>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</si>
  <si>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</si>
  <si>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</si>
  <si>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</si>
  <si>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</si>
  <si>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</si>
  <si>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</si>
  <si>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</si>
  <si>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</si>
  <si>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</si>
  <si>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</si>
  <si>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</si>
  <si>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</si>
  <si>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</si>
  <si>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</si>
  <si>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</si>
  <si>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</si>
  <si>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</si>
  <si>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</si>
  <si>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</si>
  <si>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</si>
  <si>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</si>
  <si>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</si>
  <si>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</si>
  <si>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</si>
  <si>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</si>
  <si>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</si>
  <si>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</si>
  <si>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</si>
  <si>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</si>
  <si>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</si>
  <si>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</si>
  <si>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</si>
  <si>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</si>
  <si>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</si>
  <si>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</si>
  <si>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</si>
  <si>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</si>
  <si>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</si>
  <si>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</si>
  <si>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</si>
  <si>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</si>
  <si>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</si>
  <si>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</si>
  <si>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</si>
  <si>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</si>
  <si>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</si>
  <si>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</si>
  <si>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</si>
  <si>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</si>
  <si>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</si>
  <si>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</si>
  <si>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</si>
  <si>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</si>
  <si>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</si>
  <si>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</si>
  <si>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</si>
  <si>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</si>
  <si>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</si>
  <si>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</si>
  <si>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</si>
  <si>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</si>
  <si>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</si>
  <si>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</si>
  <si>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</si>
  <si>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</si>
  <si>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</si>
  <si>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</si>
  <si>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</si>
  <si>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</si>
  <si>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</si>
  <si>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</si>
  <si>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</si>
  <si>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</si>
  <si>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</si>
  <si>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</si>
  <si>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</si>
  <si>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</si>
  <si>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</si>
  <si>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</si>
  <si>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</si>
  <si>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</si>
  <si>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</si>
  <si>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</si>
  <si>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</si>
  <si>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</si>
  <si>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</si>
  <si>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</si>
  <si>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</si>
  <si>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</si>
  <si>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</si>
  <si>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</si>
  <si>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</si>
  <si>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</si>
  <si>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</si>
  <si>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</si>
  <si>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</si>
  <si>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</si>
  <si>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</si>
  <si>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</si>
  <si>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</si>
  <si>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</si>
  <si>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</si>
  <si>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</si>
  <si>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</si>
  <si>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</si>
  <si>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</si>
  <si>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</si>
  <si>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</si>
  <si>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</si>
  <si>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</si>
  <si>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</si>
  <si>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</si>
  <si>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</si>
  <si>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</si>
  <si>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</si>
  <si>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</si>
  <si>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</si>
  <si>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</si>
  <si>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</si>
  <si>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</si>
  <si>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</si>
  <si>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</si>
  <si>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</si>
  <si>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</si>
  <si>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</si>
  <si>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</si>
  <si>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</si>
  <si>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</si>
  <si>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</si>
  <si>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</si>
  <si>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</si>
  <si>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</si>
  <si>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</si>
  <si>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</si>
  <si>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</si>
  <si>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</si>
  <si>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</si>
  <si>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</si>
  <si>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</si>
  <si>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</si>
  <si>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</si>
  <si>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</si>
  <si>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</si>
  <si>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</si>
  <si>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</si>
  <si>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</si>
  <si>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</si>
  <si>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</si>
  <si>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</si>
  <si>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</si>
  <si>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</si>
  <si>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</si>
  <si>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</si>
  <si>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</si>
  <si>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</si>
  <si>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</si>
  <si>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</si>
  <si>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</si>
  <si>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</si>
  <si>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</si>
  <si>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</si>
  <si>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</si>
  <si>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</si>
  <si>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</si>
  <si>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</si>
  <si>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</si>
  <si>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</si>
  <si>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</si>
  <si>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</si>
  <si>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</si>
  <si>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</si>
  <si>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</si>
  <si>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</si>
  <si>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</si>
  <si>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</si>
  <si>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</si>
  <si>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</si>
  <si>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</si>
  <si>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</si>
  <si>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</si>
  <si>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</si>
  <si>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</si>
  <si>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</si>
  <si>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</si>
  <si>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</si>
  <si>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</si>
  <si>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</si>
  <si>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</si>
  <si>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</si>
  <si>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</si>
  <si>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</si>
  <si>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</si>
  <si>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</si>
  <si>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</si>
  <si>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</si>
  <si>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</si>
  <si>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</si>
  <si>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</si>
  <si>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</si>
  <si>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</si>
  <si>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</si>
  <si>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</si>
  <si>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</si>
  <si>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</si>
  <si>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</si>
  <si>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</si>
  <si>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</si>
  <si>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</si>
  <si>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</si>
  <si>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</si>
  <si>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</si>
  <si>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</si>
  <si>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</si>
  <si>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</si>
  <si>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</si>
  <si>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</si>
  <si>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</si>
  <si>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</si>
  <si>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</si>
  <si>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</si>
  <si>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</si>
  <si>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</si>
  <si>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</si>
  <si>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</si>
  <si>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</si>
  <si>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</si>
  <si>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</si>
  <si>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</si>
  <si>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</si>
  <si>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</si>
  <si>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</si>
  <si>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</si>
  <si>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</si>
  <si>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</si>
  <si>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</si>
  <si>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</si>
  <si>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</si>
  <si>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</si>
  <si>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</si>
  <si>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</si>
  <si>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</si>
  <si>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</si>
  <si>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</si>
  <si>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</si>
  <si>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</si>
  <si>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</si>
  <si>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</si>
  <si>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</si>
  <si>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</si>
  <si>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</si>
  <si>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</si>
  <si>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</si>
  <si>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</si>
  <si>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</si>
  <si>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</si>
  <si>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</si>
  <si>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</si>
  <si>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</si>
  <si>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</si>
  <si>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</si>
  <si>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</si>
  <si>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</si>
  <si>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</si>
  <si>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</si>
  <si>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</si>
  <si>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</si>
  <si>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</si>
  <si>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</si>
  <si>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</si>
  <si>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</si>
  <si>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</si>
  <si>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</si>
  <si>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</si>
  <si>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</si>
  <si>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</si>
  <si>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</si>
  <si>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</si>
  <si>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</si>
  <si>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</si>
  <si>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</si>
  <si>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</si>
  <si>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</si>
  <si>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</si>
  <si>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</si>
  <si>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</si>
  <si>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</si>
  <si>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</si>
  <si>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</si>
  <si>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</si>
  <si>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</si>
  <si>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</si>
  <si>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</si>
  <si>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</si>
  <si>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</si>
  <si>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</si>
  <si>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</si>
  <si>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</si>
  <si>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</si>
  <si>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</si>
  <si>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</si>
  <si>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</si>
  <si>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</si>
  <si>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</si>
  <si>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</si>
  <si>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</si>
  <si>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</si>
  <si>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</si>
  <si>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</si>
  <si>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</si>
  <si>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</si>
  <si>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</si>
  <si>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</si>
  <si>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</si>
  <si>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</si>
  <si>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</si>
  <si>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</si>
  <si>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</si>
  <si>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</si>
  <si>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</si>
  <si>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</si>
  <si>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</si>
  <si>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</si>
  <si>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</si>
  <si>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</si>
  <si>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</si>
  <si>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</si>
  <si>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</si>
  <si>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</si>
  <si>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</si>
  <si>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</si>
  <si>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</si>
  <si>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</si>
  <si>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</si>
  <si>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</si>
  <si>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</si>
  <si>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</si>
  <si>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</si>
  <si>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</si>
  <si>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</si>
  <si>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</si>
  <si>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</si>
  <si>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</si>
  <si>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</si>
  <si>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</si>
  <si>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</si>
  <si>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</si>
  <si>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</si>
  <si>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</si>
  <si>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</si>
  <si>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</si>
  <si>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</si>
  <si>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</si>
  <si>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</si>
  <si>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</si>
  <si>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</si>
  <si>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</si>
  <si>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</si>
  <si>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</si>
  <si>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</si>
  <si>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</si>
  <si>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</si>
  <si>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</si>
  <si>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</si>
  <si>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</si>
  <si>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</si>
  <si>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</si>
  <si>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</si>
  <si>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</si>
  <si>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</si>
  <si>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</si>
  <si>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</si>
  <si>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</si>
  <si>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</si>
  <si>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</si>
  <si>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</si>
  <si>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</si>
  <si>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</si>
  <si>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</si>
  <si>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</si>
  <si>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</si>
  <si>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</si>
  <si>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</si>
  <si>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</si>
  <si>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</si>
  <si>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</si>
  <si>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</si>
  <si>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</si>
  <si>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</si>
  <si>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</si>
  <si>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</si>
  <si>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</si>
  <si>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</si>
  <si>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</si>
  <si>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</si>
  <si>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</si>
  <si>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</si>
  <si>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</si>
  <si>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</si>
  <si>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</si>
  <si>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</si>
  <si>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</si>
  <si>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</si>
  <si>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</si>
  <si>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</si>
  <si>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</si>
  <si>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</si>
  <si>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</si>
  <si>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</si>
  <si>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</si>
  <si>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</si>
  <si>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</si>
  <si>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</si>
  <si>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</si>
  <si>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</si>
  <si>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</si>
  <si>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</si>
  <si>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</si>
  <si>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</si>
  <si>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</si>
  <si>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</si>
  <si>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</si>
  <si>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</si>
  <si>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</si>
  <si>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</si>
  <si>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</si>
  <si>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</si>
  <si>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</si>
  <si>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</si>
  <si>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</si>
  <si>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</si>
  <si>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</si>
  <si>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</si>
  <si>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</si>
  <si>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</si>
  <si>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</si>
  <si>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</si>
  <si>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</si>
  <si>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</si>
  <si>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</si>
  <si>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</si>
  <si>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</si>
  <si>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</si>
  <si>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</si>
  <si>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</si>
  <si>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</si>
  <si>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</si>
  <si>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</si>
  <si>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</si>
  <si>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</si>
  <si>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</si>
  <si>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</si>
  <si>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</si>
  <si>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</si>
  <si>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</si>
  <si>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</si>
  <si>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</si>
  <si>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</si>
  <si>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</si>
  <si>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</si>
  <si>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</si>
  <si>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</si>
  <si>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</si>
  <si>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</si>
  <si>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</si>
  <si>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</si>
  <si>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</si>
  <si>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</si>
  <si>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</si>
  <si>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</si>
  <si>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</si>
  <si>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</si>
  <si>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</si>
  <si>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</si>
  <si>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</si>
  <si>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</si>
  <si>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</si>
  <si>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</si>
  <si>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</si>
  <si>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</si>
  <si>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</si>
  <si>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</si>
  <si>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</si>
  <si>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</si>
  <si>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</si>
  <si>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</si>
  <si>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</si>
  <si>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</si>
  <si>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</si>
  <si>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</si>
  <si>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</si>
  <si>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</si>
  <si>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</si>
  <si>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</si>
  <si>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</si>
  <si>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</si>
  <si>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</si>
  <si>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</si>
  <si>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</si>
  <si>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</si>
  <si>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</si>
  <si>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</si>
  <si>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</si>
  <si>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</si>
  <si>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</si>
  <si>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</si>
  <si>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</si>
  <si>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</si>
  <si>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</si>
  <si>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</si>
  <si>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</si>
  <si>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</si>
  <si>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</si>
  <si>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</si>
  <si>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</si>
  <si>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</si>
  <si>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</si>
  <si>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</si>
  <si>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</si>
  <si>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</si>
  <si>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</si>
  <si>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</si>
  <si>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</si>
  <si>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</si>
  <si>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</si>
  <si>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</si>
  <si>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</si>
  <si>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</si>
  <si>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</si>
  <si>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</si>
  <si>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</si>
  <si>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</si>
  <si>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</si>
  <si>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</si>
  <si>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</si>
  <si>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</si>
  <si>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</si>
  <si>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</si>
  <si>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</si>
  <si>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</si>
  <si>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</si>
  <si>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</si>
  <si>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</si>
  <si>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</si>
  <si>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</si>
  <si>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</si>
  <si>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</si>
  <si>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</si>
  <si>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</si>
  <si>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</si>
  <si>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</si>
  <si>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</si>
  <si>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</si>
  <si>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</si>
  <si>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</si>
  <si>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</si>
  <si>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</si>
  <si>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</si>
  <si>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</si>
  <si>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</si>
  <si>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</si>
  <si>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</si>
  <si>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</si>
  <si>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</si>
  <si>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</si>
  <si>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</si>
  <si>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</si>
  <si>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</si>
  <si>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</si>
  <si>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</si>
  <si>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</si>
  <si>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</si>
  <si>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</si>
  <si>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</si>
  <si>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</si>
  <si>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</si>
  <si>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</si>
  <si>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</si>
  <si>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</si>
  <si>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</si>
  <si>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</si>
  <si>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</si>
  <si>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</si>
  <si>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</si>
  <si>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</si>
  <si>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</si>
  <si>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</si>
  <si>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</si>
  <si>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</si>
  <si>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</si>
  <si>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</si>
  <si>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</si>
  <si>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</si>
  <si>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</si>
  <si>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</si>
  <si>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</si>
  <si>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</si>
  <si>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</si>
  <si>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</si>
  <si>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</si>
  <si>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</si>
  <si>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</si>
  <si>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</si>
  <si>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</si>
  <si>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</si>
  <si>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</si>
  <si>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</si>
  <si>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</si>
  <si>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</si>
  <si>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</si>
  <si>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</si>
  <si>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</si>
  <si>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</si>
  <si>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</si>
  <si>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</si>
  <si>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</si>
  <si>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</si>
  <si>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</si>
  <si>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</si>
  <si>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</si>
  <si>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</si>
  <si>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</si>
  <si>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</si>
  <si>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</si>
  <si>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</si>
  <si>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</si>
  <si>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</si>
  <si>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</si>
  <si>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</si>
  <si>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</si>
  <si>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</si>
  <si>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</si>
  <si>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</si>
  <si>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</si>
  <si>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</si>
  <si>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</si>
  <si>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</si>
  <si>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</si>
  <si>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</si>
  <si>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</si>
  <si>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</si>
  <si>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</si>
  <si>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</si>
  <si>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</si>
  <si>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</si>
  <si>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</si>
  <si>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</si>
  <si>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</si>
  <si>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</si>
  <si>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</si>
  <si>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</si>
  <si>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</si>
  <si>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</si>
  <si>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</si>
  <si>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</si>
  <si>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</si>
  <si>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</si>
  <si>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</si>
  <si>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</si>
  <si>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</si>
  <si>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</si>
  <si>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</si>
  <si>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</si>
  <si>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</si>
  <si>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</si>
  <si>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</si>
  <si>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</si>
  <si>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</si>
  <si>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</si>
  <si>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</si>
  <si>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</si>
  <si>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</si>
  <si>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</si>
  <si>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</si>
  <si>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</si>
  <si>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</si>
  <si>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</si>
  <si>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</si>
  <si>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</si>
  <si>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</si>
  <si>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</si>
  <si>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</si>
  <si>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</si>
  <si>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</si>
  <si>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</si>
  <si>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</si>
  <si>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</si>
  <si>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</si>
  <si>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</si>
  <si>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</si>
  <si>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</si>
  <si>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</si>
  <si>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</si>
  <si>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</si>
  <si>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</si>
  <si>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</si>
  <si>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</si>
  <si>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</si>
  <si>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</si>
  <si>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</si>
  <si>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</si>
  <si>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</si>
  <si>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</si>
  <si>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</si>
  <si>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</si>
  <si>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</si>
  <si>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</si>
  <si>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</si>
  <si>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</si>
  <si>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</si>
  <si>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</si>
  <si>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</si>
  <si>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</si>
  <si>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</si>
  <si>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</si>
  <si>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</si>
  <si>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</si>
  <si>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</si>
  <si>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</si>
  <si>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</si>
  <si>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</si>
  <si>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</si>
  <si>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</si>
  <si>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</si>
  <si>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</si>
  <si>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</si>
  <si>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</si>
  <si>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</si>
  <si>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</si>
  <si>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</si>
  <si>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</si>
  <si>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</si>
  <si>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</si>
  <si>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</si>
  <si>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</si>
  <si>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</si>
  <si>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</si>
  <si>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</si>
  <si>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</si>
  <si>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</si>
  <si>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</si>
  <si>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</si>
  <si>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</si>
  <si>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</si>
  <si>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</si>
  <si>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</si>
  <si>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</si>
  <si>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</si>
  <si>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</si>
  <si>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</si>
  <si>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</si>
  <si>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</si>
  <si>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</si>
  <si>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</si>
  <si>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</si>
  <si>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</si>
  <si>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</si>
  <si>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</si>
  <si>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</si>
  <si>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</si>
  <si>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</si>
  <si>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</si>
  <si>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</si>
  <si>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</si>
  <si>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</si>
  <si>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</si>
  <si>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</si>
  <si>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</si>
  <si>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</si>
  <si>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</si>
  <si>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</si>
  <si>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</si>
  <si>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</si>
  <si>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</si>
  <si>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</si>
  <si>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</si>
  <si>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</si>
  <si>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</si>
  <si>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</si>
  <si>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</si>
  <si>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</si>
  <si>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</si>
  <si>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</si>
  <si>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</si>
  <si>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</si>
  <si>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</si>
  <si>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</si>
  <si>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</si>
  <si>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</si>
  <si>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</si>
  <si>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</si>
  <si>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</si>
  <si>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</si>
  <si>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</si>
  <si>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</si>
  <si>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</si>
  <si>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</si>
  <si>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</si>
  <si>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</si>
  <si>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</si>
  <si>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</si>
  <si>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</si>
  <si>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</si>
  <si>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</si>
  <si>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</si>
  <si>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</si>
  <si>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</si>
  <si>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</si>
  <si>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</si>
  <si>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</si>
  <si>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</si>
  <si>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</si>
  <si>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</si>
  <si>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</si>
  <si>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</si>
  <si>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</si>
  <si>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</si>
  <si>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</si>
  <si>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</si>
  <si>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</si>
  <si>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</si>
  <si>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</si>
  <si>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</si>
  <si>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</si>
  <si>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</si>
  <si>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</si>
  <si>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</si>
  <si>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</si>
  <si>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</si>
  <si>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</si>
  <si>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</si>
  <si>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</si>
  <si>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</si>
  <si>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</si>
  <si>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</si>
  <si>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</si>
  <si>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</si>
  <si>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</si>
  <si>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</si>
  <si>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</si>
  <si>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</si>
  <si>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</si>
  <si>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</si>
  <si>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</si>
  <si>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</si>
  <si>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</si>
  <si>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</si>
  <si>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</si>
  <si>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</si>
  <si>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</si>
  <si>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</si>
  <si>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</si>
  <si>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</si>
  <si>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</si>
  <si>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</si>
  <si>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</si>
  <si>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</si>
  <si>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</si>
  <si>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</si>
  <si>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</si>
  <si>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</si>
  <si>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</si>
  <si>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</si>
  <si>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</si>
  <si>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</si>
  <si>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</si>
  <si>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</si>
  <si>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</si>
  <si>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</si>
  <si>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</si>
  <si>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</si>
  <si>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</si>
  <si>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</si>
  <si>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</si>
  <si>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</si>
  <si>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</si>
  <si>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</si>
  <si>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</si>
  <si>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</si>
  <si>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</si>
  <si>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</si>
  <si>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</si>
  <si>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</si>
  <si>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</si>
  <si>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</si>
  <si>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</si>
  <si>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</si>
  <si>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</si>
  <si>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</si>
  <si>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</si>
  <si>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</si>
  <si>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</si>
  <si>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</si>
  <si>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</si>
  <si>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</si>
  <si>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</si>
  <si>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</si>
  <si>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</si>
  <si>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</si>
  <si>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</si>
  <si>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</si>
  <si>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</si>
  <si>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</si>
  <si>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</si>
  <si>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</si>
  <si>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</si>
  <si>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</si>
  <si>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</si>
  <si>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</si>
  <si>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</si>
  <si>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</si>
  <si>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</si>
  <si>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</si>
  <si>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</si>
  <si>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</si>
  <si>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</si>
  <si>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</si>
  <si>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</si>
  <si>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</si>
  <si>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</si>
  <si>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</si>
  <si>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</si>
  <si>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</si>
  <si>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</si>
  <si>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</si>
  <si>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</si>
  <si>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</si>
  <si>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</si>
  <si>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</si>
  <si>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</si>
  <si>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</si>
  <si>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</si>
  <si>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</si>
  <si>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</si>
  <si>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</si>
  <si>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</si>
  <si>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</si>
  <si>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</si>
  <si>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</si>
  <si>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</si>
  <si>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</si>
  <si>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</si>
  <si>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</si>
  <si>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</si>
  <si>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</si>
  <si>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</si>
  <si>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</si>
  <si>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</si>
  <si>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</si>
  <si>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</si>
  <si>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</si>
  <si>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</si>
  <si>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</si>
  <si>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</si>
  <si>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</si>
  <si>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</si>
  <si>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</si>
  <si>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</si>
  <si>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</si>
  <si>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</si>
  <si>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</si>
  <si>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</si>
  <si>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</si>
  <si>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</si>
  <si>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</si>
  <si>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</si>
  <si>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</si>
  <si>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</si>
  <si>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</si>
  <si>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</si>
  <si>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</si>
  <si>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</si>
  <si>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</si>
  <si>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</si>
  <si>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</si>
  <si>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</si>
  <si>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</si>
  <si>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</si>
  <si>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</si>
  <si>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</si>
  <si>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</si>
  <si>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</si>
  <si>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</si>
  <si>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</si>
  <si>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</si>
  <si>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</si>
  <si>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</si>
  <si>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</si>
  <si>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</si>
  <si>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</si>
  <si>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</si>
  <si>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</si>
  <si>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</si>
  <si>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</si>
  <si>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</si>
  <si>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</si>
  <si>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</si>
  <si>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</si>
  <si>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</si>
  <si>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</si>
  <si>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</si>
  <si>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</si>
  <si>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</si>
  <si>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</si>
  <si>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</si>
  <si>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</si>
  <si>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</si>
  <si>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</si>
  <si>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</si>
  <si>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</si>
  <si>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</si>
  <si>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</si>
  <si>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</si>
  <si>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</si>
  <si>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</si>
  <si>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</si>
  <si>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</si>
  <si>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</si>
  <si>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</si>
  <si>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</si>
  <si>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</si>
  <si>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</si>
  <si>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</si>
  <si>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</si>
  <si>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</si>
  <si>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</si>
  <si>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</si>
  <si>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</si>
  <si>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</si>
  <si>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</si>
  <si>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</si>
  <si>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</si>
  <si>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</si>
  <si>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</si>
  <si>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</si>
  <si>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</si>
  <si>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</si>
  <si>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</si>
  <si>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</si>
  <si>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</si>
  <si>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</si>
  <si>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</si>
  <si>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</si>
  <si>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</si>
  <si>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</si>
  <si>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</si>
  <si>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</si>
  <si>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</si>
  <si>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</si>
  <si>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</si>
  <si>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</si>
  <si>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</si>
  <si>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</si>
  <si>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</si>
  <si>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</si>
  <si>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</si>
  <si>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</si>
  <si>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</si>
  <si>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</si>
  <si>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</si>
  <si>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</si>
  <si>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</si>
  <si>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</si>
  <si>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</si>
  <si>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</si>
  <si>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</si>
  <si>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</si>
  <si>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</si>
  <si>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</si>
  <si>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</si>
  <si>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</si>
  <si>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</si>
  <si>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</si>
  <si>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</si>
  <si>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</si>
  <si>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</si>
  <si>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</si>
  <si>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</si>
  <si>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</si>
  <si>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</si>
  <si>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</si>
  <si>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</si>
  <si>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</si>
  <si>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</si>
  <si>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</si>
  <si>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</si>
  <si>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</si>
  <si>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</si>
  <si>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</si>
  <si>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</si>
  <si>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</si>
  <si>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</si>
  <si>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</si>
  <si>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</si>
  <si>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</si>
  <si>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</si>
  <si>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</si>
  <si>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</si>
  <si>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</si>
  <si>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</si>
  <si>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</si>
  <si>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</si>
  <si>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</si>
  <si>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</si>
  <si>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</si>
  <si>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</si>
  <si>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</si>
  <si>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</si>
  <si>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</si>
  <si>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</si>
  <si>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</si>
  <si>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</si>
  <si>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</si>
  <si>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</si>
  <si>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</si>
  <si>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</si>
  <si>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</si>
  <si>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</si>
  <si>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</si>
  <si>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</si>
  <si>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</si>
  <si>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</si>
  <si>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</si>
  <si>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</si>
  <si>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</si>
  <si>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</si>
  <si>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</si>
  <si>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</si>
  <si>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</si>
  <si>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</si>
  <si>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</si>
  <si>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</si>
  <si>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</si>
  <si>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</si>
  <si>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</si>
  <si>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</si>
  <si>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</si>
  <si>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</si>
  <si>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</si>
  <si>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</si>
  <si>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</si>
  <si>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</si>
  <si>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</si>
  <si>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</si>
  <si>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</si>
  <si>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</si>
  <si>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</si>
  <si>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</si>
  <si>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</si>
  <si>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</si>
  <si>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</si>
  <si>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</si>
  <si>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</si>
  <si>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</si>
  <si>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</si>
  <si>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</si>
  <si>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</si>
  <si>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</si>
  <si>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</si>
  <si>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</si>
  <si>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</si>
  <si>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</si>
  <si>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</si>
  <si>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</si>
  <si>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</si>
  <si>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</si>
  <si>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</si>
  <si>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</si>
  <si>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</si>
  <si>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</si>
  <si>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</si>
  <si>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</si>
  <si>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</si>
  <si>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</si>
  <si>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</si>
  <si>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</si>
  <si>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</si>
  <si>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</si>
  <si>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</si>
  <si>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</si>
  <si>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</si>
  <si>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</si>
  <si>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</si>
  <si>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</si>
  <si>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</si>
  <si>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</si>
  <si>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</si>
  <si>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</si>
  <si>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</si>
  <si>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</si>
  <si>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</si>
  <si>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</si>
  <si>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</si>
  <si>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</si>
  <si>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</si>
  <si>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</si>
  <si>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</si>
  <si>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</si>
  <si>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</si>
  <si>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</si>
  <si>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</si>
  <si>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</si>
  <si>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</si>
  <si>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</si>
  <si>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</si>
  <si>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</si>
  <si>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</si>
  <si>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</si>
  <si>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</si>
  <si>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</si>
  <si>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</si>
  <si>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</si>
  <si>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</si>
  <si>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</si>
  <si>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</si>
  <si>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</si>
  <si>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</si>
  <si>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</si>
  <si>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</si>
  <si>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</si>
  <si>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</si>
  <si>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</si>
  <si>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</si>
  <si>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</si>
  <si>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</si>
  <si>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</si>
  <si>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</si>
  <si>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</si>
  <si>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</si>
  <si>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</si>
  <si>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</si>
  <si>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</si>
  <si>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</si>
  <si>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</si>
  <si>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</si>
  <si>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</si>
  <si>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</si>
  <si>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</si>
  <si>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</si>
  <si>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</si>
  <si>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</si>
  <si>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</si>
  <si>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</si>
  <si>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</si>
  <si>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</si>
  <si>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</si>
  <si>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</si>
  <si>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</si>
  <si>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</si>
  <si>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</si>
  <si>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</si>
  <si>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</si>
  <si>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</si>
  <si>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</si>
  <si>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</si>
  <si>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</si>
  <si>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</si>
  <si>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</si>
  <si>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</si>
  <si>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</si>
  <si>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</si>
  <si>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</si>
  <si>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</si>
  <si>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</si>
  <si>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</si>
  <si>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</si>
  <si>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</si>
  <si>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</si>
  <si>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</si>
  <si>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</si>
  <si>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</si>
  <si>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</si>
  <si>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</si>
  <si>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</si>
  <si>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</si>
  <si>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</si>
  <si>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</si>
  <si>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</si>
  <si>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</si>
  <si>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</si>
  <si>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</si>
  <si>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</si>
  <si>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</si>
  <si>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</si>
  <si>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</si>
  <si>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</si>
  <si>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</si>
  <si>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</si>
  <si>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</si>
  <si>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</si>
  <si>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</si>
  <si>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</si>
  <si>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</si>
  <si>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</si>
  <si>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</si>
  <si>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</si>
  <si>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</si>
  <si>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</si>
  <si>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</si>
  <si>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</si>
  <si>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</si>
  <si>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</si>
  <si>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</si>
  <si>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</si>
  <si>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</si>
  <si>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</si>
  <si>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</si>
  <si>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</si>
  <si>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</si>
  <si>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</si>
  <si>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</si>
  <si>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</si>
  <si>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</si>
  <si>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</si>
  <si>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</si>
  <si>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</si>
  <si>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</si>
  <si>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</si>
  <si>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</si>
  <si>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</si>
  <si>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</si>
  <si>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</si>
  <si>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</si>
  <si>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</si>
  <si>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</si>
  <si>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</si>
  <si>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</si>
  <si>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</si>
  <si>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</si>
  <si>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</si>
  <si>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</si>
  <si>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</si>
  <si>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</si>
  <si>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</si>
  <si>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</si>
  <si>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</si>
  <si>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</si>
  <si>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</si>
  <si>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</si>
  <si>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</si>
  <si>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</si>
  <si>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</si>
  <si>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</si>
  <si>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</si>
  <si>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</si>
  <si>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</si>
  <si>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</si>
  <si>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</si>
  <si>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</si>
  <si>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</si>
  <si>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</si>
  <si>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</si>
  <si>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</si>
  <si>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</si>
  <si>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</si>
  <si>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</si>
  <si>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</si>
  <si>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</si>
  <si>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</si>
  <si>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</si>
  <si>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</si>
  <si>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</si>
  <si>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</si>
  <si>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</si>
  <si>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</si>
  <si>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</si>
  <si>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</si>
  <si>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</si>
  <si>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</si>
  <si>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</si>
  <si>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</si>
  <si>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</si>
  <si>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</si>
  <si>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</si>
  <si>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</si>
  <si>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</si>
  <si>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</si>
  <si>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</si>
  <si>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</si>
  <si>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</si>
  <si>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</si>
  <si>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</si>
  <si>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</si>
  <si>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</si>
  <si>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</si>
  <si>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</si>
  <si>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</si>
  <si>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</si>
  <si>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</si>
  <si>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</si>
  <si>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</si>
  <si>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</si>
  <si>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</si>
  <si>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</si>
  <si>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</si>
  <si>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</si>
  <si>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</si>
  <si>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</si>
  <si>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</si>
  <si>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</si>
  <si>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</si>
  <si>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</si>
  <si>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</si>
  <si>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</si>
  <si>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</si>
  <si>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</si>
  <si>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</si>
  <si>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</si>
  <si>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</si>
  <si>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</si>
  <si>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</si>
  <si>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</si>
  <si>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</si>
  <si>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</si>
  <si>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</si>
  <si>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</si>
  <si>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</si>
  <si>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</si>
  <si>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</si>
  <si>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</si>
  <si>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</si>
  <si>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</si>
  <si>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</si>
  <si>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</si>
  <si>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</si>
  <si>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</si>
  <si>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</si>
  <si>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</si>
  <si>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</si>
  <si>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</si>
  <si>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</si>
  <si>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</si>
  <si>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</si>
  <si>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</si>
  <si>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</si>
  <si>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</si>
  <si>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</si>
  <si>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</si>
  <si>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</si>
  <si>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</si>
  <si>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</si>
  <si>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</si>
  <si>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</si>
  <si>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</si>
  <si>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</si>
  <si>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</si>
  <si>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</si>
  <si>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</si>
  <si>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</si>
  <si>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</si>
  <si>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</si>
  <si>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</si>
  <si>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</si>
  <si>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</si>
  <si>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</si>
  <si>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</si>
  <si>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</si>
  <si>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</si>
  <si>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</si>
  <si>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</si>
  <si>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</si>
  <si>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</si>
  <si>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</si>
  <si>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</si>
  <si>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</si>
  <si>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</si>
  <si>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</si>
  <si>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</si>
  <si>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</si>
  <si>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</si>
  <si>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</si>
  <si>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</si>
  <si>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</si>
  <si>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</si>
  <si>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</si>
  <si>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</si>
  <si>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</si>
  <si>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</si>
  <si>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</si>
  <si>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</si>
  <si>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</si>
  <si>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</si>
  <si>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</si>
  <si>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</si>
  <si>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</si>
  <si>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</si>
  <si>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</si>
  <si>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</si>
  <si>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</si>
  <si>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</si>
  <si>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</si>
  <si>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</si>
  <si>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</si>
  <si>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</si>
  <si>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</si>
  <si>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</si>
  <si>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</si>
  <si>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</si>
  <si>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</si>
  <si>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</si>
  <si>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</si>
  <si>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</si>
  <si>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</si>
  <si>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</si>
  <si>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</si>
  <si>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</si>
  <si>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</si>
  <si>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</si>
  <si>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</si>
  <si>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</si>
  <si>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</si>
  <si>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</si>
  <si>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</si>
  <si>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</si>
  <si>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</si>
  <si>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</si>
  <si>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</si>
  <si>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</si>
  <si>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</si>
  <si>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</si>
  <si>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</si>
  <si>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</si>
  <si>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</si>
  <si>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</si>
  <si>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</si>
  <si>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</si>
  <si>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</si>
  <si>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</si>
  <si>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</si>
  <si>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</si>
  <si>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</si>
  <si>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</si>
  <si>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</si>
  <si>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</si>
  <si>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</si>
  <si>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</si>
  <si>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</si>
  <si>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</si>
  <si>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</si>
  <si>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</si>
  <si>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</si>
  <si>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</si>
  <si>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</si>
  <si>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</si>
  <si>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</si>
  <si>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</si>
  <si>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</si>
  <si>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</si>
  <si>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</si>
  <si>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</si>
  <si>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</si>
  <si>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</si>
  <si>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</si>
  <si>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</si>
  <si>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</si>
  <si>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</si>
  <si>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</si>
  <si>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</si>
  <si>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</si>
  <si>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</si>
  <si>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</si>
  <si>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</si>
  <si>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</si>
  <si>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</si>
  <si>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</si>
  <si>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</si>
  <si>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</si>
  <si>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</si>
  <si>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</si>
  <si>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</si>
  <si>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</si>
  <si>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</si>
  <si>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</si>
  <si>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</si>
  <si>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</si>
  <si>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</si>
  <si>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</si>
  <si>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</si>
  <si>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</si>
  <si>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</si>
  <si>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</si>
  <si>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</si>
  <si>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</si>
  <si>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</si>
  <si>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</si>
  <si>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</si>
  <si>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</si>
  <si>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</si>
  <si>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</si>
  <si>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</si>
  <si>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</si>
  <si>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</si>
  <si>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</si>
  <si>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</si>
  <si>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</si>
  <si>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</si>
  <si>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</si>
  <si>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</si>
  <si>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</si>
  <si>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</si>
  <si>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</si>
  <si>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</si>
  <si>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</si>
  <si>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</si>
  <si>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</si>
  <si>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</si>
  <si>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</si>
  <si>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</si>
  <si>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</si>
  <si>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</si>
  <si>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</si>
  <si>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</si>
  <si>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</si>
  <si>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</si>
  <si>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</si>
  <si>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</si>
  <si>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</si>
  <si>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</si>
  <si>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</si>
  <si>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</si>
  <si>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</si>
  <si>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</si>
  <si>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</si>
  <si>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</si>
  <si>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</si>
  <si>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</si>
  <si>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</si>
  <si>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</si>
  <si>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</si>
  <si>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</si>
  <si>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</si>
  <si>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</si>
  <si>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</si>
  <si>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</si>
  <si>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</si>
  <si>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</si>
  <si>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</si>
  <si>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</si>
  <si>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</si>
  <si>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</si>
  <si>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</si>
  <si>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</si>
  <si>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</si>
  <si>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</si>
  <si>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</si>
  <si>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</si>
  <si>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</si>
  <si>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</si>
  <si>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</si>
  <si>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</si>
  <si>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</si>
  <si>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</si>
  <si>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</si>
  <si>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</si>
  <si>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</si>
  <si>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</si>
  <si>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</si>
  <si>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</si>
  <si>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</si>
  <si>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</si>
  <si>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</si>
  <si>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</si>
  <si>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</si>
  <si>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</si>
  <si>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</si>
  <si>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</si>
  <si>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</si>
  <si>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</si>
  <si>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</si>
  <si>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</si>
  <si>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</si>
  <si>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</si>
  <si>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</si>
  <si>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</si>
  <si>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</si>
  <si>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</si>
  <si>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</si>
  <si>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</si>
  <si>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</si>
  <si>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</si>
  <si>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</si>
  <si>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</si>
  <si>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</si>
  <si>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</si>
  <si>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</si>
  <si>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</si>
  <si>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</si>
  <si>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</si>
  <si>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</si>
  <si>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</si>
  <si>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</si>
  <si>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</si>
  <si>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</si>
  <si>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</si>
  <si>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</si>
  <si>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</si>
  <si>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</si>
  <si>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</si>
  <si>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</si>
  <si>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</si>
  <si>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</si>
  <si>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</si>
  <si>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</si>
  <si>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</si>
  <si>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</si>
  <si>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</si>
  <si>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</si>
  <si>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</si>
  <si>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</si>
  <si>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</si>
  <si>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</si>
  <si>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</si>
  <si>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</si>
  <si>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</si>
  <si>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</si>
  <si>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</si>
  <si>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</si>
  <si>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</si>
  <si>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</si>
  <si>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</si>
  <si>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</si>
  <si>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</si>
  <si>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</si>
  <si>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</si>
  <si>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</si>
  <si>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</si>
  <si>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</si>
  <si>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</si>
  <si>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</si>
  <si>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</si>
  <si>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</si>
  <si>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</si>
  <si>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</si>
  <si>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</si>
  <si>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</si>
  <si>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</si>
  <si>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</si>
  <si>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</si>
  <si>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</si>
  <si>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</si>
  <si>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</si>
  <si>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</si>
  <si>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</si>
  <si>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</si>
  <si>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</si>
  <si>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</si>
  <si>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</si>
  <si>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</si>
  <si>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</si>
  <si>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</si>
  <si>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</si>
  <si>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</si>
  <si>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</si>
  <si>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</si>
  <si>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</si>
  <si>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</si>
  <si>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</si>
  <si>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</si>
  <si>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</si>
  <si>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</si>
  <si>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</si>
  <si>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</si>
  <si>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</si>
  <si>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</si>
  <si>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</si>
  <si>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</si>
  <si>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</si>
  <si>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</si>
  <si>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</si>
  <si>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</si>
  <si>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</si>
  <si>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</si>
  <si>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</si>
  <si>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</si>
  <si>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</si>
  <si>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</si>
  <si>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</si>
  <si>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</si>
  <si>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</si>
  <si>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</si>
  <si>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</si>
  <si>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</si>
  <si>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</si>
  <si>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</si>
  <si>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</si>
  <si>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</si>
  <si>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</si>
  <si>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</si>
  <si>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</si>
  <si>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</si>
  <si>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</si>
  <si>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</si>
  <si>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</si>
  <si>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</si>
  <si>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</si>
  <si>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</si>
  <si>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</si>
  <si>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</si>
  <si>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</si>
  <si>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</si>
  <si>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</si>
  <si>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</si>
  <si>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</si>
  <si>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</si>
  <si>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</si>
  <si>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</si>
  <si>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</si>
  <si>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</si>
  <si>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</si>
  <si>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</si>
  <si>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</si>
  <si>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</si>
  <si>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</si>
  <si>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</si>
  <si>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</si>
  <si>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</si>
  <si>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</si>
  <si>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</si>
  <si>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</si>
  <si>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</si>
  <si>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</si>
  <si>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</si>
  <si>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</si>
  <si>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</si>
  <si>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</si>
  <si>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</si>
  <si>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</si>
  <si>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</si>
  <si>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</si>
  <si>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</si>
  <si>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</si>
  <si>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</si>
  <si>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</si>
  <si>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</si>
  <si>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</si>
  <si>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</si>
  <si>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</si>
  <si>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</si>
  <si>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</si>
  <si>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</si>
  <si>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</si>
  <si>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</si>
  <si>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</si>
  <si>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</si>
  <si>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</si>
  <si>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</si>
  <si>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</si>
  <si>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</si>
  <si>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</si>
  <si>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</si>
  <si>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</si>
  <si>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</si>
  <si>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</si>
  <si>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</si>
  <si>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</si>
  <si>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</si>
  <si>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</si>
  <si>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</si>
  <si>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</si>
  <si>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</si>
  <si>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</si>
  <si>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</si>
  <si>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</si>
  <si>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</si>
  <si>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</si>
  <si>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</si>
  <si>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</si>
  <si>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</si>
  <si>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</si>
  <si>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</si>
  <si>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</si>
  <si>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</si>
  <si>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</si>
  <si>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</si>
  <si>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</si>
  <si>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</si>
  <si>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</si>
  <si>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</si>
  <si>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</si>
  <si>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</si>
  <si>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</si>
  <si>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</si>
  <si>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</si>
  <si>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</si>
  <si>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</si>
  <si>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</si>
  <si>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</si>
  <si>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</si>
  <si>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</si>
  <si>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</si>
  <si>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</si>
  <si>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</si>
  <si>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</si>
  <si>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</si>
  <si>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</si>
  <si>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</si>
  <si>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</si>
  <si>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</si>
  <si>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</si>
  <si>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</si>
  <si>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</si>
  <si>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</si>
  <si>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</si>
  <si>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</si>
  <si>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</si>
  <si>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</si>
  <si>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</si>
  <si>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</si>
  <si>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</si>
  <si>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</si>
  <si>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</si>
  <si>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</si>
  <si>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</si>
  <si>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</si>
  <si>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</si>
  <si>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</si>
  <si>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</si>
  <si>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</si>
  <si>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</si>
  <si>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</si>
  <si>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</si>
  <si>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</si>
  <si>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</si>
  <si>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</si>
  <si>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</si>
  <si>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</si>
  <si>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</si>
  <si>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</si>
  <si>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</si>
  <si>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</si>
  <si>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</si>
  <si>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</si>
  <si>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</si>
  <si>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</si>
  <si>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</si>
  <si>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</si>
  <si>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</si>
  <si>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</si>
  <si>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</si>
  <si>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</si>
  <si>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</si>
  <si>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</si>
  <si>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</si>
  <si>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</si>
  <si>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</si>
  <si>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</si>
  <si>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</si>
  <si>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</si>
  <si>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</si>
  <si>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</si>
  <si>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</si>
  <si>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</si>
  <si>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</si>
  <si>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</si>
  <si>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</si>
  <si>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</si>
  <si>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</si>
  <si>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</si>
  <si>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</si>
  <si>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</si>
  <si>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</si>
  <si>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</si>
  <si>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</si>
  <si>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</si>
  <si>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</si>
  <si>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</si>
  <si>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</si>
  <si>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</si>
  <si>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</si>
  <si>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</si>
  <si>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</si>
  <si>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</si>
  <si>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</si>
  <si>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</si>
  <si>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</si>
  <si>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</si>
  <si>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</si>
  <si>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</si>
  <si>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</si>
  <si>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</si>
  <si>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</si>
  <si>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</si>
  <si>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</si>
  <si>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</si>
  <si>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</si>
  <si>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</si>
  <si>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</si>
  <si>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</si>
  <si>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</si>
  <si>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</si>
  <si>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</si>
  <si>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</si>
  <si>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</si>
  <si>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</si>
  <si>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</si>
  <si>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</si>
  <si>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</si>
  <si>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</si>
  <si>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</si>
  <si>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</si>
  <si>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</si>
  <si>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</si>
  <si>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</si>
  <si>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</si>
  <si>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</si>
  <si>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</si>
  <si>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</si>
  <si>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</si>
  <si>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</si>
  <si>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</si>
  <si>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</si>
  <si>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</si>
  <si>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</si>
  <si>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</si>
  <si>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</si>
  <si>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</si>
  <si>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</si>
  <si>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</si>
  <si>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</si>
  <si>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</si>
  <si>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</si>
  <si>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</si>
  <si>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</si>
  <si>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</si>
  <si>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</si>
  <si>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</si>
  <si>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</si>
  <si>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</si>
  <si>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</si>
  <si>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</si>
  <si>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</si>
  <si>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</si>
  <si>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</si>
  <si>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</si>
  <si>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</si>
  <si>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</si>
  <si>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</si>
  <si>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</si>
  <si>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</si>
  <si>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</si>
  <si>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</si>
  <si>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</si>
  <si>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</si>
  <si>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</si>
  <si>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</si>
  <si>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</si>
  <si>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</si>
  <si>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</si>
  <si>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</si>
  <si>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</si>
  <si>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</si>
  <si>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</si>
  <si>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</si>
  <si>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</si>
  <si>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</si>
  <si>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</si>
  <si>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</si>
  <si>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</si>
  <si>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</si>
  <si>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</si>
  <si>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</si>
  <si>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</si>
  <si>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</si>
  <si>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</si>
  <si>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</si>
  <si>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</si>
  <si>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</si>
  <si>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</si>
  <si>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</si>
  <si>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</si>
  <si>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</si>
  <si>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</si>
  <si>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</si>
  <si>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</si>
  <si>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</si>
  <si>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</si>
  <si>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</si>
  <si>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</si>
  <si>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</si>
  <si>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</si>
  <si>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</si>
  <si>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</si>
  <si>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</si>
  <si>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</si>
  <si>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</si>
  <si>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</si>
  <si>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</si>
  <si>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</si>
  <si>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</si>
  <si>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</si>
  <si>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</si>
  <si>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</si>
  <si>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</si>
  <si>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</si>
  <si>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</si>
  <si>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</si>
  <si>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</si>
  <si>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</si>
  <si>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</si>
  <si>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</si>
  <si>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</si>
  <si>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</si>
  <si>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</si>
  <si>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</si>
  <si>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</si>
  <si>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</si>
  <si>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</si>
  <si>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</si>
  <si>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</si>
  <si>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</si>
  <si>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</si>
  <si>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</si>
  <si>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</si>
  <si>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</si>
  <si>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</si>
  <si>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</si>
  <si>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</si>
  <si>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</si>
  <si>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</si>
  <si>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</si>
  <si>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</si>
  <si>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</si>
  <si>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</si>
  <si>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</si>
  <si>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</si>
  <si>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</si>
  <si>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</si>
  <si>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</si>
  <si>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</si>
  <si>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</si>
  <si>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</si>
  <si>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</si>
  <si>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</si>
  <si>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</si>
  <si>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</si>
  <si>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</si>
  <si>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</si>
  <si>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</si>
  <si>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</si>
  <si>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</si>
  <si>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</si>
  <si>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</si>
  <si>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</si>
  <si>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</si>
  <si>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</si>
  <si>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</si>
  <si>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</si>
  <si>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</si>
  <si>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</si>
  <si>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</si>
  <si>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</si>
  <si>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</si>
  <si>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</si>
  <si>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</si>
  <si>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</si>
  <si>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</si>
  <si>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</si>
  <si>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</si>
  <si>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</si>
  <si>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</si>
  <si>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</si>
  <si>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</si>
  <si>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</si>
  <si>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</si>
  <si>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</si>
  <si>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</si>
  <si>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</si>
  <si>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</si>
  <si>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</si>
  <si>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</si>
  <si>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</si>
  <si>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</si>
  <si>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</si>
  <si>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</si>
  <si>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</si>
  <si>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</si>
  <si>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</si>
  <si>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</si>
  <si>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</si>
  <si>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</si>
  <si>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</si>
  <si>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</si>
  <si>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</si>
  <si>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</si>
  <si>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</si>
  <si>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</si>
  <si>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</si>
  <si>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</si>
  <si>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</si>
  <si>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</si>
  <si>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</si>
  <si>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</si>
  <si>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</si>
  <si>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</si>
  <si>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</si>
  <si>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</si>
  <si>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</si>
  <si>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</si>
  <si>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</si>
  <si>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</si>
  <si>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</si>
  <si>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</si>
  <si>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</si>
  <si>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</si>
  <si>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</si>
  <si>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</si>
  <si>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</si>
  <si>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</si>
  <si>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</si>
  <si>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</si>
  <si>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</si>
  <si>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</si>
  <si>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</si>
  <si>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</si>
  <si>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</si>
  <si>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</si>
  <si>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</si>
  <si>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</si>
  <si>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</si>
  <si>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</si>
  <si>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</si>
  <si>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</si>
  <si>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</si>
  <si>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</si>
  <si>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</si>
  <si>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</si>
  <si>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</si>
  <si>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</si>
  <si>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</si>
  <si>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</si>
  <si>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</si>
  <si>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</si>
  <si>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</si>
  <si>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</si>
  <si>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</si>
  <si>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</si>
  <si>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</si>
  <si>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</si>
  <si>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</si>
  <si>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</si>
  <si>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</si>
  <si>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</si>
  <si>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</si>
  <si>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</si>
  <si>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</si>
  <si>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</si>
  <si>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</si>
  <si>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</si>
  <si>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</si>
  <si>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</si>
  <si>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</si>
  <si>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</si>
  <si>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</si>
  <si>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</si>
  <si>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</si>
  <si>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</si>
  <si>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</si>
  <si>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</si>
  <si>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</si>
  <si>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</si>
  <si>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</si>
  <si>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</si>
  <si>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</si>
  <si>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</si>
  <si>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</si>
  <si>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</si>
  <si>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</si>
  <si>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</si>
  <si>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</si>
  <si>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</si>
  <si>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</si>
  <si>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</si>
  <si>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</si>
  <si>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</si>
  <si>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</si>
  <si>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</si>
  <si>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</si>
  <si>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</si>
  <si>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</si>
  <si>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</si>
  <si>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</si>
  <si>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</si>
  <si>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</si>
  <si>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</si>
  <si>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</si>
  <si>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</si>
  <si>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</si>
  <si>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</si>
  <si>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</si>
  <si>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</si>
  <si>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</si>
  <si>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</si>
  <si>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</si>
  <si>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</si>
  <si>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</si>
  <si>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</si>
  <si>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</si>
  <si>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</si>
  <si>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</si>
  <si>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</si>
  <si>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</si>
  <si>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</si>
  <si>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</si>
  <si>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</si>
  <si>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</si>
  <si>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</si>
  <si>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</si>
  <si>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</si>
  <si>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</si>
  <si>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</si>
  <si>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</si>
  <si>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</si>
  <si>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</si>
  <si>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</si>
  <si>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</si>
  <si>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</si>
  <si>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</si>
  <si>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</si>
  <si>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</si>
  <si>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</si>
  <si>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</si>
  <si>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</si>
  <si>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</si>
  <si>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</si>
  <si>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</si>
  <si>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</si>
  <si>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</si>
  <si>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</si>
  <si>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</si>
  <si>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</si>
  <si>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</si>
  <si>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</si>
  <si>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</si>
  <si>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</si>
  <si>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</si>
  <si>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</si>
  <si>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</si>
  <si>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</si>
  <si>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</si>
  <si>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</si>
  <si>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</si>
  <si>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</si>
  <si>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</si>
  <si>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</si>
  <si>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</si>
  <si>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</si>
  <si>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</si>
  <si>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</si>
  <si>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</si>
  <si>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</si>
  <si>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</si>
  <si>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</si>
  <si>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</si>
  <si>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</si>
  <si>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</si>
  <si>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</si>
  <si>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</si>
  <si>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</si>
  <si>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</si>
  <si>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</si>
  <si>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</si>
  <si>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</si>
  <si>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</si>
  <si>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</si>
  <si>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</si>
  <si>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</si>
  <si>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</si>
  <si>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</si>
  <si>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</si>
  <si>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</si>
  <si>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</si>
  <si>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</si>
  <si>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</si>
  <si>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</si>
  <si>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</si>
  <si>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</si>
  <si>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</si>
  <si>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</si>
  <si>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</si>
  <si>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</si>
  <si>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</si>
  <si>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</si>
  <si>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</si>
  <si>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</si>
  <si>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</si>
  <si>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</si>
  <si>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</si>
  <si>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</si>
  <si>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</si>
  <si>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</si>
  <si>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</si>
  <si>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</si>
  <si>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</si>
  <si>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</si>
  <si>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</si>
  <si>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</si>
  <si>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</si>
  <si>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</si>
  <si>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</si>
  <si>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</si>
  <si>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</si>
  <si>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</si>
  <si>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</si>
  <si>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</si>
  <si>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</si>
  <si>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</si>
  <si>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</si>
  <si>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</si>
  <si>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</si>
  <si>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</si>
  <si>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</si>
  <si>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</si>
  <si>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</si>
  <si>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</si>
  <si>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</si>
  <si>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</si>
  <si>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</si>
  <si>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</si>
  <si>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</si>
  <si>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</si>
  <si>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</si>
  <si>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</si>
  <si>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</si>
  <si>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</si>
  <si>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</si>
  <si>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</si>
  <si>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</si>
  <si>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</si>
  <si>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</si>
  <si>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</si>
  <si>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</si>
  <si>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</si>
  <si>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</si>
  <si>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</si>
  <si>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</si>
  <si>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</si>
  <si>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</si>
  <si>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</si>
  <si>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</si>
  <si>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</si>
  <si>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</si>
  <si>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</si>
  <si>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</si>
  <si>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</si>
  <si>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</si>
  <si>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</si>
  <si>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</si>
  <si>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</si>
  <si>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</si>
  <si>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</si>
  <si>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</si>
  <si>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</si>
  <si>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</si>
  <si>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</si>
  <si>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</si>
  <si>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</si>
  <si>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</si>
  <si>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</si>
  <si>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</si>
  <si>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</si>
  <si>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</si>
  <si>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</si>
  <si>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</si>
  <si>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</si>
  <si>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</si>
  <si>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</si>
  <si>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</si>
  <si>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</si>
  <si>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</si>
  <si>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</si>
  <si>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</si>
  <si>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</si>
  <si>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</si>
  <si>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</si>
  <si>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</si>
  <si>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</si>
  <si>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</si>
  <si>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</si>
  <si>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</si>
  <si>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</si>
  <si>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</si>
  <si>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</si>
  <si>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</si>
  <si>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</si>
  <si>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</si>
  <si>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</si>
  <si>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</si>
  <si>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</si>
  <si>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</si>
  <si>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</si>
  <si>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</si>
  <si>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</si>
  <si>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</si>
  <si>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</si>
  <si>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</si>
  <si>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</si>
  <si>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</si>
  <si>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</si>
  <si>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</si>
  <si>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</si>
  <si>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</si>
  <si>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</si>
  <si>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</si>
  <si>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</si>
  <si>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</si>
  <si>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</si>
  <si>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</si>
  <si>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</si>
  <si>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</si>
  <si>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</si>
  <si>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</si>
  <si>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</si>
  <si>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</si>
  <si>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</si>
  <si>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</si>
  <si>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</si>
  <si>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</si>
  <si>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</si>
  <si>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</si>
  <si>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</si>
  <si>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</si>
  <si>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</si>
  <si>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</si>
  <si>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</si>
  <si>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</si>
  <si>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</si>
  <si>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</si>
  <si>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</si>
  <si>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</si>
  <si>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</si>
  <si>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</si>
  <si>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</si>
  <si>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</si>
  <si>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</si>
  <si>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</si>
  <si>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</si>
  <si>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</si>
  <si>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</si>
  <si>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</si>
  <si>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</si>
  <si>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</si>
  <si>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</si>
  <si>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</si>
  <si>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</si>
  <si>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</si>
  <si>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</si>
  <si>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</si>
  <si>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</si>
  <si>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</si>
  <si>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</si>
  <si>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</si>
  <si>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</si>
  <si>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</si>
  <si>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</si>
  <si>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</si>
  <si>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</si>
  <si>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</si>
  <si>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</si>
  <si>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</si>
  <si>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</si>
  <si>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</si>
  <si>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</si>
  <si>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</si>
  <si>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</si>
  <si>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</si>
  <si>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</si>
  <si>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</si>
  <si>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</si>
  <si>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</si>
  <si>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</si>
  <si>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</si>
  <si>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</si>
  <si>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</si>
  <si>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</si>
  <si>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</si>
  <si>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</si>
  <si>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</si>
  <si>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</si>
  <si>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</si>
  <si>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</si>
  <si>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</si>
  <si>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</si>
  <si>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</si>
  <si>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</si>
  <si>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</si>
  <si>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</si>
  <si>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</si>
  <si>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</si>
  <si>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</si>
  <si>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</si>
  <si>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</si>
  <si>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</si>
  <si>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</si>
  <si>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</si>
  <si>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</si>
  <si>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</si>
  <si>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</si>
  <si>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</si>
  <si>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</si>
  <si>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</si>
  <si>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</si>
  <si>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</si>
  <si>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</si>
  <si>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</si>
  <si>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</si>
  <si>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</si>
  <si>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</si>
  <si>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</si>
  <si>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</si>
  <si>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</si>
  <si>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</si>
  <si>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</si>
  <si>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</si>
  <si>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</si>
  <si>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</si>
  <si>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</si>
  <si>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</si>
  <si>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</si>
  <si>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</si>
  <si>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</si>
  <si>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</si>
  <si>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</si>
  <si>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</si>
  <si>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</si>
  <si>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</si>
  <si>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</si>
  <si>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</si>
  <si>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</si>
  <si>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</si>
  <si>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</si>
  <si>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</si>
  <si>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</si>
  <si>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</si>
  <si>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</si>
  <si>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</si>
  <si>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</si>
  <si>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</si>
  <si>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</si>
  <si>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</si>
  <si>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</si>
  <si>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</si>
  <si>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</si>
  <si>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</si>
  <si>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</si>
  <si>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</si>
  <si>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</si>
  <si>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</si>
  <si>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</si>
  <si>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</si>
  <si>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</si>
  <si>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</si>
  <si>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</si>
  <si>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</si>
  <si>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</si>
  <si>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</si>
  <si>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</si>
  <si>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</si>
  <si>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</si>
  <si>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</si>
  <si>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</si>
  <si>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</si>
  <si>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</si>
  <si>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</si>
  <si>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</si>
  <si>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</si>
  <si>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</si>
  <si>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</si>
  <si>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</si>
  <si>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</si>
  <si>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</si>
  <si>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</si>
  <si>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</si>
  <si>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</si>
  <si>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</si>
  <si>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</si>
  <si>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</si>
  <si>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</si>
  <si>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</si>
  <si>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</si>
  <si>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</si>
  <si>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</si>
  <si>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</si>
  <si>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</si>
  <si>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</si>
  <si>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</si>
  <si>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</si>
  <si>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</si>
  <si>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</si>
  <si>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</si>
  <si>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</si>
  <si>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</si>
  <si>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</si>
  <si>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</si>
  <si>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</si>
  <si>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</si>
  <si>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</si>
  <si>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</si>
  <si>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</si>
  <si>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</si>
  <si>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</si>
  <si>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</si>
  <si>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</si>
  <si>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</si>
  <si>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</si>
  <si>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</si>
  <si>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</si>
  <si>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</si>
  <si>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</si>
  <si>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</si>
  <si>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</si>
  <si>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</si>
  <si>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</si>
  <si>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</si>
  <si>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</si>
  <si>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</si>
  <si>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</si>
  <si>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</si>
  <si>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</si>
  <si>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</si>
  <si>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</si>
  <si>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</si>
  <si>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</si>
  <si>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</si>
  <si>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</si>
  <si>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</si>
  <si>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</si>
  <si>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</si>
  <si>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</si>
  <si>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</si>
  <si>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</si>
  <si>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</si>
  <si>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</si>
  <si>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</si>
  <si>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</si>
  <si>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</si>
  <si>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</si>
  <si>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</si>
  <si>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</si>
  <si>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</si>
  <si>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</si>
  <si>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</si>
  <si>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</si>
  <si>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</si>
  <si>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</si>
  <si>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</si>
  <si>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</si>
  <si>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</si>
  <si>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</si>
  <si>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</si>
  <si>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</si>
  <si>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</si>
  <si>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</si>
  <si>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</si>
  <si>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</si>
  <si>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</si>
  <si>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</si>
  <si>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</si>
  <si>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</si>
  <si>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</si>
  <si>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</si>
  <si>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</si>
  <si>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</si>
  <si>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</si>
  <si>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</si>
  <si>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</si>
  <si>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</si>
  <si>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</si>
  <si>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</si>
  <si>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</si>
  <si>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</si>
  <si>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</si>
  <si>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</si>
  <si>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</si>
  <si>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</si>
  <si>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</si>
  <si>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</si>
  <si>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</si>
  <si>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</si>
  <si>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</si>
  <si>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</si>
  <si>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</si>
  <si>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</si>
  <si>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</si>
  <si>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</si>
  <si>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</si>
  <si>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</si>
  <si>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</si>
  <si>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</si>
  <si>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</si>
  <si>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</si>
  <si>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</si>
  <si>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</si>
  <si>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</si>
  <si>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</si>
  <si>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</si>
  <si>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</si>
  <si>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</si>
  <si>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</si>
  <si>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</si>
  <si>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</si>
  <si>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</si>
  <si>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</si>
  <si>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</si>
  <si>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</si>
  <si>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</si>
  <si>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</si>
  <si>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</si>
  <si>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</si>
  <si>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</si>
  <si>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</si>
  <si>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</si>
  <si>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</si>
  <si>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</si>
  <si>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</si>
  <si>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</si>
  <si>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</si>
  <si>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</si>
  <si>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</si>
  <si>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</si>
  <si>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</si>
  <si>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</si>
  <si>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</si>
  <si>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</si>
  <si>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</si>
  <si>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</si>
  <si>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</si>
  <si>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</si>
  <si>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</si>
  <si>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</si>
  <si>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</si>
  <si>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</si>
  <si>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</si>
  <si>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</si>
  <si>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</si>
  <si>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</si>
  <si>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</si>
  <si>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</si>
  <si>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</si>
  <si>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</si>
  <si>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</si>
  <si>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</si>
  <si>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</si>
  <si>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</si>
  <si>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</si>
  <si>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</si>
  <si>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</si>
  <si>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</si>
  <si>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</si>
  <si>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</si>
  <si>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</si>
  <si>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</si>
  <si>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</si>
  <si>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</si>
  <si>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</si>
  <si>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</si>
  <si>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</si>
  <si>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</si>
  <si>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</si>
  <si>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</si>
  <si>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</si>
  <si>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</si>
  <si>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</si>
  <si>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</si>
  <si>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</si>
  <si>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</si>
  <si>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</si>
  <si>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</si>
  <si>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</si>
  <si>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</si>
  <si>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</si>
  <si>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</si>
  <si>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</si>
  <si>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</si>
  <si>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</si>
  <si>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</si>
  <si>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</si>
  <si>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</si>
  <si>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</si>
  <si>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</si>
  <si>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</si>
  <si>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</si>
  <si>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</si>
  <si>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</si>
  <si>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</si>
  <si>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</si>
  <si>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</si>
  <si>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</si>
  <si>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</si>
  <si>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</si>
  <si>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</si>
  <si>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</si>
  <si>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</si>
  <si>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</si>
  <si>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</si>
  <si>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</si>
  <si>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</si>
  <si>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</si>
  <si>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</si>
  <si>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</si>
  <si>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</si>
  <si>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</si>
  <si>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</si>
  <si>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</si>
  <si>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</si>
  <si>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</si>
  <si>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</si>
  <si>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</si>
  <si>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</si>
  <si>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</si>
  <si>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</si>
  <si>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</si>
  <si>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</si>
  <si>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</si>
  <si>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</si>
  <si>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</si>
  <si>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</si>
  <si>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</si>
  <si>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</si>
  <si>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</si>
  <si>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</si>
  <si>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</si>
  <si>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</si>
  <si>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</si>
  <si>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</si>
  <si>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</si>
  <si>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</si>
  <si>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</si>
  <si>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</si>
  <si>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</si>
  <si>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</si>
  <si>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</si>
  <si>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</si>
  <si>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</si>
  <si>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</si>
  <si>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</si>
  <si>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</si>
  <si>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</si>
  <si>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</si>
  <si>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</si>
  <si>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</si>
  <si>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</si>
  <si>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</si>
  <si>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</si>
  <si>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</si>
  <si>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</si>
  <si>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</si>
  <si>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</si>
  <si>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</si>
  <si>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</si>
  <si>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</si>
  <si>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</si>
  <si>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</si>
  <si>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</si>
  <si>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</si>
  <si>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</si>
  <si>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</si>
  <si>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</si>
  <si>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</si>
  <si>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</si>
  <si>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</si>
  <si>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</si>
  <si>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</si>
  <si>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</si>
  <si>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</si>
  <si>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</si>
  <si>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</si>
  <si>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</si>
  <si>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</si>
  <si>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</si>
  <si>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</si>
  <si>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</si>
  <si>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</si>
  <si>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</si>
  <si>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</si>
  <si>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</si>
  <si>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</si>
  <si>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</si>
  <si>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</si>
  <si>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</si>
  <si>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</si>
  <si>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</si>
  <si>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</si>
  <si>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</si>
  <si>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</si>
  <si>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</si>
  <si>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</si>
  <si>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</si>
  <si>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</si>
  <si>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</si>
  <si>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</si>
  <si>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</si>
  <si>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</si>
  <si>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</si>
  <si>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</si>
  <si>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</si>
  <si>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</si>
  <si>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</si>
  <si>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</si>
  <si>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</si>
  <si>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</si>
  <si>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</si>
  <si>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</si>
  <si>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</si>
  <si>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</si>
  <si>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</si>
  <si>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</si>
  <si>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</si>
  <si>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</si>
  <si>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</si>
  <si>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</si>
  <si>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</si>
  <si>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</si>
  <si>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</si>
  <si>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</si>
  <si>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</si>
  <si>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</si>
  <si>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</si>
  <si>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</si>
  <si>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</si>
  <si>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</si>
  <si>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</si>
  <si>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</si>
  <si>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</si>
  <si>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</si>
  <si>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</si>
  <si>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</si>
  <si>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</si>
  <si>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</si>
  <si>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</si>
  <si>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</si>
  <si>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</si>
  <si>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</si>
  <si>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</si>
  <si>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</si>
  <si>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</si>
  <si>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</si>
  <si>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</si>
  <si>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</si>
  <si>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</si>
  <si>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</si>
  <si>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</si>
  <si>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</si>
  <si>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</si>
  <si>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</si>
  <si>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</si>
  <si>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</si>
  <si>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</si>
  <si>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</si>
  <si>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</si>
  <si>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</si>
  <si>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</si>
  <si>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</si>
  <si>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</si>
  <si>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</si>
  <si>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</si>
  <si>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</si>
  <si>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</si>
  <si>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</si>
  <si>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</si>
  <si>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</si>
  <si>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</si>
  <si>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</si>
  <si>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</si>
  <si>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</si>
  <si>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</si>
  <si>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</si>
  <si>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</si>
  <si>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</si>
  <si>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</si>
  <si>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</si>
  <si>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</si>
  <si>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</si>
  <si>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</si>
  <si>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</si>
  <si>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</si>
  <si>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</si>
  <si>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</si>
  <si>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</si>
  <si>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</si>
  <si>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</si>
  <si>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</si>
  <si>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</si>
  <si>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</si>
  <si>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</si>
  <si>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</si>
  <si>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</si>
  <si>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</si>
  <si>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</si>
  <si>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</si>
  <si>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</si>
  <si>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</si>
  <si>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</si>
  <si>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</si>
  <si>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</si>
  <si>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</si>
  <si>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</si>
  <si>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</si>
  <si>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</si>
  <si>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</si>
  <si>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</si>
  <si>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</si>
  <si>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</si>
  <si>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</si>
  <si>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</si>
  <si>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</si>
  <si>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</si>
  <si>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</si>
  <si>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</si>
  <si>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</si>
  <si>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</si>
  <si>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</si>
  <si>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</si>
  <si>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</si>
  <si>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</si>
  <si>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</si>
  <si>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</si>
  <si>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</si>
  <si>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</si>
  <si>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</si>
  <si>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</si>
  <si>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</si>
  <si>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</si>
  <si>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</si>
  <si>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</si>
  <si>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</si>
  <si>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</si>
  <si>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</si>
  <si>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</si>
  <si>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</si>
  <si>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</si>
  <si>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</si>
  <si>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</si>
  <si>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</si>
  <si>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</si>
  <si>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</si>
  <si>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</si>
  <si>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</si>
  <si>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</si>
  <si>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</si>
  <si>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</si>
  <si>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</si>
  <si>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</si>
  <si>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</si>
  <si>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</si>
  <si>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</si>
  <si>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</si>
  <si>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</si>
  <si>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</si>
  <si>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</si>
  <si>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</si>
  <si>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</si>
  <si>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</si>
  <si>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</si>
  <si>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</si>
  <si>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</si>
  <si>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</si>
  <si>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</si>
  <si>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</si>
  <si>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</si>
  <si>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</si>
  <si>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</si>
  <si>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</si>
  <si>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</si>
  <si>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</si>
  <si>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</si>
  <si>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</si>
  <si>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</si>
  <si>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</si>
  <si>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</si>
  <si>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</si>
  <si>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</si>
  <si>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</si>
  <si>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</si>
  <si>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</si>
  <si>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</si>
  <si>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</si>
  <si>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</si>
  <si>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</si>
  <si>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</si>
  <si>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</si>
  <si>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</si>
  <si>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</si>
  <si>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</si>
  <si>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</si>
  <si>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</si>
  <si>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</si>
  <si>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</si>
  <si>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</si>
  <si>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</si>
  <si>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</si>
  <si>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</si>
  <si>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</si>
  <si>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</si>
  <si>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</si>
  <si>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</si>
  <si>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</si>
  <si>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</si>
  <si>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</si>
  <si>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</si>
  <si>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</si>
  <si>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</si>
  <si>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</si>
  <si>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</si>
  <si>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</si>
  <si>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</si>
  <si>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</si>
  <si>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</si>
  <si>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</si>
  <si>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</si>
  <si>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</si>
  <si>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</si>
  <si>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</si>
  <si>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</si>
  <si>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</si>
  <si>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</si>
  <si>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</si>
  <si>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</si>
  <si>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</si>
  <si>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</si>
  <si>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</si>
  <si>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</si>
  <si>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</si>
  <si>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</si>
  <si>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</si>
  <si>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</si>
  <si>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</si>
  <si>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</si>
  <si>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</si>
  <si>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</si>
  <si>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</si>
  <si>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</si>
  <si>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</si>
  <si>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</si>
  <si>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</si>
  <si>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</si>
  <si>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</si>
  <si>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</si>
  <si>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</si>
  <si>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</si>
  <si>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</si>
  <si>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</si>
  <si>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</si>
  <si>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</si>
  <si>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</si>
  <si>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</si>
  <si>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</si>
  <si>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</si>
  <si>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</si>
  <si>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</si>
  <si>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</si>
  <si>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</si>
  <si>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</si>
  <si>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</si>
  <si>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</si>
  <si>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</si>
  <si>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</si>
  <si>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</si>
  <si>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</si>
  <si>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</si>
  <si>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</si>
  <si>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</si>
  <si>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</si>
  <si>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</si>
  <si>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</si>
  <si>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</si>
  <si>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</si>
  <si>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</si>
  <si>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</si>
  <si>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</si>
  <si>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</si>
  <si>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</si>
  <si>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</si>
  <si>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</si>
  <si>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</si>
  <si>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</si>
  <si>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</si>
  <si>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</si>
  <si>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</si>
  <si>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</si>
  <si>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</si>
  <si>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</si>
  <si>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</si>
  <si>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</si>
  <si>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</si>
  <si>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</si>
  <si>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</si>
  <si>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</si>
  <si>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</si>
  <si>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</si>
  <si>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</si>
  <si>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</si>
  <si>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</si>
  <si>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</si>
  <si>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</si>
  <si>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</si>
  <si>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</si>
  <si>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</si>
  <si>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</si>
  <si>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</si>
  <si>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</si>
  <si>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</si>
  <si>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</si>
  <si>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</si>
  <si>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</si>
  <si>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</si>
  <si>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</si>
  <si>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</si>
  <si>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</si>
  <si>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</si>
  <si>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</si>
  <si>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</si>
  <si>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</si>
  <si>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</si>
  <si>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</si>
  <si>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</si>
  <si>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</si>
  <si>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</si>
  <si>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</si>
  <si>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</si>
  <si>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</si>
  <si>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</si>
  <si>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</si>
  <si>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</si>
  <si>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</si>
  <si>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</si>
  <si>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</si>
  <si>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</si>
  <si>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</si>
  <si>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</si>
  <si>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</si>
  <si>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</si>
  <si>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</si>
  <si>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</si>
  <si>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</si>
  <si>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</si>
  <si>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</si>
  <si>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</si>
  <si>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</si>
  <si>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</si>
  <si>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</si>
  <si>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</si>
  <si>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</si>
  <si>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</si>
  <si>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</si>
  <si>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</si>
  <si>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</si>
  <si>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</si>
  <si>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</si>
  <si>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</si>
  <si>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</si>
  <si>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</si>
  <si>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</si>
  <si>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</si>
  <si>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</si>
  <si>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</si>
  <si>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</si>
  <si>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</si>
  <si>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</si>
  <si>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</si>
  <si>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</si>
  <si>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</si>
  <si>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</si>
  <si>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</si>
  <si>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</si>
  <si>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</si>
  <si>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</si>
  <si>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</si>
  <si>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</si>
  <si>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</si>
  <si>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</si>
  <si>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</si>
  <si>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</si>
  <si>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</si>
  <si>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</si>
  <si>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</si>
  <si>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</si>
  <si>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</si>
  <si>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</si>
  <si>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</si>
  <si>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</si>
  <si>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</si>
  <si>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</si>
  <si>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</si>
  <si>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</si>
  <si>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</si>
  <si>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</si>
  <si>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</si>
  <si>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</si>
  <si>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</si>
  <si>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</si>
  <si>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</si>
  <si>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</si>
  <si>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</si>
  <si>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</si>
  <si>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</si>
  <si>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</si>
  <si>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</si>
  <si>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</si>
  <si>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</si>
  <si>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</si>
  <si>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</si>
  <si>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</si>
  <si>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</si>
  <si>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</si>
  <si>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</si>
  <si>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</si>
  <si>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</si>
  <si>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</si>
  <si>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</si>
  <si>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</si>
  <si>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</si>
  <si>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</si>
  <si>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</si>
  <si>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</si>
  <si>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</si>
  <si>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</si>
  <si>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</si>
  <si>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</si>
  <si>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</si>
  <si>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</si>
  <si>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</si>
  <si>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</si>
  <si>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</si>
  <si>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</si>
  <si>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</si>
  <si>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</si>
  <si>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</si>
  <si>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</si>
  <si>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</si>
  <si>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</si>
  <si>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</si>
  <si>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</si>
  <si>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</si>
  <si>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</si>
  <si>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</si>
  <si>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</si>
  <si>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</si>
  <si>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</si>
  <si>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</si>
  <si>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</si>
  <si>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</si>
  <si>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</si>
  <si>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</si>
  <si>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</si>
  <si>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</si>
  <si>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</si>
  <si>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</si>
  <si>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</si>
  <si>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</si>
  <si>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</si>
  <si>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</si>
  <si>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</si>
  <si>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</si>
  <si>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</si>
  <si>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</si>
  <si>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</si>
  <si>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</si>
  <si>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</si>
  <si>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</si>
  <si>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</si>
  <si>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</si>
  <si>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</si>
  <si>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</si>
  <si>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</si>
  <si>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</si>
  <si>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</si>
  <si>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</si>
  <si>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</si>
  <si>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</si>
  <si>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</si>
  <si>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</si>
  <si>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</si>
  <si>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</si>
  <si>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</si>
  <si>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</si>
  <si>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</si>
  <si>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</si>
  <si>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</si>
  <si>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</si>
  <si>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</si>
  <si>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</si>
  <si>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</si>
  <si>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</si>
  <si>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</si>
  <si>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</si>
  <si>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</si>
  <si>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</si>
  <si>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</si>
  <si>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</si>
  <si>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</si>
  <si>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</si>
  <si>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</si>
  <si>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</si>
  <si>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</si>
  <si>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</si>
  <si>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</si>
  <si>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</si>
  <si>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</si>
  <si>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</si>
  <si>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</si>
  <si>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</si>
  <si>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</si>
  <si>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</si>
  <si>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</si>
  <si>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</si>
  <si>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</si>
  <si>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</si>
  <si>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</si>
  <si>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</si>
  <si>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</si>
  <si>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</si>
  <si>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</si>
  <si>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</si>
  <si>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</si>
  <si>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</si>
  <si>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</si>
  <si>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</si>
  <si>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</si>
  <si>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</si>
  <si>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</si>
  <si>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</si>
  <si>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</si>
  <si>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</si>
  <si>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</si>
  <si>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</si>
  <si>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</si>
  <si>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</si>
  <si>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</si>
  <si>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</si>
  <si>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</si>
  <si>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</si>
  <si>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</si>
  <si>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</si>
  <si>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</si>
  <si>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</si>
  <si>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</si>
  <si>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</si>
  <si>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</si>
  <si>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</si>
  <si>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</si>
  <si>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</si>
  <si>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</si>
  <si>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</si>
  <si>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</si>
  <si>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</si>
  <si>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</si>
  <si>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</si>
  <si>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</si>
  <si>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</si>
  <si>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</si>
  <si>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</si>
  <si>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</si>
  <si>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</si>
  <si>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</si>
  <si>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</si>
  <si>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</si>
  <si>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</si>
  <si>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</si>
  <si>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</si>
  <si>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</si>
  <si>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</si>
  <si>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</si>
  <si>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</si>
  <si>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</si>
  <si>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</si>
  <si>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</si>
  <si>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</si>
  <si>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</si>
  <si>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</si>
  <si>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</si>
  <si>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</si>
  <si>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</si>
  <si>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</si>
  <si>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</si>
  <si>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</si>
  <si>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</si>
  <si>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</si>
  <si>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</si>
  <si>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</si>
  <si>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</si>
  <si>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</si>
  <si>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</si>
  <si>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</si>
  <si>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</si>
  <si>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</si>
  <si>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</si>
  <si>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</si>
  <si>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</si>
  <si>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</si>
  <si>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</si>
  <si>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</si>
  <si>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</si>
  <si>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</si>
  <si>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</si>
  <si>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</si>
  <si>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</si>
  <si>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</si>
  <si>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</si>
  <si>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</si>
  <si>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</si>
  <si>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</si>
  <si>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</si>
  <si>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</si>
  <si>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</si>
  <si>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</si>
  <si>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</si>
  <si>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</si>
  <si>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</si>
  <si>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</si>
  <si>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</si>
  <si>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</si>
  <si>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</si>
  <si>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</si>
  <si>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</si>
  <si>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</si>
  <si>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</si>
  <si>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</si>
  <si>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</si>
  <si>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</si>
  <si>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</si>
  <si>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</si>
  <si>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</si>
  <si>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</si>
  <si>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</si>
  <si>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</si>
  <si>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</si>
  <si>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</si>
  <si>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</si>
  <si>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</si>
  <si>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</si>
  <si>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</si>
  <si>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</si>
  <si>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</si>
  <si>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</si>
  <si>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</si>
  <si>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</si>
  <si>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</si>
  <si>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</si>
  <si>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</si>
  <si>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</si>
  <si>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</si>
  <si>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</si>
  <si>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</si>
  <si>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</si>
  <si>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</si>
  <si>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</si>
  <si>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</si>
  <si>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</si>
  <si>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</si>
  <si>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</si>
  <si>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</si>
  <si>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</si>
  <si>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</si>
  <si>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</si>
  <si>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</si>
  <si>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</si>
  <si>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</si>
  <si>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</si>
  <si>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</si>
  <si>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</si>
  <si>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</si>
  <si>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</si>
  <si>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</si>
  <si>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</si>
  <si>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</si>
  <si>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</si>
  <si>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</si>
  <si>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</si>
  <si>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</si>
  <si>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</si>
  <si>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</si>
  <si>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</si>
  <si>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</si>
  <si>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</si>
  <si>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</si>
  <si>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</si>
  <si>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</si>
  <si>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</si>
  <si>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</si>
  <si>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</si>
  <si>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</si>
  <si>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</si>
  <si>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</si>
  <si>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</si>
  <si>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</si>
  <si>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</si>
  <si>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</si>
  <si>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</si>
  <si>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</si>
  <si>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</si>
  <si>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</si>
  <si>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</si>
  <si>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</si>
  <si>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</si>
  <si>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</si>
  <si>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</si>
  <si>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</si>
  <si>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</si>
  <si>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</si>
  <si>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</si>
  <si>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</si>
  <si>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</si>
  <si>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</si>
  <si>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</si>
  <si>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</si>
  <si>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</si>
  <si>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</si>
  <si>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</si>
  <si>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</si>
  <si>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</si>
  <si>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</si>
  <si>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</si>
  <si>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</si>
  <si>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</si>
  <si>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</si>
  <si>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</si>
  <si>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</si>
  <si>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</si>
  <si>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</si>
  <si>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</si>
  <si>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</si>
  <si>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</si>
  <si>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</si>
  <si>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</si>
  <si>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</si>
  <si>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</si>
  <si>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</si>
  <si>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</si>
  <si>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</si>
  <si>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</si>
  <si>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</si>
  <si>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</si>
  <si>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</si>
  <si>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</si>
  <si>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</si>
  <si>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</si>
  <si>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</si>
  <si>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</si>
  <si>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</si>
  <si>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</si>
  <si>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</si>
  <si>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</si>
  <si>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</si>
  <si>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</si>
  <si>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</si>
  <si>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</si>
  <si>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</si>
  <si>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</si>
  <si>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</si>
  <si>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</si>
  <si>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</si>
  <si>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</si>
  <si>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</si>
  <si>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</si>
  <si>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</si>
  <si>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</si>
  <si>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</si>
  <si>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</si>
  <si>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</si>
  <si>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</si>
  <si>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</si>
  <si>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</si>
  <si>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</si>
  <si>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</si>
  <si>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</si>
  <si>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</si>
  <si>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</si>
  <si>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</si>
  <si>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</si>
  <si>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</si>
  <si>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</si>
  <si>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</si>
  <si>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</si>
  <si>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</si>
  <si>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</si>
  <si>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</si>
  <si>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</si>
  <si>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</si>
  <si>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</si>
  <si>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</si>
  <si>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</si>
  <si>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</si>
  <si>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</si>
  <si>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</si>
  <si>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</si>
  <si>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</si>
  <si>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</si>
  <si>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</si>
  <si>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</si>
  <si>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</si>
  <si>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</si>
  <si>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</si>
  <si>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</si>
  <si>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</si>
  <si>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</si>
  <si>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</si>
  <si>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</si>
  <si>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</si>
  <si>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</si>
  <si>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</si>
  <si>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</si>
  <si>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</si>
  <si>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</si>
  <si>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</si>
  <si>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</si>
  <si>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</si>
  <si>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</si>
  <si>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</si>
  <si>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</si>
  <si>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</si>
  <si>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</si>
  <si>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</si>
  <si>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</si>
  <si>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</si>
  <si>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</si>
  <si>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</si>
  <si>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</si>
  <si>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</si>
  <si>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</si>
  <si>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</si>
  <si>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</si>
  <si>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</si>
  <si>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</si>
  <si>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</si>
  <si>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</si>
  <si>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</si>
  <si>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</si>
  <si>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</si>
  <si>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</si>
  <si>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</si>
  <si>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</si>
  <si>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</si>
  <si>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</si>
  <si>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</si>
  <si>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</si>
  <si>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</si>
  <si>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</si>
  <si>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</si>
  <si>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</si>
  <si>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</si>
  <si>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</si>
  <si>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</si>
  <si>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</si>
  <si>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</si>
  <si>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</si>
  <si>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</si>
  <si>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</si>
  <si>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</si>
  <si>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</si>
  <si>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</si>
  <si>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</si>
  <si>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</si>
  <si>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</si>
  <si>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</si>
  <si>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</si>
  <si>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</si>
  <si>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</si>
  <si>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</si>
  <si>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</si>
  <si>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</si>
  <si>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</si>
  <si>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</si>
  <si>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</si>
  <si>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</si>
  <si>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</si>
  <si>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</si>
  <si>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</si>
  <si>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</si>
  <si>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</si>
  <si>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</si>
  <si>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</si>
  <si>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</si>
  <si>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</si>
  <si>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</si>
  <si>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</si>
  <si>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</si>
  <si>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</si>
  <si>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</si>
  <si>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</si>
  <si>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</si>
  <si>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</si>
  <si>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</si>
  <si>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</si>
  <si>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</si>
  <si>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</si>
  <si>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</si>
  <si>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</si>
  <si>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</si>
  <si>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</si>
  <si>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</si>
  <si>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</si>
  <si>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</si>
  <si>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</si>
  <si>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</si>
  <si>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</si>
  <si>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</si>
  <si>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</si>
  <si>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</si>
  <si>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</si>
  <si>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</si>
  <si>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</si>
  <si>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</si>
  <si>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</si>
  <si>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</si>
  <si>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</si>
  <si>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</si>
  <si>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</si>
  <si>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</si>
  <si>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</si>
  <si>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</si>
  <si>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</si>
  <si>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</si>
  <si>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</si>
  <si>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</si>
  <si>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</si>
  <si>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</si>
  <si>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</si>
  <si>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</si>
  <si>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</si>
  <si>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</si>
  <si>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</si>
  <si>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</si>
  <si>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</si>
  <si>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</si>
  <si>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</si>
  <si>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</si>
  <si>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</si>
  <si>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</si>
  <si>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</si>
  <si>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</si>
  <si>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</si>
  <si>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</si>
  <si>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</si>
  <si>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</si>
  <si>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</si>
  <si>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</si>
  <si>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</si>
  <si>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</si>
  <si>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</si>
  <si>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</si>
  <si>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</si>
  <si>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</si>
  <si>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</si>
  <si>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</si>
  <si>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</si>
  <si>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</si>
  <si>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</si>
  <si>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</si>
  <si>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</si>
  <si>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</si>
  <si>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</si>
  <si>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</si>
  <si>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</si>
  <si>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</si>
  <si>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</si>
  <si>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</si>
  <si>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</si>
  <si>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</si>
  <si>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</si>
  <si>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</si>
  <si>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</si>
  <si>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</si>
  <si>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</si>
  <si>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</si>
  <si>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</si>
  <si>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</si>
  <si>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</si>
  <si>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</si>
  <si>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</si>
  <si>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</si>
  <si>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</si>
  <si>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</si>
  <si>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</si>
  <si>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</si>
  <si>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</si>
  <si>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</si>
  <si>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</si>
  <si>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</si>
  <si>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</si>
  <si>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</si>
  <si>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</si>
  <si>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</si>
  <si>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</si>
  <si>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</si>
  <si>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</si>
  <si>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</si>
  <si>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</si>
  <si>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</si>
  <si>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</si>
  <si>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</si>
  <si>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</si>
  <si>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</si>
  <si>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</si>
  <si>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</si>
  <si>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</si>
  <si>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</si>
  <si>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</si>
  <si>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</si>
  <si>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</si>
  <si>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</si>
  <si>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</si>
  <si>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</si>
  <si>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</si>
  <si>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</si>
  <si>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</si>
  <si>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</si>
  <si>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</si>
  <si>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</si>
  <si>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</si>
  <si>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</si>
  <si>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</si>
  <si>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</si>
  <si>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</si>
  <si>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</si>
  <si>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</si>
  <si>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</si>
  <si>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</si>
  <si>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</si>
  <si>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</si>
  <si>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</si>
  <si>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</si>
  <si>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</si>
  <si>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</si>
  <si>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</si>
  <si>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</si>
  <si>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</si>
  <si>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</si>
  <si>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</si>
  <si>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</si>
  <si>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</si>
  <si>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</si>
  <si>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</si>
  <si>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</si>
  <si>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</si>
  <si>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</si>
  <si>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</si>
  <si>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</si>
  <si>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</si>
  <si>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</si>
  <si>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</si>
  <si>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</si>
  <si>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</si>
  <si>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</si>
  <si>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</si>
  <si>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</si>
  <si>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</si>
  <si>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</si>
  <si>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</si>
  <si>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</si>
  <si>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</si>
  <si>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</si>
  <si>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</si>
  <si>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</si>
  <si>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</si>
  <si>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</si>
  <si>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</si>
  <si>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</si>
  <si>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</si>
  <si>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</si>
  <si>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</si>
  <si>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</si>
  <si>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</si>
  <si>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</si>
  <si>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</si>
  <si>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</si>
  <si>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</si>
  <si>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</si>
  <si>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</si>
  <si>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</si>
  <si>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</si>
  <si>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</si>
  <si>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</si>
  <si>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</si>
  <si>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</si>
  <si>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</si>
  <si>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</si>
  <si>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</si>
  <si>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</si>
  <si>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</si>
  <si>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</si>
  <si>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</si>
  <si>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</si>
  <si>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</si>
  <si>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</si>
  <si>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</si>
  <si>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</si>
  <si>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</si>
  <si>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</si>
  <si>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</si>
  <si>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</si>
  <si>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</si>
  <si>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</si>
  <si>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</si>
  <si>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</si>
  <si>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</si>
  <si>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</si>
  <si>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</si>
  <si>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</si>
  <si>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</si>
  <si>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</si>
  <si>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</si>
  <si>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</si>
  <si>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</si>
  <si>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</si>
  <si>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</si>
  <si>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</si>
  <si>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</si>
  <si>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</si>
  <si>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</si>
  <si>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</si>
  <si>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</si>
  <si>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</si>
  <si>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</si>
  <si>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</si>
  <si>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</si>
  <si>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</si>
  <si>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</si>
  <si>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</si>
  <si>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</si>
  <si>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</si>
  <si>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</si>
  <si>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</si>
  <si>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</si>
  <si>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</si>
  <si>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</si>
  <si>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</si>
  <si>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</si>
  <si>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</si>
  <si>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</si>
  <si>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</si>
  <si>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</si>
  <si>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</si>
  <si>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</si>
  <si>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</si>
  <si>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</si>
  <si>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</si>
  <si>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</si>
  <si>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</si>
  <si>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</si>
  <si>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</si>
  <si>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</si>
  <si>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</si>
  <si>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</si>
  <si>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</si>
  <si>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</si>
  <si>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</si>
  <si>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</si>
  <si>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</si>
  <si>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</si>
  <si>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</si>
  <si>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</si>
  <si>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</si>
  <si>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</si>
  <si>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</si>
  <si>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</si>
  <si>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</si>
  <si>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</si>
  <si>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</si>
  <si>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</si>
  <si>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</si>
  <si>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</si>
  <si>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</si>
  <si>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</si>
  <si>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</si>
  <si>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</si>
  <si>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</si>
  <si>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</si>
  <si>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</si>
  <si>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</si>
  <si>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</si>
  <si>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</si>
  <si>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</si>
  <si>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</si>
  <si>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</si>
  <si>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</si>
  <si>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</si>
  <si>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</si>
  <si>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</si>
  <si>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</si>
  <si>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</si>
  <si>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</si>
  <si>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</si>
  <si>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</si>
  <si>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</si>
  <si>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</si>
  <si>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</si>
  <si>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</si>
  <si>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</si>
  <si>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</si>
  <si>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</si>
  <si>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</si>
  <si>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</si>
  <si>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</si>
  <si>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</si>
  <si>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</si>
  <si>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</si>
  <si>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</si>
  <si>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</si>
  <si>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</si>
  <si>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</si>
  <si>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</si>
  <si>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</si>
  <si>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</si>
  <si>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</si>
  <si>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</si>
  <si>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</si>
  <si>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</si>
  <si>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</si>
  <si>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</si>
  <si>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</si>
  <si>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</si>
  <si>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</si>
  <si>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</si>
  <si>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</si>
  <si>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</si>
  <si>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</si>
  <si>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</si>
  <si>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</si>
  <si>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</si>
  <si>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</si>
  <si>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</si>
  <si>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</si>
  <si>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</si>
  <si>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</si>
  <si>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</si>
  <si>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</si>
  <si>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</si>
  <si>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</si>
  <si>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</si>
  <si>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</si>
  <si>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</si>
  <si>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</si>
  <si>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</si>
  <si>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</si>
  <si>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</si>
  <si>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</si>
  <si>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</si>
  <si>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</si>
  <si>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</si>
  <si>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</si>
  <si>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</si>
  <si>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</si>
  <si>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</si>
  <si>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</si>
  <si>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</si>
  <si>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</si>
  <si>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</si>
  <si>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</si>
  <si>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</si>
  <si>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</si>
  <si>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</si>
  <si>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</si>
  <si>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</si>
  <si>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</si>
  <si>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</si>
  <si>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</si>
  <si>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</si>
  <si>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</si>
  <si>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</si>
  <si>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</si>
  <si>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</si>
  <si>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</si>
  <si>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</si>
  <si>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</si>
  <si>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</si>
  <si>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</si>
  <si>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</si>
  <si>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</si>
  <si>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</si>
  <si>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</si>
  <si>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</si>
  <si>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</si>
  <si>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</si>
  <si>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</si>
  <si>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</si>
  <si>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</si>
  <si>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</si>
  <si>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</si>
  <si>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</si>
  <si>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</si>
  <si>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</si>
  <si>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</si>
  <si>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</si>
  <si>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</si>
  <si>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</si>
  <si>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</si>
  <si>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</si>
  <si>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</si>
  <si>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</si>
  <si>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</si>
  <si>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</si>
  <si>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</si>
  <si>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</si>
  <si>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</si>
  <si>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</si>
  <si>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</si>
  <si>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</si>
  <si>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</si>
  <si>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</si>
  <si>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</si>
  <si>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</si>
  <si>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</si>
  <si>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</si>
  <si>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</si>
  <si>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</si>
  <si>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</si>
  <si>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</si>
  <si>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</si>
  <si>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</si>
  <si>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</si>
  <si>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</si>
  <si>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</si>
  <si>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</si>
  <si>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</si>
  <si>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</si>
  <si>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</si>
  <si>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</si>
  <si>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</si>
  <si>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</si>
  <si>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</si>
  <si>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</si>
  <si>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</si>
  <si>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</si>
  <si>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</si>
  <si>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</si>
  <si>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</si>
  <si>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</si>
  <si>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</si>
  <si>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</si>
  <si>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</si>
  <si>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</si>
  <si>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</si>
  <si>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</si>
  <si>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</si>
  <si>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</si>
  <si>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</si>
  <si>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</si>
  <si>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</si>
  <si>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</si>
  <si>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</si>
  <si>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</si>
  <si>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</si>
  <si>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</si>
  <si>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</si>
  <si>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</si>
  <si>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</si>
  <si>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</si>
  <si>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</si>
  <si>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</si>
  <si>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</si>
  <si>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</si>
  <si>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</si>
  <si>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</si>
  <si>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</si>
  <si>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</si>
  <si>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</si>
  <si>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</si>
  <si>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</si>
  <si>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</si>
  <si>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</si>
  <si>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</si>
  <si>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</si>
  <si>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</si>
  <si>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</si>
  <si>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</si>
  <si>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</si>
  <si>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</si>
  <si>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</si>
  <si>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</si>
  <si>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</si>
  <si>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</si>
  <si>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</si>
  <si>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</si>
  <si>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</si>
  <si>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</si>
  <si>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</si>
  <si>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</si>
  <si>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</si>
  <si>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</si>
  <si>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</si>
  <si>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</si>
  <si>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</si>
  <si>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</si>
  <si>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</si>
  <si>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</si>
  <si>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</si>
  <si>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</si>
  <si>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</si>
  <si>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</si>
  <si>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</si>
  <si>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</si>
  <si>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</si>
  <si>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</si>
  <si>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</si>
  <si>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</si>
  <si>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</si>
  <si>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</si>
  <si>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</si>
  <si>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</si>
  <si>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</si>
  <si>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</si>
  <si>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</si>
  <si>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</si>
  <si>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</si>
  <si>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</si>
  <si>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</si>
  <si>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</si>
  <si>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</si>
  <si>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</si>
  <si>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</si>
  <si>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</si>
  <si>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</si>
  <si>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</si>
  <si>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</si>
  <si>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</si>
  <si>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</si>
  <si>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</si>
  <si>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</si>
  <si>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</si>
  <si>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</si>
  <si>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</si>
  <si>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</si>
  <si>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</si>
  <si>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</si>
  <si>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</si>
  <si>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</si>
  <si>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</si>
  <si>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</si>
  <si>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</si>
  <si>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</si>
  <si>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</si>
  <si>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</si>
  <si>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</si>
  <si>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</si>
  <si>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</si>
  <si>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</si>
  <si>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</si>
  <si>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</si>
  <si>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</si>
  <si>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</si>
  <si>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</si>
  <si>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</si>
  <si>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</si>
  <si>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</si>
  <si>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</si>
  <si>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</si>
  <si>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</si>
  <si>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</si>
  <si>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</si>
  <si>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</si>
  <si>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</si>
  <si>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</si>
  <si>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</si>
  <si>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</si>
  <si>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</si>
  <si>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</si>
  <si>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</si>
  <si>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</si>
  <si>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</si>
  <si>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</si>
  <si>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</si>
  <si>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</si>
  <si>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</si>
  <si>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</si>
  <si>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</si>
  <si>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</si>
  <si>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</si>
  <si>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</si>
  <si>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</si>
  <si>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</si>
  <si>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</si>
  <si>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</si>
  <si>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</si>
  <si>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</si>
  <si>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</si>
  <si>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</si>
  <si>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</si>
  <si>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</si>
  <si>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</si>
  <si>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</si>
  <si>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</si>
  <si>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</si>
  <si>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</si>
  <si>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</si>
  <si>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</si>
  <si>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</si>
  <si>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</si>
  <si>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</si>
  <si>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</si>
  <si>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</si>
  <si>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</si>
  <si>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</si>
  <si>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</si>
  <si>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</si>
  <si>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</si>
  <si>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</si>
  <si>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</si>
  <si>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</si>
  <si>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</si>
  <si>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</si>
  <si>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</si>
  <si>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</si>
  <si>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</si>
  <si>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</si>
  <si>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</si>
  <si>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</si>
  <si>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</si>
  <si>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</si>
  <si>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</si>
  <si>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</si>
  <si>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</si>
  <si>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</si>
  <si>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</si>
  <si>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</si>
  <si>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</si>
  <si>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</si>
  <si>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</si>
  <si>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</si>
  <si>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</si>
  <si>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</si>
  <si>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</si>
  <si>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</si>
  <si>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</si>
  <si>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</si>
  <si>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</si>
  <si>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</si>
  <si>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</si>
  <si>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</si>
  <si>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</si>
  <si>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</si>
  <si>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</si>
  <si>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</si>
  <si>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</si>
  <si>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</si>
  <si>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</si>
  <si>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</si>
  <si>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</si>
  <si>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</si>
  <si>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</si>
  <si>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</si>
  <si>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</si>
  <si>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</si>
  <si>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</si>
  <si>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</si>
  <si>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</si>
  <si>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</si>
  <si>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</si>
  <si>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</si>
  <si>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</si>
  <si>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</si>
  <si>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</si>
  <si>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</si>
  <si>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</si>
  <si>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</si>
  <si>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</si>
  <si>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</si>
  <si>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</si>
  <si>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</si>
  <si>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</si>
  <si>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</si>
  <si>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</si>
  <si>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</si>
  <si>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</si>
  <si>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</si>
  <si>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</si>
  <si>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</si>
  <si>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</si>
  <si>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</si>
  <si>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</si>
  <si>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</si>
  <si>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</si>
  <si>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</si>
  <si>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</si>
  <si>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</si>
  <si>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</si>
  <si>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</si>
  <si>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</si>
  <si>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</si>
  <si>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</si>
  <si>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</si>
  <si>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</si>
  <si>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</si>
  <si>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</si>
  <si>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</si>
  <si>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</si>
  <si>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</si>
  <si>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</si>
  <si>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</si>
  <si>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</si>
  <si>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</si>
  <si>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</si>
  <si>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</si>
  <si>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</si>
  <si>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</si>
  <si>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</si>
  <si>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</si>
  <si>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</si>
  <si>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</si>
  <si>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</si>
  <si>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</si>
  <si>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</si>
  <si>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</si>
  <si>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</si>
  <si>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</si>
  <si>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</si>
  <si>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</si>
  <si>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</si>
  <si>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</si>
  <si>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</si>
  <si>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</si>
  <si>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</si>
  <si>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</si>
  <si>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</si>
  <si>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</si>
  <si>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</si>
  <si>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</si>
  <si>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</si>
  <si>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</si>
  <si>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</si>
  <si>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</si>
  <si>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</si>
  <si>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</si>
  <si>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</si>
  <si>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</si>
  <si>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</si>
  <si>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</si>
  <si>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</si>
  <si>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</si>
  <si>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</si>
  <si>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</si>
  <si>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</si>
  <si>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</si>
  <si>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</si>
  <si>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</si>
  <si>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</si>
  <si>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</si>
  <si>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</si>
  <si>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</si>
  <si>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</si>
  <si>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</si>
  <si>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</si>
  <si>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</si>
  <si>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</si>
  <si>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</si>
  <si>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</si>
  <si>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</si>
  <si>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</si>
  <si>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</si>
  <si>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</si>
  <si>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</si>
  <si>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</si>
  <si>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</si>
  <si>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</si>
  <si>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</si>
  <si>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</si>
  <si>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</si>
  <si>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</si>
  <si>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</si>
  <si>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</si>
  <si>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</si>
  <si>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</si>
  <si>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</si>
  <si>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</si>
  <si>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</si>
  <si>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</si>
  <si>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</si>
  <si>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</si>
  <si>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</si>
  <si>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</si>
  <si>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</si>
  <si>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</si>
  <si>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</si>
  <si>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</si>
  <si>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</si>
  <si>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</si>
  <si>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</si>
  <si>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</si>
  <si>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</si>
  <si>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</si>
  <si>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</si>
  <si>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</si>
  <si>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</si>
  <si>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</si>
  <si>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</si>
  <si>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</si>
  <si>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</si>
  <si>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</si>
  <si>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</si>
  <si>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</si>
  <si>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</si>
  <si>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</si>
  <si>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</si>
  <si>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</si>
  <si>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</si>
  <si>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</si>
  <si>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</si>
  <si>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</si>
  <si>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</si>
  <si>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</si>
  <si>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</si>
  <si>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</si>
  <si>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</si>
  <si>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</si>
  <si>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</si>
  <si>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</si>
  <si>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</si>
  <si>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</si>
  <si>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</si>
  <si>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</si>
  <si>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</si>
  <si>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</si>
  <si>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</si>
  <si>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</si>
  <si>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</si>
  <si>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</si>
  <si>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</si>
  <si>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</si>
  <si>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</si>
  <si>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</si>
  <si>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</si>
  <si>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</si>
  <si>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</si>
  <si>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</si>
  <si>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</si>
  <si>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</si>
  <si>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</si>
  <si>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</si>
  <si>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</si>
  <si>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</si>
  <si>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</si>
  <si>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</si>
  <si>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</si>
  <si>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</si>
  <si>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</si>
  <si>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</si>
  <si>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</si>
  <si>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</si>
  <si>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</si>
  <si>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</si>
  <si>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</si>
  <si>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</si>
  <si>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</si>
  <si>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</si>
  <si>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</si>
  <si>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</si>
  <si>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</si>
  <si>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</si>
  <si>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</si>
  <si>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</si>
  <si>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</si>
  <si>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</si>
  <si>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</si>
  <si>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</si>
  <si>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</si>
  <si>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</si>
  <si>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</si>
  <si>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</si>
  <si>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</si>
  <si>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</si>
  <si>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</si>
  <si>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</si>
  <si>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</si>
  <si>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</si>
  <si>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</si>
  <si>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</si>
  <si>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</si>
  <si>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</si>
  <si>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</si>
  <si>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</si>
  <si>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</si>
  <si>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</si>
  <si>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</si>
  <si>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</si>
  <si>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</si>
  <si>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</si>
  <si>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</si>
  <si>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</si>
  <si>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</si>
  <si>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</si>
  <si>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</si>
  <si>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</si>
  <si>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</si>
  <si>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</si>
  <si>
    <t>鬥破蒼穹M：少年崛起</t>
    <phoneticPr fontId="2" type="noConversion"/>
  </si>
  <si>
    <t>TCWFH412</t>
    <phoneticPr fontId="2" type="noConversion"/>
  </si>
  <si>
    <t>GR1IQOXY</t>
    <phoneticPr fontId="2" type="noConversion"/>
  </si>
  <si>
    <t>WEV87</t>
    <phoneticPr fontId="2" type="noConversion"/>
  </si>
  <si>
    <t>MR7mkSS0ZQ</t>
    <phoneticPr fontId="2" type="noConversion"/>
  </si>
  <si>
    <t>MR0ku9IAE3</t>
    <phoneticPr fontId="2" type="noConversion"/>
  </si>
  <si>
    <t>https://fighter.joystarfun.com/act/fighter?custom_source=google&amp;custom_sub_source=google3-NorNum1-Search&amp;utm_source=google_ads&amp;campaign_id=24058525416&amp;adgroup_id=195598606501&amp;creative_id=818229619118&amp;device=c&amp;loc_interest_ms=&amp;loc_physical_ms=9235344&amp;network=g&amp;placement=&amp;device_model=&amp;match_type=e&amp;keyword=%E9%AC%A5%E7%A0%B4%E8%92%BC%E7%A9%B9m%20%E5%B0%91%E5%B9%B4%E5%B4%9B%E8%B5%B7&amp;gad_source=1&amp;gad_campaignid=24058525416&amp;gbraid=0AAAABEMTNAvxTeCksA87AD-Am4u8I6It0&amp;gclid=CjwKCAjwpqHTBhAcEiwAj2Afuo1yGh05Tl8gFRpoB7zvggJ64Rdl8HEuTZWBIx15P184xr5ENhtK4xoC9eQQAvD_BwE</t>
  </si>
  <si>
    <t>https://www.facebook.com/btthtw/</t>
  </si>
  <si>
    <t>https://play.google.com/store/apps/details?id=com.joystar.btthgp&amp;referrer=customSource%3Dgoogle%26customSubSource%3Dgoogle3-NorNum1-Search%26source%3Dgoogle_ads%26medium%3D%26campaignId%3D24058525416%26campaignName%3D%26adgroupId%3D195598606501%26adgroupName%3D%26creativeId%3D818229619118%26creativeName%3D%26adTerm%3D%26adContent%3D%26adPlacement%3D%26pageUniqueId%3Db7bf4f27-2df4-4007-bfb5-0b1bda26f763</t>
  </si>
  <si>
    <t>https://apps.apple.com/tw/app/%E9%AC%A5%E7%A0%B4%E8%92%BC%E7%A9%B9m-%E5%B0%91%E5%B9%B4%E5%B4%9B%E8%B5%B7-%E5%8B%95%E7%95%AB%E6%AD%A3%E7%89%88%E6%8E%88%E6%AC%8A/id6761587218</t>
  </si>
  <si>
    <t>《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t>
    <phoneticPr fontId="2" type="noConversion"/>
  </si>
  <si>
    <t>開局一座島</t>
    <phoneticPr fontId="2" type="noConversion"/>
  </si>
  <si>
    <t>真三國無雙・霸</t>
    <phoneticPr fontId="2" type="noConversion"/>
  </si>
  <si>
    <t>賽爾號：巔峰之戰</t>
    <phoneticPr fontId="2" type="noConversion"/>
  </si>
  <si>
    <t>METAL SLUG RUSH</t>
    <phoneticPr fontId="2" type="noConversion"/>
  </si>
  <si>
    <t>Astro Arena：恆星激鬥 PvP</t>
    <phoneticPr fontId="2" type="noConversion"/>
  </si>
  <si>
    <t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t>
    <phoneticPr fontId="2" type="noConversion"/>
  </si>
  <si>
    <t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t>
    <phoneticPr fontId="2" type="noConversion"/>
  </si>
  <si>
    <t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t>
    <phoneticPr fontId="2" type="noConversion"/>
  </si>
  <si>
    <t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t>
    <phoneticPr fontId="2" type="noConversion"/>
  </si>
  <si>
    <t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t>
    <phoneticPr fontId="2" type="noConversion"/>
  </si>
  <si>
    <t>https://apps.apple.com/tw/app/%E9%96%8B%E5%B1%80%E4%B8%80%E5%BA%A7%E5%B3%B6/id6762115994</t>
  </si>
  <si>
    <t>https://play.google.com/store/apps/details?id=com.supernova.kj.gp</t>
  </si>
  <si>
    <t>https://apps.apple.com/tw/app/%E7%9C%9F%E4%B8%89%E5%9C%8B%E7%84%A1%E9%9B%99-%E9%9C%B8/id6757413794</t>
  </si>
  <si>
    <t>https://play.google.com/store/apps/details?id=com.emagroups.zs</t>
  </si>
  <si>
    <t>https://apps.apple.com/tw/app/%E8%B3%BD%E7%88%BE%E8%99%9F-%E5%B7%94%E5%B3%B0%E4%B9%8B%E6%88%B0/id6758373798</t>
  </si>
  <si>
    <t>https://play.google.com/store/apps/details?id=tw.com.taomee.seerdf</t>
  </si>
  <si>
    <t>https://apps.apple.com/tw/app/metal-slug-rush/id6775727338</t>
  </si>
  <si>
    <t>https://play.google.com/store/apps/details?id=com.ringgames.msm</t>
  </si>
  <si>
    <t>https://astroarena.krafton.com/en</t>
  </si>
  <si>
    <t>https://kjyzd.super-nova.tw/</t>
  </si>
  <si>
    <t>https://www.61.com.tw/seermain/pre_register?aid=1070531</t>
  </si>
  <si>
    <t>https://www.facebook.com/MemeSlugAttack</t>
  </si>
  <si>
    <t>https://apps.apple.com/tw/app/astro-arena-%E6%81%86%E6%98%9F%E6%BF%80%E9%AC%A5-pvp/id6473492526</t>
  </si>
  <si>
    <t>https://play.google.com/store/apps/details?id=com.pubg.uropa</t>
  </si>
  <si>
    <t>https://www.facebook.com/6161seer/</t>
  </si>
  <si>
    <t>https://www.facebook.com/IslandHeroes.zh</t>
  </si>
  <si>
    <t>wife111</t>
    <phoneticPr fontId="2" type="noConversion"/>
  </si>
  <si>
    <t>遊戲主畫面右上方禮包圖案「福利」</t>
    <phoneticPr fontId="2" type="noConversion"/>
  </si>
  <si>
    <t>DS666</t>
    <phoneticPr fontId="2" type="noConversion"/>
  </si>
  <si>
    <t>IslandHeroes</t>
    <phoneticPr fontId="2" type="noConversion"/>
  </si>
  <si>
    <t>VIP666</t>
    <phoneticPr fontId="2" type="noConversion"/>
  </si>
  <si>
    <t>VIP777</t>
    <phoneticPr fontId="2" type="noConversion"/>
  </si>
  <si>
    <t>VIP888</t>
    <phoneticPr fontId="2" type="noConversion"/>
  </si>
  <si>
    <t>VIP999</t>
    <phoneticPr fontId="2" type="noConversion"/>
  </si>
  <si>
    <t>Ayi666</t>
    <phoneticPr fontId="2" type="noConversion"/>
  </si>
  <si>
    <t>Bro666</t>
    <phoneticPr fontId="2" type="noConversion"/>
  </si>
  <si>
    <t>PP666</t>
    <phoneticPr fontId="2" type="noConversion"/>
  </si>
  <si>
    <t>Eve666</t>
    <phoneticPr fontId="2" type="noConversion"/>
  </si>
  <si>
    <t>NN666</t>
    <phoneticPr fontId="2" type="noConversion"/>
  </si>
  <si>
    <t>DA666</t>
    <phoneticPr fontId="2" type="noConversion"/>
  </si>
  <si>
    <t>D7666</t>
    <phoneticPr fontId="2" type="noConversion"/>
  </si>
  <si>
    <t>Cat666</t>
    <phoneticPr fontId="2" type="noConversion"/>
  </si>
  <si>
    <t>Ball666</t>
    <phoneticPr fontId="2" type="noConversion"/>
  </si>
  <si>
    <t>主畫面左上角的頭像點進去</t>
    <phoneticPr fontId="2" type="noConversion"/>
  </si>
  <si>
    <t>點右下角「設置」</t>
    <phoneticPr fontId="2" type="noConversion"/>
  </si>
  <si>
    <t>跳出視窗點左下「兌換碼」</t>
    <phoneticPr fontId="2" type="noConversion"/>
  </si>
  <si>
    <t>JQ777</t>
    <phoneticPr fontId="2" type="noConversion"/>
  </si>
  <si>
    <t>金鱗裝備、門氣丹、50萬金幣</t>
    <phoneticPr fontId="2" type="noConversion"/>
  </si>
  <si>
    <t>JQ888</t>
    <phoneticPr fontId="2" type="noConversion"/>
  </si>
  <si>
    <t>jQ666</t>
    <phoneticPr fontId="2" type="noConversion"/>
  </si>
  <si>
    <t>微召玉兆、玄鐵、50萬金幣</t>
    <phoneticPr fontId="2" type="noConversion"/>
  </si>
  <si>
    <t>鬥者自選禮包、天玄裝備、門氣</t>
    <phoneticPr fontId="2" type="noConversion"/>
  </si>
  <si>
    <t>DP777</t>
    <phoneticPr fontId="2" type="noConversion"/>
  </si>
  <si>
    <t>鬥者自選禮包、海心裝備、鬥者</t>
    <phoneticPr fontId="2" type="noConversion"/>
  </si>
  <si>
    <t>DP888</t>
    <phoneticPr fontId="2" type="noConversion"/>
  </si>
  <si>
    <t>鬥者自選禮包、天玄装備、角色碑</t>
    <phoneticPr fontId="2" type="noConversion"/>
  </si>
  <si>
    <t>VICKY666</t>
    <phoneticPr fontId="2" type="noConversion"/>
  </si>
  <si>
    <t>青蓮地心火、破鏡丹、50萬金</t>
    <phoneticPr fontId="2" type="noConversion"/>
  </si>
  <si>
    <t>VICKY777</t>
    <phoneticPr fontId="2" type="noConversion"/>
  </si>
  <si>
    <t>净蓮妖火、破鏡丹、50萬金幣</t>
    <phoneticPr fontId="2" type="noConversion"/>
  </si>
  <si>
    <t>VICKY888</t>
    <phoneticPr fontId="2" type="noConversion"/>
  </si>
  <si>
    <t>骨霸冷火、破鏡丹、50萬金幣</t>
    <phoneticPr fontId="2" type="noConversion"/>
  </si>
  <si>
    <t>https://www.facebook.com/profile.php?id=61589180597568#</t>
  </si>
  <si>
    <t>https://apps.apple.com/tw/app/%E5%A1%94%E5%A1%94%E5%86%92%E9%9A%AA%E9%9A%8A/id6741567125</t>
  </si>
  <si>
    <t>https://www.facebook.com/wldeath/?locale=zh_TW</t>
  </si>
  <si>
    <t>https://apps.apple.com/tw/app/%E4%BA%A1%E9%9D%88%E5%88%A5%E5%A4%AA%E7%8B%82-%E9%83%A8%E8%90%BD%E5%A4%A7%E4%BD%9C%E6%88%B0/id6762179843</t>
  </si>
  <si>
    <t>https://pre.wldeath.com/</t>
  </si>
  <si>
    <t>https://www.facebook.com/p/%E7%88%86%E8%B5%B0%E6%91%B8%E9%AD%9A%E5%90%9B-61579126150997/</t>
  </si>
  <si>
    <t xml:space="preserve">FBLOOTBOOT </t>
    <phoneticPr fontId="2" type="noConversion"/>
  </si>
  <si>
    <t>https://apps.apple.com/tw/app/%E7%88%86%E8%B5%B0%E6%91%B8%E9%AD%9A%E5%90%9B/id6780402432</t>
  </si>
  <si>
    <t>https://preorder.lootandbootepoch.com/</t>
  </si>
  <si>
    <t>https://apps.apple.com/tw/app/%E5%B0%8F%E8%B2%93%E5%92%AA%E5%A4%A7%E5%8F%B2%E8%A8%98/id6759696621</t>
  </si>
  <si>
    <t>https://catdynasty.poseidongame.com/</t>
  </si>
  <si>
    <t>https://www.facebook.com/catdynasty.tw/</t>
  </si>
  <si>
    <t>https://apps.apple.com/tw/app/%E6%98%9F%E8%BE%B0%E9%80%A3%E7%B5%90/id6761739992</t>
  </si>
  <si>
    <t>https://apps.apple.com/tw/app/%E5%96%B5%E5%90%B1%E5%A4%A7%E4%BD%9C%E6%88%B0-%E6%94%BE%E7%BD%AE%E9%A1%9Erpg/id6759914688</t>
  </si>
  <si>
    <t>塔塔冒險隊</t>
    <phoneticPr fontId="2" type="noConversion"/>
  </si>
  <si>
    <t>https://play.google.com/store/apps/details?id=com.farlightgames.pgame.gp&amp;hl=zh_TW</t>
    <phoneticPr fontId="2" type="noConversion"/>
  </si>
  <si>
    <t>亡靈別太狂：部落大作戰</t>
    <phoneticPr fontId="2" type="noConversion"/>
  </si>
  <si>
    <t>https://play.google.com/store/apps/details?id=com.gtwl.gp&amp;hl=zh_TW</t>
    <phoneticPr fontId="2" type="noConversion"/>
  </si>
  <si>
    <t>小貓咪大史記</t>
    <phoneticPr fontId="2" type="noConversion"/>
  </si>
  <si>
    <t>星辰連結</t>
    <phoneticPr fontId="2" type="noConversion"/>
  </si>
  <si>
    <r>
      <rPr>
        <sz val="12"/>
        <color theme="1"/>
        <rFont val="細明體"/>
        <family val="3"/>
        <charset val="136"/>
      </rPr>
      <t>喵吱大作戰：放置類</t>
    </r>
    <r>
      <rPr>
        <sz val="12"/>
        <color theme="1"/>
        <rFont val="Arial"/>
        <family val="2"/>
      </rPr>
      <t>RPG</t>
    </r>
    <phoneticPr fontId="2" type="noConversion"/>
  </si>
  <si>
    <t>https://play.google.com/store/apps/details?id=com.lootbootepoch.gp&amp;fbclid=IwY2xjawTdV2hleHRuA2FlbQIxMABicmlkETFpZnhTbzZoM0xESmtLd0ttc3J0YwZhcHBfaWQQMjIyMDM5MTc4ODIwMDg5MgABHmyGKV0QPd3C2ClHMN3Y_QUdTZWiPa12g-SojZjY505k3lYu1JpXypNxmnvy_aem_FmniyYxfo9jRpwvTwIXeDQ</t>
    <phoneticPr fontId="2" type="noConversion"/>
  </si>
  <si>
    <t>https://play.google.com/store/apps/details?id=com.poseidongame.mgxtw&amp;referrer=utm_source%3Dgamer.com.tw%26utm_campaign%3Dgnn</t>
    <phoneticPr fontId="2" type="noConversion"/>
  </si>
  <si>
    <t>https://play.google.com/store/apps/details?id=com.StellarCraft.StellarConnect&amp;hl=zh_TW</t>
    <phoneticPr fontId="2" type="noConversion"/>
  </si>
  <si>
    <t>https://play.google.com/store/apps/details?id=com.blackdust.redblue&amp;hl=zh_TW</t>
    <phoneticPr fontId="2" type="noConversion"/>
  </si>
  <si>
    <t>《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t>
  </si>
  <si>
    <t>《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t>
  </si>
  <si>
    <t>《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t>
  </si>
  <si>
    <t>《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t>
  </si>
  <si>
    <t>《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t>
  </si>
  <si>
    <t>爆走摸魚君</t>
  </si>
  <si>
    <t>《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t>
  </si>
  <si>
    <t>森之歌：世界</t>
    <phoneticPr fontId="2" type="noConversion"/>
  </si>
  <si>
    <t>三國志：群雄之弈</t>
    <phoneticPr fontId="2" type="noConversion"/>
  </si>
  <si>
    <t>TBUKV2</t>
    <phoneticPr fontId="2" type="noConversion"/>
  </si>
  <si>
    <t>ZTNVK46N</t>
    <phoneticPr fontId="2" type="noConversion"/>
  </si>
  <si>
    <t>黃金 ×188、礦石 ×1、木材 ×1、布料 ×1</t>
    <phoneticPr fontId="2" type="noConversion"/>
  </si>
  <si>
    <t>T2TLSSBP</t>
    <phoneticPr fontId="2" type="noConversion"/>
  </si>
  <si>
    <t>VLEAN5AG</t>
    <phoneticPr fontId="2" type="noConversion"/>
  </si>
  <si>
    <t>WZWTJWK2NF</t>
    <phoneticPr fontId="2" type="noConversion"/>
  </si>
  <si>
    <t>WT4EQRX24Z</t>
    <phoneticPr fontId="2" type="noConversion"/>
  </si>
  <si>
    <t>點左上方的頭像進去</t>
    <phoneticPr fontId="2" type="noConversion"/>
  </si>
  <si>
    <t>點「兌換碼」選項</t>
    <phoneticPr fontId="2" type="noConversion"/>
  </si>
  <si>
    <t>轉運江湖</t>
    <phoneticPr fontId="2" type="noConversion"/>
  </si>
  <si>
    <t>MAJO - 末日策略 RPG</t>
    <phoneticPr fontId="2" type="noConversion"/>
  </si>
  <si>
    <t>https://www.facebook.com/profile.php?id=61589514638072</t>
  </si>
  <si>
    <t>https://pre.xmsfcp.com/sylvan/</t>
  </si>
  <si>
    <t>https://play.google.com/store/apps/details?id=com.faeryceles.frcl&amp;referrer=adjust_reftag%3Dcuby7ON1qoLNa%26utm_source%3D%25E7%25A4%25BE%25E7%25BE%25A4%26utm_campaign%3D%25E7%25B2%2589%25E4%25B8%259D%25E9%25A1%25B5</t>
  </si>
  <si>
    <t>https://apps.apple.com/tw/app/%E6%A3%AE%E4%B9%8B%E6%AD%8C-%E4%B8%96%E7%95%8C/id6768177061</t>
  </si>
  <si>
    <t>https://www.facebook.com/sgzqxzy/?locale=zh_CN</t>
  </si>
  <si>
    <t>https://apps.apple.com/tw/app/%E4%B8%89%E5%9C%8B%E5%BF%97-%E7%BE%A4%E9%9B%84%E4%B9%8B%E5%BC%88/id6780410344</t>
  </si>
  <si>
    <t>https://play.google.com/store/apps/details?id=com.xinyue.wlz.gp&amp;hl=zh</t>
  </si>
  <si>
    <t>https://www.facebook.com/ZyjhApps#</t>
  </si>
  <si>
    <t>https://apps.apple.com/tw/app/%E8%BD%89%E9%81%8B%E6%B1%9F%E6%B9%96/id6769649426</t>
  </si>
  <si>
    <t>https://zyjh.superjoy.com.hk/</t>
  </si>
  <si>
    <t>https://play.google.com/store/apps/details?id=com.gf.wx2h5twtw.hwyad.google&amp;hl=zh_TW</t>
  </si>
  <si>
    <t>https://www.facebook.com/majorstudio/</t>
  </si>
  <si>
    <t>https://play.google.com/store/apps/details?id=com.darkwind.majo&amp;shortlink=is7dddt4&amp;source_caller=ui&amp;fbclid=IwY2xjawTih4JwZG9mAWV4dG4DYWVtAjEwAGJyaWQRMU1LMWtLSG5hQ2RGVUdPWnlzcnRjBmFwcF9pZBAyMjIwMzkxNzg4MjAwODkyAAEeOSRwhzOJ6iiC8lT6AE0SKSEnb2PWK4g-8C8H7qOMI8LAI10lxBnTLWrCsoY_aem_pNWKdy_NylPb0H31e8CPLg&amp;c=fb&amp;pid=Social_facebook&amp;af_xp=social</t>
  </si>
  <si>
    <t>https://apps.apple.com/tw/app/majo-%E6%9C%AB%E6%97%A5%E7%AD%96%E7%95%A5-rpg/id6742809054</t>
  </si>
  <si>
    <t>《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t>
  </si>
  <si>
    <t>《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t>
  </si>
  <si>
    <t>《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t>
  </si>
  <si>
    <r>
      <rPr>
        <sz val="12"/>
        <color rgb="FF000000"/>
        <rFont val="細明體"/>
        <family val="3"/>
        <charset val="136"/>
      </rPr>
      <t>《</t>
    </r>
    <r>
      <rPr>
        <sz val="12"/>
        <color rgb="FF000000"/>
        <rFont val="Arial"/>
        <family val="2"/>
      </rPr>
      <t xml:space="preserve">MAJO - </t>
    </r>
    <r>
      <rPr>
        <sz val="12"/>
        <color rgb="FF000000"/>
        <rFont val="細明體"/>
        <family val="3"/>
        <charset val="136"/>
      </rPr>
      <t>末日策略</t>
    </r>
    <r>
      <rPr>
        <sz val="12"/>
        <color rgb="FF000000"/>
        <rFont val="Arial"/>
        <family val="2"/>
      </rPr>
      <t xml:space="preserve"> RPG</t>
    </r>
    <r>
      <rPr>
        <sz val="12"/>
        <color rgb="FF000000"/>
        <rFont val="細明體"/>
        <family val="3"/>
        <charset val="136"/>
      </rPr>
      <t>》美少女養成＋深度戰術末日生存手遊，主打直式即時攻防與極簡操作。扮演指揮官招募各式強大角色，建造專屬避難所並抵禦異變生物的猛烈襲擊，集齊限定</t>
    </r>
    <r>
      <rPr>
        <sz val="12"/>
        <color rgb="FF000000"/>
        <rFont val="Arial"/>
        <family val="2"/>
      </rPr>
      <t>SSR</t>
    </r>
    <r>
      <rPr>
        <sz val="12"/>
        <color rgb="FF000000"/>
        <rFont val="細明體"/>
        <family val="3"/>
        <charset val="136"/>
      </rPr>
      <t>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</si>
</sst>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2"/>
      <color rgb="FF000000"/>
      <name val="Arial"/>
      <family val="2"/>
    </font>
    <font>
      <sz val="12"/>
      <color rgb="FF000000"/>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xf numFmtId="0" fontId="25" fillId="0" borderId="0" xfId="0" applyFont="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348" Type="http://schemas.openxmlformats.org/officeDocument/2006/relationships/hyperlink" Target="https://play.google.com/store/apps/details?id=com.gtwl.gp&amp;hl=zh_TW"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349" Type="http://schemas.openxmlformats.org/officeDocument/2006/relationships/hyperlink" Target="https://play.google.com/store/apps/details?id=com.poseidongame.mgxtw&amp;referrer=utm_source%3Dgamer.com.tw%26utm_campaign%3Dgnn"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350" Type="http://schemas.openxmlformats.org/officeDocument/2006/relationships/hyperlink" Target="https://play.google.com/store/apps/details?id=com.StellarCraft.StellarConnect&amp;hl=zh_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351" Type="http://schemas.openxmlformats.org/officeDocument/2006/relationships/hyperlink" Target="https://play.google.com/store/apps/details?id=com.blackdust.redblue&amp;hl=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352"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hyperlink" Target="https://play.google.com/store/apps/details?id=com.farlightgames.pgame.gp&amp;hl=zh_TW"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35" Type="http://schemas.openxmlformats.org/officeDocument/2006/relationships/hyperlink" Target="https://etheria.xd.com/"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38" Type="http://schemas.openxmlformats.org/officeDocument/2006/relationships/hyperlink" Target="https://play.google.com/store/apps/details?id=com.gugames.cursedeqd&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9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hyperlink" Target="mailto:&#26368;&#26032;&#20786;&#20540;&#20778;&#24800;&#39340;&#19978;&#21839;&#21839;Line@&#23458;&#26381;" TargetMode="External"/><Relationship Id="rId304"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08"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291" Type="http://schemas.openxmlformats.org/officeDocument/2006/relationships/hyperlink" Target="mailto:&#26368;&#26032;&#20786;&#20540;&#20778;&#24800;&#39340;&#19978;&#21839;&#21839;Line@&#23458;&#26381;" TargetMode="External"/><Relationship Id="rId305"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92" Type="http://schemas.openxmlformats.org/officeDocument/2006/relationships/hyperlink" Target="mailto:&#26368;&#26032;&#20786;&#20540;&#20778;&#24800;&#39340;&#19978;&#21839;&#21839;Line@&#23458;&#26381;" TargetMode="External"/><Relationship Id="rId306"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29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294"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9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296" Type="http://schemas.openxmlformats.org/officeDocument/2006/relationships/hyperlink" Target="mailto:&#26368;&#26032;&#20786;&#20540;&#20778;&#24800;&#39340;&#19978;&#21839;&#21839;Line@&#23458;&#26381;" TargetMode="External"/><Relationship Id="rId300"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29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30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298"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302"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303"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54" activePane="bottomRight" state="frozen"/>
      <selection pane="topRight" activeCell="B1" sqref="B1"/>
      <selection pane="bottomLeft" activeCell="A2" sqref="A2"/>
      <selection pane="bottomRight" activeCell="I565" sqref="I565"/>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thickBot="1">
      <c r="A550" s="114" t="s">
        <v>9430</v>
      </c>
      <c r="C550" s="8" t="s">
        <v>9437</v>
      </c>
      <c r="D550" s="9" t="s">
        <v>9436</v>
      </c>
      <c r="E550" s="9" t="s">
        <v>9439</v>
      </c>
      <c r="F550" s="8" t="str">
        <f t="shared" si="20"/>
        <v>gift-codes.html?game=鬥破蒼穹M：少年崛起</v>
      </c>
      <c r="G550" s="9" t="s">
        <v>9438</v>
      </c>
      <c r="H550" s="9" t="str">
        <f t="shared" si="21"/>
        <v>https://www.ssbuy.tw/game-detail.html?game=鬥破蒼穹M：少年崛起</v>
      </c>
      <c r="I550" s="10" t="s">
        <v>9440</v>
      </c>
      <c r="J550" s="16" t="s">
        <v>5418</v>
      </c>
      <c r="K550" s="39" t="s">
        <v>5446</v>
      </c>
      <c r="L550" s="1" t="s">
        <v>5939</v>
      </c>
      <c r="M550" s="26">
        <v>2816</v>
      </c>
      <c r="N550" s="1" t="s">
        <v>5940</v>
      </c>
      <c r="O550" s="26">
        <v>1460</v>
      </c>
      <c r="P550" s="1" t="s">
        <v>5941</v>
      </c>
      <c r="Q550" s="26">
        <v>863</v>
      </c>
      <c r="R550" s="1" t="s">
        <v>5942</v>
      </c>
      <c r="S550" s="26">
        <v>759</v>
      </c>
      <c r="T550" s="1" t="s">
        <v>5943</v>
      </c>
      <c r="U550" s="26">
        <v>584</v>
      </c>
      <c r="V550" s="1" t="s">
        <v>5944</v>
      </c>
      <c r="W550" s="26">
        <v>427</v>
      </c>
      <c r="X550" s="1" t="s">
        <v>5945</v>
      </c>
      <c r="Y550" s="26">
        <v>288</v>
      </c>
      <c r="Z550" s="1" t="s">
        <v>5946</v>
      </c>
      <c r="AA550" s="26">
        <v>148</v>
      </c>
      <c r="AB550" s="1" t="s">
        <v>5947</v>
      </c>
      <c r="AC550" s="26">
        <v>29</v>
      </c>
    </row>
    <row r="551" spans="1:29" ht="28.5" customHeight="1" thickBot="1">
      <c r="A551" s="114" t="s">
        <v>9441</v>
      </c>
      <c r="C551" s="8" t="s">
        <v>9466</v>
      </c>
      <c r="D551" s="9" t="s">
        <v>9460</v>
      </c>
      <c r="E551" s="9" t="s">
        <v>9451</v>
      </c>
      <c r="F551" s="8" t="str">
        <f t="shared" si="20"/>
        <v>gift-codes.html?game=開局一座島</v>
      </c>
      <c r="G551" s="9" t="s">
        <v>9452</v>
      </c>
      <c r="H551" s="9" t="str">
        <f t="shared" si="21"/>
        <v>https://www.ssbuy.tw/game-detail.html?game=開局一座島</v>
      </c>
      <c r="I551" s="10" t="s">
        <v>9446</v>
      </c>
      <c r="J551" s="16" t="s">
        <v>5418</v>
      </c>
      <c r="K551" s="39" t="s">
        <v>5446</v>
      </c>
      <c r="L551" s="1" t="s">
        <v>5939</v>
      </c>
      <c r="M551" s="26">
        <v>2816</v>
      </c>
      <c r="N551" s="1" t="s">
        <v>5940</v>
      </c>
      <c r="O551" s="26">
        <v>1460</v>
      </c>
      <c r="P551" s="1" t="s">
        <v>5941</v>
      </c>
      <c r="Q551" s="26">
        <v>863</v>
      </c>
      <c r="R551" s="1" t="s">
        <v>5942</v>
      </c>
      <c r="S551" s="26">
        <v>759</v>
      </c>
      <c r="T551" s="1" t="s">
        <v>5943</v>
      </c>
      <c r="U551" s="26">
        <v>584</v>
      </c>
      <c r="V551" s="1" t="s">
        <v>5944</v>
      </c>
      <c r="W551" s="26">
        <v>427</v>
      </c>
      <c r="X551" s="1" t="s">
        <v>5945</v>
      </c>
      <c r="Y551" s="26">
        <v>288</v>
      </c>
      <c r="Z551" s="1" t="s">
        <v>5946</v>
      </c>
      <c r="AA551" s="26">
        <v>148</v>
      </c>
      <c r="AB551" s="1" t="s">
        <v>5947</v>
      </c>
      <c r="AC551" s="26">
        <v>29</v>
      </c>
    </row>
    <row r="552" spans="1:29" ht="28.5" customHeight="1" thickBot="1">
      <c r="A552" s="114" t="s">
        <v>9442</v>
      </c>
      <c r="E552" s="9" t="s">
        <v>9453</v>
      </c>
      <c r="F552" s="8" t="str">
        <f t="shared" si="20"/>
        <v>gift-codes.html?game=真三國無雙・霸</v>
      </c>
      <c r="G552" s="9" t="s">
        <v>9454</v>
      </c>
      <c r="H552" s="9" t="str">
        <f t="shared" si="21"/>
        <v>https://www.ssbuy.tw/game-detail.html?game=真三國無雙・霸</v>
      </c>
      <c r="I552" s="10" t="s">
        <v>9447</v>
      </c>
      <c r="J552" s="16" t="s">
        <v>5418</v>
      </c>
      <c r="K552" s="39" t="s">
        <v>5446</v>
      </c>
      <c r="L552" s="1" t="s">
        <v>5939</v>
      </c>
      <c r="M552" s="26">
        <v>2816</v>
      </c>
      <c r="N552" s="1" t="s">
        <v>5940</v>
      </c>
      <c r="O552" s="26">
        <v>1460</v>
      </c>
      <c r="P552" s="1" t="s">
        <v>5941</v>
      </c>
      <c r="Q552" s="26">
        <v>863</v>
      </c>
      <c r="R552" s="1" t="s">
        <v>5942</v>
      </c>
      <c r="S552" s="26">
        <v>759</v>
      </c>
      <c r="T552" s="1" t="s">
        <v>5943</v>
      </c>
      <c r="U552" s="26">
        <v>584</v>
      </c>
      <c r="V552" s="1" t="s">
        <v>5944</v>
      </c>
      <c r="W552" s="26">
        <v>427</v>
      </c>
      <c r="X552" s="1" t="s">
        <v>5945</v>
      </c>
      <c r="Y552" s="26">
        <v>288</v>
      </c>
      <c r="Z552" s="1" t="s">
        <v>5946</v>
      </c>
      <c r="AA552" s="26">
        <v>148</v>
      </c>
      <c r="AB552" s="1" t="s">
        <v>5947</v>
      </c>
      <c r="AC552" s="26">
        <v>29</v>
      </c>
    </row>
    <row r="553" spans="1:29" ht="28.5" customHeight="1" thickBot="1">
      <c r="A553" s="114" t="s">
        <v>9443</v>
      </c>
      <c r="C553" s="8" t="s">
        <v>9465</v>
      </c>
      <c r="D553" s="9" t="s">
        <v>9461</v>
      </c>
      <c r="E553" s="9" t="s">
        <v>9455</v>
      </c>
      <c r="F553" s="8" t="str">
        <f t="shared" si="20"/>
        <v>gift-codes.html?game=賽爾號：巔峰之戰</v>
      </c>
      <c r="G553" s="9" t="s">
        <v>9456</v>
      </c>
      <c r="H553" s="9" t="str">
        <f t="shared" si="21"/>
        <v>https://www.ssbuy.tw/game-detail.html?game=賽爾號：巔峰之戰</v>
      </c>
      <c r="I553" s="10" t="s">
        <v>9448</v>
      </c>
      <c r="J553" s="16" t="s">
        <v>5418</v>
      </c>
      <c r="K553" s="39" t="s">
        <v>5446</v>
      </c>
      <c r="L553" s="1" t="s">
        <v>5939</v>
      </c>
      <c r="M553" s="26">
        <v>2816</v>
      </c>
      <c r="N553" s="1" t="s">
        <v>5940</v>
      </c>
      <c r="O553" s="26">
        <v>1460</v>
      </c>
      <c r="P553" s="1" t="s">
        <v>5941</v>
      </c>
      <c r="Q553" s="26">
        <v>863</v>
      </c>
      <c r="R553" s="1" t="s">
        <v>5942</v>
      </c>
      <c r="S553" s="26">
        <v>759</v>
      </c>
      <c r="T553" s="1" t="s">
        <v>5943</v>
      </c>
      <c r="U553" s="26">
        <v>584</v>
      </c>
      <c r="V553" s="1" t="s">
        <v>5944</v>
      </c>
      <c r="W553" s="26">
        <v>427</v>
      </c>
      <c r="X553" s="1" t="s">
        <v>5945</v>
      </c>
      <c r="Y553" s="26">
        <v>288</v>
      </c>
      <c r="Z553" s="1" t="s">
        <v>5946</v>
      </c>
      <c r="AA553" s="26">
        <v>148</v>
      </c>
      <c r="AB553" s="1" t="s">
        <v>5947</v>
      </c>
      <c r="AC553" s="26">
        <v>29</v>
      </c>
    </row>
    <row r="554" spans="1:29" ht="28.5" customHeight="1" thickBot="1">
      <c r="A554" s="114" t="s">
        <v>9445</v>
      </c>
      <c r="D554" s="9" t="s">
        <v>9459</v>
      </c>
      <c r="E554" s="9" t="s">
        <v>9463</v>
      </c>
      <c r="F554" s="8" t="str">
        <f>IF(A554="", "", "gift-codes.html?game=" &amp; A554)</f>
        <v>gift-codes.html?game=Astro Arena：恆星激鬥 PvP</v>
      </c>
      <c r="G554" s="9" t="s">
        <v>9464</v>
      </c>
      <c r="H554" s="9" t="str">
        <f t="shared" ref="H554:H612" si="22">IF(A554="", "", "https://www.ssbuy.tw/game-detail.html?game="&amp;A554)</f>
        <v>https://www.ssbuy.tw/game-detail.html?game=Astro Arena：恆星激鬥 PvP</v>
      </c>
      <c r="I554" s="10" t="s">
        <v>9449</v>
      </c>
      <c r="J554" s="16" t="s">
        <v>5418</v>
      </c>
      <c r="K554" s="39" t="s">
        <v>5446</v>
      </c>
      <c r="L554" s="111" t="s">
        <v>46</v>
      </c>
      <c r="M554" s="112">
        <v>2559</v>
      </c>
      <c r="N554" s="111" t="s">
        <v>1677</v>
      </c>
      <c r="O554" s="112">
        <v>1287</v>
      </c>
      <c r="P554" s="111" t="s">
        <v>151</v>
      </c>
      <c r="Q554" s="112">
        <v>863</v>
      </c>
      <c r="R554" s="111" t="s">
        <v>152</v>
      </c>
      <c r="S554" s="112">
        <v>584</v>
      </c>
      <c r="T554" s="111" t="s">
        <v>153</v>
      </c>
      <c r="U554" s="112">
        <v>427</v>
      </c>
      <c r="V554" s="111" t="s">
        <v>6549</v>
      </c>
      <c r="W554" s="112">
        <v>279</v>
      </c>
      <c r="X554" s="111" t="s">
        <v>6550</v>
      </c>
      <c r="Y554" s="112">
        <v>131</v>
      </c>
      <c r="Z554" s="111" t="s">
        <v>8447</v>
      </c>
      <c r="AA554" s="112">
        <v>87</v>
      </c>
      <c r="AB554" s="111" t="s">
        <v>6553</v>
      </c>
      <c r="AC554" s="112">
        <v>29</v>
      </c>
    </row>
    <row r="555" spans="1:29" ht="28.5" customHeight="1" thickBot="1">
      <c r="A555" s="114" t="s">
        <v>9444</v>
      </c>
      <c r="C555" s="8" t="s">
        <v>9462</v>
      </c>
      <c r="E555" s="9" t="s">
        <v>9457</v>
      </c>
      <c r="F555" s="8" t="str">
        <f>IF(A555="", "", "gift-codes.html?game=" &amp; A555)</f>
        <v>gift-codes.html?game=METAL SLUG RUSH</v>
      </c>
      <c r="G555" s="9" t="s">
        <v>9458</v>
      </c>
      <c r="H555" s="9" t="str">
        <f t="shared" si="22"/>
        <v>https://www.ssbuy.tw/game-detail.html?game=METAL SLUG RUSH</v>
      </c>
      <c r="I555" s="10" t="s">
        <v>9450</v>
      </c>
      <c r="J555" s="16" t="s">
        <v>5418</v>
      </c>
      <c r="K555" s="39" t="s">
        <v>5446</v>
      </c>
      <c r="L555" s="111" t="s">
        <v>46</v>
      </c>
      <c r="M555" s="112">
        <v>2559</v>
      </c>
      <c r="N555" s="111" t="s">
        <v>1677</v>
      </c>
      <c r="O555" s="112">
        <v>1287</v>
      </c>
      <c r="P555" s="111" t="s">
        <v>151</v>
      </c>
      <c r="Q555" s="112">
        <v>863</v>
      </c>
      <c r="R555" s="111" t="s">
        <v>152</v>
      </c>
      <c r="S555" s="112">
        <v>584</v>
      </c>
      <c r="T555" s="111" t="s">
        <v>153</v>
      </c>
      <c r="U555" s="112">
        <v>427</v>
      </c>
      <c r="V555" s="111" t="s">
        <v>6549</v>
      </c>
      <c r="W555" s="112">
        <v>279</v>
      </c>
      <c r="X555" s="111" t="s">
        <v>6550</v>
      </c>
      <c r="Y555" s="112">
        <v>131</v>
      </c>
      <c r="Z555" s="111" t="s">
        <v>8447</v>
      </c>
      <c r="AA555" s="112">
        <v>87</v>
      </c>
      <c r="AB555" s="111" t="s">
        <v>6553</v>
      </c>
      <c r="AC555" s="112">
        <v>29</v>
      </c>
    </row>
    <row r="556" spans="1:29" ht="28.5" customHeight="1" thickBot="1">
      <c r="A556" s="122" t="s">
        <v>9517</v>
      </c>
      <c r="C556" s="8" t="s">
        <v>9503</v>
      </c>
      <c r="E556" s="9" t="s">
        <v>9504</v>
      </c>
      <c r="F556" s="8" t="str">
        <f>IF(A556="", "", "gift-codes.html?game=" &amp; A556)</f>
        <v>gift-codes.html?game=塔塔冒險隊</v>
      </c>
      <c r="G556" s="127" t="s">
        <v>9518</v>
      </c>
      <c r="H556" s="9" t="str">
        <f t="shared" si="22"/>
        <v>https://www.ssbuy.tw/game-detail.html?game=塔塔冒險隊</v>
      </c>
      <c r="I556" s="129" t="s">
        <v>9528</v>
      </c>
      <c r="J556" s="16" t="s">
        <v>5418</v>
      </c>
      <c r="K556" s="39" t="s">
        <v>5446</v>
      </c>
      <c r="L556" s="1" t="s">
        <v>5939</v>
      </c>
      <c r="M556" s="26">
        <v>2816</v>
      </c>
      <c r="N556" s="1" t="s">
        <v>5940</v>
      </c>
      <c r="O556" s="26">
        <v>1460</v>
      </c>
      <c r="P556" s="1" t="s">
        <v>5941</v>
      </c>
      <c r="Q556" s="26">
        <v>863</v>
      </c>
      <c r="R556" s="1" t="s">
        <v>5942</v>
      </c>
      <c r="S556" s="26">
        <v>759</v>
      </c>
      <c r="T556" s="1" t="s">
        <v>5943</v>
      </c>
      <c r="U556" s="26">
        <v>584</v>
      </c>
      <c r="V556" s="1" t="s">
        <v>5944</v>
      </c>
      <c r="W556" s="26">
        <v>427</v>
      </c>
      <c r="X556" s="1" t="s">
        <v>5945</v>
      </c>
      <c r="Y556" s="26">
        <v>288</v>
      </c>
      <c r="Z556" s="1" t="s">
        <v>5946</v>
      </c>
      <c r="AA556" s="26">
        <v>148</v>
      </c>
      <c r="AB556" s="1" t="s">
        <v>5947</v>
      </c>
      <c r="AC556" s="26">
        <v>29</v>
      </c>
    </row>
    <row r="557" spans="1:29" ht="28.5" customHeight="1" thickBot="1">
      <c r="A557" s="122" t="s">
        <v>9519</v>
      </c>
      <c r="C557" s="8" t="s">
        <v>9505</v>
      </c>
      <c r="D557" s="9" t="s">
        <v>9507</v>
      </c>
      <c r="E557" s="9" t="s">
        <v>9506</v>
      </c>
      <c r="F557" s="8" t="str">
        <f t="shared" ref="F557:F601" si="23">IF(A557="", "", "gift-codes.html?game=" &amp; A557)</f>
        <v>gift-codes.html?game=亡靈別太狂：部落大作戰</v>
      </c>
      <c r="G557" s="127" t="s">
        <v>9520</v>
      </c>
      <c r="H557" s="9" t="str">
        <f t="shared" si="22"/>
        <v>https://www.ssbuy.tw/game-detail.html?game=亡靈別太狂：部落大作戰</v>
      </c>
      <c r="I557" s="129" t="s">
        <v>9529</v>
      </c>
      <c r="J557" s="16" t="s">
        <v>5418</v>
      </c>
      <c r="K557" s="39" t="s">
        <v>5446</v>
      </c>
      <c r="L557" s="1" t="s">
        <v>5939</v>
      </c>
      <c r="M557" s="26">
        <v>2816</v>
      </c>
      <c r="N557" s="1" t="s">
        <v>5940</v>
      </c>
      <c r="O557" s="26">
        <v>1460</v>
      </c>
      <c r="P557" s="1" t="s">
        <v>5941</v>
      </c>
      <c r="Q557" s="26">
        <v>863</v>
      </c>
      <c r="R557" s="1" t="s">
        <v>5942</v>
      </c>
      <c r="S557" s="26">
        <v>759</v>
      </c>
      <c r="T557" s="1" t="s">
        <v>5943</v>
      </c>
      <c r="U557" s="26">
        <v>584</v>
      </c>
      <c r="V557" s="1" t="s">
        <v>5944</v>
      </c>
      <c r="W557" s="26">
        <v>427</v>
      </c>
      <c r="X557" s="1" t="s">
        <v>5945</v>
      </c>
      <c r="Y557" s="26">
        <v>288</v>
      </c>
      <c r="Z557" s="1" t="s">
        <v>5946</v>
      </c>
      <c r="AA557" s="26">
        <v>148</v>
      </c>
      <c r="AB557" s="1" t="s">
        <v>5947</v>
      </c>
      <c r="AC557" s="26">
        <v>29</v>
      </c>
    </row>
    <row r="558" spans="1:29" ht="28.5" customHeight="1" thickBot="1">
      <c r="A558" s="122" t="s">
        <v>9533</v>
      </c>
      <c r="C558" s="8" t="s">
        <v>9508</v>
      </c>
      <c r="D558" s="9" t="s">
        <v>9511</v>
      </c>
      <c r="E558" s="9" t="s">
        <v>9510</v>
      </c>
      <c r="F558" s="8" t="str">
        <f t="shared" si="23"/>
        <v>gift-codes.html?game=爆走摸魚君</v>
      </c>
      <c r="G558" s="127" t="s">
        <v>9524</v>
      </c>
      <c r="H558" s="9" t="str">
        <f t="shared" si="22"/>
        <v>https://www.ssbuy.tw/game-detail.html?game=爆走摸魚君</v>
      </c>
      <c r="I558" s="129" t="s">
        <v>9534</v>
      </c>
      <c r="J558" s="16" t="s">
        <v>5418</v>
      </c>
      <c r="K558" s="39" t="s">
        <v>5446</v>
      </c>
      <c r="L558" s="111" t="s">
        <v>46</v>
      </c>
      <c r="M558" s="112">
        <v>2559</v>
      </c>
      <c r="N558" s="111" t="s">
        <v>1677</v>
      </c>
      <c r="O558" s="112">
        <v>1287</v>
      </c>
      <c r="P558" s="111" t="s">
        <v>151</v>
      </c>
      <c r="Q558" s="112">
        <v>863</v>
      </c>
      <c r="R558" s="111" t="s">
        <v>152</v>
      </c>
      <c r="S558" s="112">
        <v>584</v>
      </c>
      <c r="T558" s="111" t="s">
        <v>153</v>
      </c>
      <c r="U558" s="112">
        <v>427</v>
      </c>
      <c r="V558" s="111" t="s">
        <v>6549</v>
      </c>
      <c r="W558" s="112">
        <v>279</v>
      </c>
      <c r="X558" s="111" t="s">
        <v>6550</v>
      </c>
      <c r="Y558" s="112">
        <v>131</v>
      </c>
      <c r="Z558" s="111" t="s">
        <v>8447</v>
      </c>
      <c r="AA558" s="112">
        <v>87</v>
      </c>
      <c r="AB558" s="111" t="s">
        <v>6553</v>
      </c>
      <c r="AC558" s="112">
        <v>29</v>
      </c>
    </row>
    <row r="559" spans="1:29" ht="28.5" customHeight="1" thickBot="1">
      <c r="A559" s="122" t="s">
        <v>9521</v>
      </c>
      <c r="C559" s="8" t="s">
        <v>9514</v>
      </c>
      <c r="D559" s="9" t="s">
        <v>9513</v>
      </c>
      <c r="E559" s="9" t="s">
        <v>9512</v>
      </c>
      <c r="F559" s="8" t="str">
        <f t="shared" si="23"/>
        <v>gift-codes.html?game=小貓咪大史記</v>
      </c>
      <c r="G559" s="127" t="s">
        <v>9525</v>
      </c>
      <c r="H559" s="9" t="str">
        <f t="shared" si="22"/>
        <v>https://www.ssbuy.tw/game-detail.html?game=小貓咪大史記</v>
      </c>
      <c r="I559" s="129" t="s">
        <v>9530</v>
      </c>
      <c r="J559" s="16" t="s">
        <v>5418</v>
      </c>
      <c r="K559" s="39" t="s">
        <v>5446</v>
      </c>
      <c r="L559" s="1" t="s">
        <v>5939</v>
      </c>
      <c r="M559" s="26">
        <v>2816</v>
      </c>
      <c r="N559" s="1" t="s">
        <v>5940</v>
      </c>
      <c r="O559" s="26">
        <v>1460</v>
      </c>
      <c r="P559" s="1" t="s">
        <v>5941</v>
      </c>
      <c r="Q559" s="26">
        <v>863</v>
      </c>
      <c r="R559" s="1" t="s">
        <v>5942</v>
      </c>
      <c r="S559" s="26">
        <v>759</v>
      </c>
      <c r="T559" s="1" t="s">
        <v>5943</v>
      </c>
      <c r="U559" s="26">
        <v>584</v>
      </c>
      <c r="V559" s="1" t="s">
        <v>5944</v>
      </c>
      <c r="W559" s="26">
        <v>427</v>
      </c>
      <c r="X559" s="1" t="s">
        <v>5945</v>
      </c>
      <c r="Y559" s="26">
        <v>288</v>
      </c>
      <c r="Z559" s="1" t="s">
        <v>5946</v>
      </c>
      <c r="AA559" s="26">
        <v>148</v>
      </c>
      <c r="AB559" s="1" t="s">
        <v>5947</v>
      </c>
      <c r="AC559" s="26">
        <v>29</v>
      </c>
    </row>
    <row r="560" spans="1:29" ht="28.5" customHeight="1" thickBot="1">
      <c r="A560" s="122" t="s">
        <v>9522</v>
      </c>
      <c r="E560" s="9" t="s">
        <v>9515</v>
      </c>
      <c r="F560" s="8" t="str">
        <f t="shared" si="23"/>
        <v>gift-codes.html?game=星辰連結</v>
      </c>
      <c r="G560" s="127" t="s">
        <v>9526</v>
      </c>
      <c r="H560" s="9" t="str">
        <f t="shared" si="22"/>
        <v>https://www.ssbuy.tw/game-detail.html?game=星辰連結</v>
      </c>
      <c r="I560" s="129" t="s">
        <v>9531</v>
      </c>
      <c r="J560" s="16" t="s">
        <v>5418</v>
      </c>
      <c r="K560" s="39" t="s">
        <v>5446</v>
      </c>
      <c r="L560" s="111" t="s">
        <v>46</v>
      </c>
      <c r="M560" s="112">
        <v>2559</v>
      </c>
      <c r="N560" s="111" t="s">
        <v>1677</v>
      </c>
      <c r="O560" s="112">
        <v>1287</v>
      </c>
      <c r="P560" s="111" t="s">
        <v>151</v>
      </c>
      <c r="Q560" s="112">
        <v>863</v>
      </c>
      <c r="R560" s="111" t="s">
        <v>152</v>
      </c>
      <c r="S560" s="112">
        <v>584</v>
      </c>
      <c r="T560" s="111" t="s">
        <v>153</v>
      </c>
      <c r="U560" s="112">
        <v>427</v>
      </c>
      <c r="V560" s="111" t="s">
        <v>6549</v>
      </c>
      <c r="W560" s="112">
        <v>279</v>
      </c>
      <c r="X560" s="111" t="s">
        <v>6550</v>
      </c>
      <c r="Y560" s="112">
        <v>131</v>
      </c>
      <c r="Z560" s="111" t="s">
        <v>8447</v>
      </c>
      <c r="AA560" s="112">
        <v>87</v>
      </c>
      <c r="AB560" s="111" t="s">
        <v>6553</v>
      </c>
      <c r="AC560" s="112">
        <v>29</v>
      </c>
    </row>
    <row r="561" spans="1:29" ht="28.5" customHeight="1" thickBot="1">
      <c r="A561" s="112" t="s">
        <v>9523</v>
      </c>
      <c r="E561" s="9" t="s">
        <v>9516</v>
      </c>
      <c r="F561" s="8" t="str">
        <f t="shared" si="23"/>
        <v>gift-codes.html?game=喵吱大作戰：放置類RPG</v>
      </c>
      <c r="G561" s="127" t="s">
        <v>9527</v>
      </c>
      <c r="H561" s="9" t="str">
        <f t="shared" si="22"/>
        <v>https://www.ssbuy.tw/game-detail.html?game=喵吱大作戰：放置類RPG</v>
      </c>
      <c r="I561" s="129" t="s">
        <v>9532</v>
      </c>
      <c r="J561" s="16" t="s">
        <v>5418</v>
      </c>
      <c r="K561" s="39" t="s">
        <v>5446</v>
      </c>
      <c r="L561" s="111" t="s">
        <v>46</v>
      </c>
      <c r="M561" s="112">
        <v>2559</v>
      </c>
      <c r="N561" s="111" t="s">
        <v>1677</v>
      </c>
      <c r="O561" s="112">
        <v>1287</v>
      </c>
      <c r="P561" s="111" t="s">
        <v>151</v>
      </c>
      <c r="Q561" s="112">
        <v>863</v>
      </c>
      <c r="R561" s="111" t="s">
        <v>152</v>
      </c>
      <c r="S561" s="112">
        <v>584</v>
      </c>
      <c r="T561" s="111" t="s">
        <v>153</v>
      </c>
      <c r="U561" s="112">
        <v>427</v>
      </c>
      <c r="V561" s="111" t="s">
        <v>6549</v>
      </c>
      <c r="W561" s="112">
        <v>279</v>
      </c>
      <c r="X561" s="111" t="s">
        <v>6550</v>
      </c>
      <c r="Y561" s="112">
        <v>131</v>
      </c>
      <c r="Z561" s="111" t="s">
        <v>8447</v>
      </c>
      <c r="AA561" s="112">
        <v>87</v>
      </c>
      <c r="AB561" s="111" t="s">
        <v>6553</v>
      </c>
      <c r="AC561" s="112">
        <v>29</v>
      </c>
    </row>
    <row r="562" spans="1:29" ht="28.5" customHeight="1" thickBot="1">
      <c r="A562" s="114" t="s">
        <v>9535</v>
      </c>
      <c r="C562" s="8" t="s">
        <v>9548</v>
      </c>
      <c r="D562" s="9" t="s">
        <v>9549</v>
      </c>
      <c r="E562" s="9" t="s">
        <v>9551</v>
      </c>
      <c r="F562" s="8" t="str">
        <f t="shared" si="23"/>
        <v>gift-codes.html?game=森之歌：世界</v>
      </c>
      <c r="G562" s="9" t="s">
        <v>9550</v>
      </c>
      <c r="H562" s="9" t="str">
        <f t="shared" si="22"/>
        <v>https://www.ssbuy.tw/game-detail.html?game=森之歌：世界</v>
      </c>
      <c r="I562" s="129" t="s">
        <v>9562</v>
      </c>
      <c r="J562" s="16" t="s">
        <v>5418</v>
      </c>
      <c r="K562" s="39" t="s">
        <v>5446</v>
      </c>
      <c r="L562" s="1" t="s">
        <v>5939</v>
      </c>
      <c r="M562" s="26">
        <v>2816</v>
      </c>
      <c r="N562" s="1" t="s">
        <v>5940</v>
      </c>
      <c r="O562" s="26">
        <v>1460</v>
      </c>
      <c r="P562" s="1" t="s">
        <v>5941</v>
      </c>
      <c r="Q562" s="26">
        <v>863</v>
      </c>
      <c r="R562" s="1" t="s">
        <v>5942</v>
      </c>
      <c r="S562" s="26">
        <v>759</v>
      </c>
      <c r="T562" s="1" t="s">
        <v>5943</v>
      </c>
      <c r="U562" s="26">
        <v>584</v>
      </c>
      <c r="V562" s="1" t="s">
        <v>5944</v>
      </c>
      <c r="W562" s="26">
        <v>427</v>
      </c>
      <c r="X562" s="1" t="s">
        <v>5945</v>
      </c>
      <c r="Y562" s="26">
        <v>288</v>
      </c>
      <c r="Z562" s="1" t="s">
        <v>5946</v>
      </c>
      <c r="AA562" s="26">
        <v>148</v>
      </c>
      <c r="AB562" s="1" t="s">
        <v>5947</v>
      </c>
      <c r="AC562" s="26">
        <v>29</v>
      </c>
    </row>
    <row r="563" spans="1:29" ht="28.5" customHeight="1" thickBot="1">
      <c r="A563" s="114" t="s">
        <v>9536</v>
      </c>
      <c r="C563" s="8" t="s">
        <v>9552</v>
      </c>
      <c r="E563" s="9" t="s">
        <v>9553</v>
      </c>
      <c r="F563" s="8" t="str">
        <f t="shared" si="23"/>
        <v>gift-codes.html?game=三國志：群雄之弈</v>
      </c>
      <c r="G563" s="9" t="s">
        <v>9554</v>
      </c>
      <c r="H563" s="9" t="str">
        <f t="shared" si="22"/>
        <v>https://www.ssbuy.tw/game-detail.html?game=三國志：群雄之弈</v>
      </c>
      <c r="I563" s="129" t="s">
        <v>9563</v>
      </c>
      <c r="J563" s="16" t="s">
        <v>5418</v>
      </c>
      <c r="K563" s="39" t="s">
        <v>5446</v>
      </c>
      <c r="L563" s="1" t="s">
        <v>5939</v>
      </c>
      <c r="M563" s="26">
        <v>2816</v>
      </c>
      <c r="N563" s="1" t="s">
        <v>5940</v>
      </c>
      <c r="O563" s="26">
        <v>1460</v>
      </c>
      <c r="P563" s="1" t="s">
        <v>5941</v>
      </c>
      <c r="Q563" s="26">
        <v>863</v>
      </c>
      <c r="R563" s="1" t="s">
        <v>5942</v>
      </c>
      <c r="S563" s="26">
        <v>759</v>
      </c>
      <c r="T563" s="1" t="s">
        <v>5943</v>
      </c>
      <c r="U563" s="26">
        <v>584</v>
      </c>
      <c r="V563" s="1" t="s">
        <v>5944</v>
      </c>
      <c r="W563" s="26">
        <v>427</v>
      </c>
      <c r="X563" s="1" t="s">
        <v>5945</v>
      </c>
      <c r="Y563" s="26">
        <v>288</v>
      </c>
      <c r="Z563" s="1" t="s">
        <v>5946</v>
      </c>
      <c r="AA563" s="26">
        <v>148</v>
      </c>
      <c r="AB563" s="1" t="s">
        <v>5947</v>
      </c>
      <c r="AC563" s="26">
        <v>29</v>
      </c>
    </row>
    <row r="564" spans="1:29" ht="28.5" customHeight="1" thickBot="1">
      <c r="A564" s="114" t="s">
        <v>9546</v>
      </c>
      <c r="C564" s="8" t="s">
        <v>9555</v>
      </c>
      <c r="D564" s="9" t="s">
        <v>9557</v>
      </c>
      <c r="E564" s="9" t="s">
        <v>9556</v>
      </c>
      <c r="F564" s="8" t="str">
        <f t="shared" si="23"/>
        <v>gift-codes.html?game=轉運江湖</v>
      </c>
      <c r="G564" s="9" t="s">
        <v>9558</v>
      </c>
      <c r="H564" s="9" t="str">
        <f t="shared" si="22"/>
        <v>https://www.ssbuy.tw/game-detail.html?game=轉運江湖</v>
      </c>
      <c r="I564" s="129" t="s">
        <v>9564</v>
      </c>
      <c r="J564" s="16" t="s">
        <v>5418</v>
      </c>
      <c r="K564" s="39" t="s">
        <v>5446</v>
      </c>
      <c r="L564" s="1" t="s">
        <v>5939</v>
      </c>
      <c r="M564" s="26">
        <v>2816</v>
      </c>
      <c r="N564" s="1" t="s">
        <v>5940</v>
      </c>
      <c r="O564" s="26">
        <v>1460</v>
      </c>
      <c r="P564" s="1" t="s">
        <v>5941</v>
      </c>
      <c r="Q564" s="26">
        <v>863</v>
      </c>
      <c r="R564" s="1" t="s">
        <v>5942</v>
      </c>
      <c r="S564" s="26">
        <v>759</v>
      </c>
      <c r="T564" s="1" t="s">
        <v>5943</v>
      </c>
      <c r="U564" s="26">
        <v>584</v>
      </c>
      <c r="V564" s="1" t="s">
        <v>5944</v>
      </c>
      <c r="W564" s="26">
        <v>427</v>
      </c>
      <c r="X564" s="1" t="s">
        <v>5945</v>
      </c>
      <c r="Y564" s="26">
        <v>288</v>
      </c>
      <c r="Z564" s="1" t="s">
        <v>5946</v>
      </c>
      <c r="AA564" s="26">
        <v>148</v>
      </c>
      <c r="AB564" s="1" t="s">
        <v>5947</v>
      </c>
      <c r="AC564" s="26">
        <v>29</v>
      </c>
    </row>
    <row r="565" spans="1:29" ht="28.5" customHeight="1" thickBot="1">
      <c r="A565" s="114" t="s">
        <v>9547</v>
      </c>
      <c r="C565" s="8" t="s">
        <v>9559</v>
      </c>
      <c r="E565" s="9" t="s">
        <v>9561</v>
      </c>
      <c r="F565" s="8" t="str">
        <f t="shared" si="23"/>
        <v>gift-codes.html?game=MAJO - 末日策略 RPG</v>
      </c>
      <c r="G565" s="9" t="s">
        <v>9560</v>
      </c>
      <c r="H565" s="9" t="str">
        <f t="shared" si="22"/>
        <v>https://www.ssbuy.tw/game-detail.html?game=MAJO - 末日策略 RPG</v>
      </c>
      <c r="I565" s="129" t="s">
        <v>9565</v>
      </c>
      <c r="J565" s="16" t="s">
        <v>5418</v>
      </c>
      <c r="K565" s="39" t="s">
        <v>5446</v>
      </c>
      <c r="L565" s="1" t="s">
        <v>5939</v>
      </c>
      <c r="M565" s="26">
        <v>2816</v>
      </c>
      <c r="N565" s="1" t="s">
        <v>5940</v>
      </c>
      <c r="O565" s="26">
        <v>1460</v>
      </c>
      <c r="P565" s="1" t="s">
        <v>5941</v>
      </c>
      <c r="Q565" s="26">
        <v>863</v>
      </c>
      <c r="R565" s="1" t="s">
        <v>5942</v>
      </c>
      <c r="S565" s="26">
        <v>759</v>
      </c>
      <c r="T565" s="1" t="s">
        <v>5943</v>
      </c>
      <c r="U565" s="26">
        <v>584</v>
      </c>
      <c r="V565" s="1" t="s">
        <v>5944</v>
      </c>
      <c r="W565" s="26">
        <v>427</v>
      </c>
      <c r="X565" s="1" t="s">
        <v>5945</v>
      </c>
      <c r="Y565" s="26">
        <v>288</v>
      </c>
      <c r="Z565" s="1" t="s">
        <v>5946</v>
      </c>
      <c r="AA565" s="26">
        <v>148</v>
      </c>
      <c r="AB565" s="1" t="s">
        <v>5947</v>
      </c>
      <c r="AC565" s="26">
        <v>29</v>
      </c>
    </row>
    <row r="566" spans="1:29" ht="28.5" customHeight="1">
      <c r="F566" s="8" t="str">
        <f t="shared" si="23"/>
        <v/>
      </c>
      <c r="H566" s="9" t="str">
        <f t="shared" si="22"/>
        <v/>
      </c>
    </row>
    <row r="567" spans="1:29" ht="28.5" customHeight="1">
      <c r="F567" s="8" t="str">
        <f t="shared" si="23"/>
        <v/>
      </c>
      <c r="H567" s="9" t="str">
        <f t="shared" si="22"/>
        <v/>
      </c>
    </row>
    <row r="568" spans="1:29" ht="28.5" customHeight="1">
      <c r="F568" s="8" t="str">
        <f t="shared" si="23"/>
        <v/>
      </c>
      <c r="H568" s="9" t="str">
        <f t="shared" si="22"/>
        <v/>
      </c>
    </row>
    <row r="569" spans="1:29" ht="28.5" customHeight="1">
      <c r="F569" s="8" t="str">
        <f t="shared" si="23"/>
        <v/>
      </c>
      <c r="H569" s="9" t="str">
        <f t="shared" si="22"/>
        <v/>
      </c>
    </row>
    <row r="570" spans="1:29" ht="28.5" customHeight="1">
      <c r="F570" s="8" t="str">
        <f t="shared" si="23"/>
        <v/>
      </c>
      <c r="H570" s="9" t="str">
        <f t="shared" si="22"/>
        <v/>
      </c>
    </row>
    <row r="571" spans="1:29" ht="28.5" customHeight="1">
      <c r="F571" s="8" t="str">
        <f t="shared" si="23"/>
        <v/>
      </c>
      <c r="H571" s="9" t="str">
        <f t="shared" si="22"/>
        <v/>
      </c>
    </row>
    <row r="572" spans="1:29" ht="28.5" customHeight="1">
      <c r="F572" s="8" t="str">
        <f t="shared" si="23"/>
        <v/>
      </c>
      <c r="H572" s="9" t="str">
        <f t="shared" si="22"/>
        <v/>
      </c>
    </row>
    <row r="573" spans="1:29" ht="28.5" customHeight="1">
      <c r="F573" s="8" t="str">
        <f t="shared" si="23"/>
        <v/>
      </c>
      <c r="H573" s="9" t="str">
        <f t="shared" si="22"/>
        <v/>
      </c>
    </row>
    <row r="574" spans="1:29" ht="28.5" customHeight="1">
      <c r="F574" s="8" t="str">
        <f t="shared" si="23"/>
        <v/>
      </c>
      <c r="H574" s="9" t="str">
        <f t="shared" si="22"/>
        <v/>
      </c>
    </row>
    <row r="575" spans="1:29" ht="28.5" customHeight="1">
      <c r="F575" s="8" t="str">
        <f t="shared" si="23"/>
        <v/>
      </c>
      <c r="H575" s="9" t="str">
        <f t="shared" si="22"/>
        <v/>
      </c>
    </row>
    <row r="576" spans="1:29" ht="28.5" customHeight="1">
      <c r="F576" s="8" t="str">
        <f t="shared" si="23"/>
        <v/>
      </c>
      <c r="H576" s="9" t="str">
        <f t="shared" si="22"/>
        <v/>
      </c>
    </row>
    <row r="577" spans="6:8" ht="28.5" customHeight="1">
      <c r="F577" s="8" t="str">
        <f t="shared" si="23"/>
        <v/>
      </c>
      <c r="H577" s="9" t="str">
        <f t="shared" si="22"/>
        <v/>
      </c>
    </row>
    <row r="578" spans="6:8" ht="28.5" customHeight="1">
      <c r="F578" s="8" t="str">
        <f t="shared" si="23"/>
        <v/>
      </c>
      <c r="H578" s="9" t="str">
        <f t="shared" si="22"/>
        <v/>
      </c>
    </row>
    <row r="579" spans="6:8" ht="28.5" customHeight="1">
      <c r="F579" s="8" t="str">
        <f t="shared" si="23"/>
        <v/>
      </c>
      <c r="H579" s="9" t="str">
        <f t="shared" si="22"/>
        <v/>
      </c>
    </row>
    <row r="580" spans="6:8" ht="28.5" customHeight="1">
      <c r="F580" s="8" t="str">
        <f t="shared" si="23"/>
        <v/>
      </c>
      <c r="H580" s="9" t="str">
        <f t="shared" si="22"/>
        <v/>
      </c>
    </row>
    <row r="581" spans="6:8" ht="28.5" customHeight="1">
      <c r="F581" s="8" t="str">
        <f t="shared" si="23"/>
        <v/>
      </c>
      <c r="H581" s="9" t="str">
        <f t="shared" si="22"/>
        <v/>
      </c>
    </row>
    <row r="582" spans="6:8" ht="28.5" customHeight="1">
      <c r="F582" s="8" t="str">
        <f t="shared" si="23"/>
        <v/>
      </c>
      <c r="H582" s="9" t="str">
        <f t="shared" si="22"/>
        <v/>
      </c>
    </row>
    <row r="583" spans="6:8" ht="28.5" customHeight="1">
      <c r="F583" s="8" t="str">
        <f t="shared" si="23"/>
        <v/>
      </c>
      <c r="H583" s="9" t="str">
        <f t="shared" si="22"/>
        <v/>
      </c>
    </row>
    <row r="584" spans="6:8" ht="28.5" customHeight="1">
      <c r="F584" s="8" t="str">
        <f t="shared" si="23"/>
        <v/>
      </c>
      <c r="H584" s="9" t="str">
        <f t="shared" si="22"/>
        <v/>
      </c>
    </row>
    <row r="585" spans="6:8" ht="28.5" customHeight="1">
      <c r="F585" s="8" t="str">
        <f t="shared" si="23"/>
        <v/>
      </c>
      <c r="H585" s="9" t="str">
        <f t="shared" si="22"/>
        <v/>
      </c>
    </row>
    <row r="586" spans="6:8" ht="28.5" customHeight="1">
      <c r="F586" s="8" t="str">
        <f t="shared" si="23"/>
        <v/>
      </c>
      <c r="H586" s="9" t="str">
        <f t="shared" si="22"/>
        <v/>
      </c>
    </row>
    <row r="587" spans="6:8" ht="28.5" customHeight="1">
      <c r="F587" s="8" t="str">
        <f t="shared" si="23"/>
        <v/>
      </c>
      <c r="H587" s="9" t="str">
        <f t="shared" si="22"/>
        <v/>
      </c>
    </row>
    <row r="588" spans="6:8" ht="28.5" customHeight="1">
      <c r="F588" s="8" t="str">
        <f t="shared" si="23"/>
        <v/>
      </c>
      <c r="H588" s="9" t="str">
        <f t="shared" si="22"/>
        <v/>
      </c>
    </row>
    <row r="589" spans="6:8" ht="28.5" customHeight="1">
      <c r="F589" s="8" t="str">
        <f t="shared" si="23"/>
        <v/>
      </c>
      <c r="H589" s="9" t="str">
        <f t="shared" si="22"/>
        <v/>
      </c>
    </row>
    <row r="590" spans="6:8" ht="28.5" customHeight="1">
      <c r="F590" s="8" t="str">
        <f t="shared" si="23"/>
        <v/>
      </c>
      <c r="H590" s="9" t="str">
        <f t="shared" si="22"/>
        <v/>
      </c>
    </row>
    <row r="591" spans="6:8" ht="28.5" customHeight="1">
      <c r="F591" s="8" t="str">
        <f t="shared" si="23"/>
        <v/>
      </c>
      <c r="H591" s="9" t="str">
        <f t="shared" si="22"/>
        <v/>
      </c>
    </row>
    <row r="592" spans="6:8" ht="28.5" customHeight="1">
      <c r="F592" s="8" t="str">
        <f t="shared" si="23"/>
        <v/>
      </c>
      <c r="H592" s="9" t="str">
        <f t="shared" si="22"/>
        <v/>
      </c>
    </row>
    <row r="593" spans="6:8" ht="28.5" customHeight="1">
      <c r="F593" s="8" t="str">
        <f t="shared" si="23"/>
        <v/>
      </c>
      <c r="H593" s="9" t="str">
        <f t="shared" si="22"/>
        <v/>
      </c>
    </row>
    <row r="594" spans="6:8" ht="66">
      <c r="F594" s="8" t="str">
        <f t="shared" si="23"/>
        <v/>
      </c>
      <c r="H594" s="9" t="str">
        <f t="shared" si="22"/>
        <v/>
      </c>
    </row>
    <row r="595" spans="6:8" ht="66">
      <c r="F595" s="8" t="str">
        <f t="shared" si="23"/>
        <v/>
      </c>
      <c r="H595" s="9" t="str">
        <f t="shared" si="22"/>
        <v/>
      </c>
    </row>
    <row r="596" spans="6:8" ht="66">
      <c r="F596" s="8" t="str">
        <f t="shared" si="23"/>
        <v/>
      </c>
      <c r="H596" s="9" t="str">
        <f t="shared" si="22"/>
        <v/>
      </c>
    </row>
    <row r="597" spans="6:8" ht="66">
      <c r="F597" s="8" t="str">
        <f t="shared" si="23"/>
        <v/>
      </c>
      <c r="H597" s="9" t="str">
        <f t="shared" si="22"/>
        <v/>
      </c>
    </row>
    <row r="598" spans="6:8" ht="66">
      <c r="F598" s="8" t="str">
        <f t="shared" si="23"/>
        <v/>
      </c>
      <c r="H598" s="9" t="str">
        <f t="shared" si="22"/>
        <v/>
      </c>
    </row>
    <row r="599" spans="6:8" ht="66">
      <c r="F599" s="8" t="str">
        <f t="shared" si="23"/>
        <v/>
      </c>
      <c r="H599" s="9" t="str">
        <f t="shared" si="22"/>
        <v/>
      </c>
    </row>
    <row r="600" spans="6:8" ht="66">
      <c r="F600" s="8" t="str">
        <f t="shared" si="23"/>
        <v/>
      </c>
      <c r="H600" s="9" t="str">
        <f t="shared" si="22"/>
        <v/>
      </c>
    </row>
    <row r="601" spans="6:8" ht="66">
      <c r="F601" s="8" t="str">
        <f t="shared" si="23"/>
        <v/>
      </c>
      <c r="H601" s="9" t="str">
        <f t="shared" si="22"/>
        <v/>
      </c>
    </row>
    <row r="602" spans="6:8">
      <c r="H602" s="9" t="str">
        <f t="shared" si="22"/>
        <v/>
      </c>
    </row>
    <row r="603" spans="6:8">
      <c r="H603" s="9" t="str">
        <f t="shared" si="22"/>
        <v/>
      </c>
    </row>
    <row r="604" spans="6:8">
      <c r="H604" s="9" t="str">
        <f t="shared" si="22"/>
        <v/>
      </c>
    </row>
    <row r="605" spans="6:8">
      <c r="H605" s="9" t="str">
        <f t="shared" si="22"/>
        <v/>
      </c>
    </row>
    <row r="606" spans="6:8">
      <c r="H606" s="9" t="str">
        <f t="shared" si="22"/>
        <v/>
      </c>
    </row>
    <row r="607" spans="6:8">
      <c r="H607" s="9" t="str">
        <f t="shared" si="22"/>
        <v/>
      </c>
    </row>
    <row r="608" spans="6: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 ref="G556" r:id="rId347"/>
    <hyperlink ref="G557" r:id="rId348"/>
    <hyperlink ref="G558"/>
    <hyperlink ref="G559" r:id="rId349"/>
    <hyperlink ref="G560" r:id="rId350"/>
    <hyperlink ref="G561" r:id="rId351"/>
  </hyperlinks>
  <pageMargins left="0.7" right="0.7" top="0.75" bottom="0.75" header="0.3" footer="0.3"/>
  <pageSetup paperSize="9" orientation="portrait" r:id="rId35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50" activePane="bottomRight" state="frozen"/>
      <selection pane="topRight" activeCell="B1" sqref="B1"/>
      <selection pane="bottomLeft" activeCell="A2" sqref="A2"/>
      <selection pane="bottomRight" activeCell="H563" sqref="H56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c r="S526" s="6" t="s">
        <v>9433</v>
      </c>
      <c r="U526" s="6" t="s">
        <v>9434</v>
      </c>
      <c r="W526" s="6" t="s">
        <v>9435</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9468</v>
      </c>
      <c r="G543" s="3" t="s">
        <v>9337</v>
      </c>
      <c r="H543" s="51" t="s">
        <v>6988</v>
      </c>
      <c r="K543" s="100" t="s">
        <v>5495</v>
      </c>
      <c r="L543" s="51" t="s">
        <v>5496</v>
      </c>
      <c r="M543" s="6" t="s">
        <v>1841</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41"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41"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41"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41"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5464</v>
      </c>
      <c r="G548" s="3" t="s">
        <v>9340</v>
      </c>
      <c r="H548" s="51" t="s">
        <v>6988</v>
      </c>
      <c r="K548" s="100" t="s">
        <v>5495</v>
      </c>
      <c r="L548" s="51" t="s">
        <v>5496</v>
      </c>
      <c r="M548" s="6" t="s">
        <v>9467</v>
      </c>
      <c r="O548" s="6" t="s">
        <v>2974</v>
      </c>
    </row>
    <row r="549" spans="1:41"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41" ht="28.5" customHeight="1">
      <c r="A550" s="67" t="str">
        <f>IF(games!A550="", "", games!A550)</f>
        <v>鬥破蒼穹M：少年崛起</v>
      </c>
      <c r="C550" s="51" t="str">
        <f t="shared" si="22"/>
        <v>giftcodesbanner/鬥破蒼穹M：少年崛起-禮包碼.jpg</v>
      </c>
      <c r="D550" s="51" t="str">
        <f t="shared" si="23"/>
        <v>https://www.ssbuy.tw/gift-codes.html?game=鬥破蒼穹M：少年崛起</v>
      </c>
      <c r="E550" s="91" t="str">
        <f>IF(games!I550&lt;&gt;"", games!I550, "")</f>
        <v>《鬥破蒼穹M：少年崛起》正版授權卡牌RPG火熱上線！在這裡你將與蕭炎重返斗氣大陸，邂逅美杜莎、藥老等經典角色。遊戲完美還原三年之約與異火爭奪戰，玩家能自由搭配陣容，體驗爽快戰鬥與華麗技能。想要開局就逆襲？我們提供最全面的攻略，還有最新兌換碼與官方禮包碼讓你福利拿滿！若需進階資源，專業代儲值服務保證快速安全，讓你輕鬆突破境界，踏上斗帝之路！馬上加入這場熱血冒險，收集異火、煉製神丹，不用爆肝也能穩定提升戰力，書寫屬於你的崛起傳奇，快來玩吧！</v>
      </c>
      <c r="F550" s="92" t="s">
        <v>5464</v>
      </c>
      <c r="G550" s="3" t="s">
        <v>9340</v>
      </c>
      <c r="H550" s="51" t="s">
        <v>6988</v>
      </c>
      <c r="K550" s="100" t="s">
        <v>5495</v>
      </c>
      <c r="L550" s="51" t="s">
        <v>5496</v>
      </c>
      <c r="M550" s="6" t="s">
        <v>9431</v>
      </c>
      <c r="O550" s="6" t="s">
        <v>9432</v>
      </c>
      <c r="Q550" s="6" t="s">
        <v>9432</v>
      </c>
      <c r="S550" s="6" t="s">
        <v>9490</v>
      </c>
      <c r="T550" s="40" t="s">
        <v>9491</v>
      </c>
      <c r="U550" s="6" t="s">
        <v>9487</v>
      </c>
      <c r="V550" s="40" t="s">
        <v>9488</v>
      </c>
      <c r="W550" s="6" t="s">
        <v>9489</v>
      </c>
      <c r="X550" s="40" t="s">
        <v>9488</v>
      </c>
      <c r="Y550" s="6" t="s">
        <v>2965</v>
      </c>
      <c r="Z550" s="40" t="s">
        <v>9492</v>
      </c>
      <c r="AA550" s="6" t="s">
        <v>9493</v>
      </c>
      <c r="AB550" s="40" t="s">
        <v>9494</v>
      </c>
      <c r="AC550" s="6" t="s">
        <v>9495</v>
      </c>
      <c r="AD550" s="40" t="s">
        <v>9496</v>
      </c>
      <c r="AE550" s="6" t="s">
        <v>9497</v>
      </c>
      <c r="AF550" s="40" t="s">
        <v>9498</v>
      </c>
      <c r="AG550" s="6" t="s">
        <v>9499</v>
      </c>
      <c r="AH550" s="40" t="s">
        <v>9500</v>
      </c>
      <c r="AI550" s="6" t="s">
        <v>9501</v>
      </c>
      <c r="AJ550" s="40" t="s">
        <v>9502</v>
      </c>
    </row>
    <row r="551" spans="1:41" ht="28.5" customHeight="1">
      <c r="A551" s="67" t="str">
        <f>IF(games!A551="", "", games!A551)</f>
        <v>開局一座島</v>
      </c>
      <c r="C551" s="51" t="str">
        <f t="shared" si="22"/>
        <v>giftcodesbanner/開局一座島-禮包碼.jpg</v>
      </c>
      <c r="D551" s="51" t="str">
        <f t="shared" si="23"/>
        <v>https://www.ssbuy.tw/gift-codes.html?game=開局一座島</v>
      </c>
      <c r="E551" s="91" t="str">
        <f>IF(games!I551&lt;&gt;"", games!I551, "")</f>
        <v xml:space="preserve">《開局一座島》是一款從零開始的荒島求生模擬經營手遊！玩家將化身萬能島主，自由採集資源、建造各式設施，打造專屬夢幻海島。無論是荒島求生還是創意建設，都能帶來豐富樂趣。想快速上手嗎？這裡為你整理超實用新手攻略，幫助新手無痛開局、快速發展！同時也持續更新最新兌換碼與官方禮包碼，讓你輕鬆領取豐厚虛寶。若需要更多資源，也可使用安全快速的代儲值服務。
</v>
      </c>
      <c r="F551" s="92" t="s">
        <v>9484</v>
      </c>
      <c r="G551" s="3" t="s">
        <v>9485</v>
      </c>
      <c r="H551" s="3" t="s">
        <v>9486</v>
      </c>
      <c r="I551" s="51" t="s">
        <v>6988</v>
      </c>
      <c r="K551" s="100" t="s">
        <v>5495</v>
      </c>
      <c r="L551" s="51" t="s">
        <v>5496</v>
      </c>
      <c r="M551" s="6" t="s">
        <v>9469</v>
      </c>
      <c r="O551" s="6" t="s">
        <v>9470</v>
      </c>
      <c r="Q551" s="6" t="s">
        <v>9471</v>
      </c>
      <c r="S551" s="6" t="s">
        <v>9472</v>
      </c>
      <c r="U551" s="6" t="s">
        <v>9473</v>
      </c>
      <c r="W551" s="6" t="s">
        <v>9474</v>
      </c>
      <c r="Y551" s="6" t="s">
        <v>9475</v>
      </c>
      <c r="AA551" s="6" t="s">
        <v>9476</v>
      </c>
      <c r="AC551" s="6" t="s">
        <v>9477</v>
      </c>
      <c r="AE551" s="6" t="s">
        <v>9478</v>
      </c>
      <c r="AG551" s="6" t="s">
        <v>9479</v>
      </c>
      <c r="AI551" s="6" t="s">
        <v>9480</v>
      </c>
      <c r="AK551" s="6" t="s">
        <v>9481</v>
      </c>
      <c r="AM551" s="6" t="s">
        <v>9482</v>
      </c>
      <c r="AO551" s="6" t="s">
        <v>9483</v>
      </c>
    </row>
    <row r="552" spans="1:41" ht="28.5" customHeight="1">
      <c r="A552" s="67" t="str">
        <f>IF(games!A552="", "", games!A552)</f>
        <v>真三國無雙・霸</v>
      </c>
      <c r="C552" s="51" t="str">
        <f t="shared" si="22"/>
        <v>giftcodesbanner/真三國無雙・霸-禮包碼.jpg</v>
      </c>
      <c r="D552" s="51" t="str">
        <f t="shared" si="23"/>
        <v>https://www.ssbuy.tw/gift-codes.html?game=真三國無雙・霸</v>
      </c>
      <c r="E552" s="91" t="str">
        <f>IF(games!I552&lt;&gt;"", games!I552, "")</f>
        <v xml:space="preserve">在《真三國無雙・霸》中，你將體驗暢快淋漓的割草動作與熱血三國戰役！這款高品質動作競技手遊，讓玩家化身經典武將，施展華麗連招、橫掃千軍，打造專屬無雙霸業。想在開服初期就領先群雄？必看超詳盡新手攻略，快速掌握操作技巧與養成重點！同時記得領取最新兌換碼與官方禮包碼，獲得稀有虛寶與資源加速。若想更快提升戰力，我們提供安全快速的代儲值服務。立即下載《真三國無雙・霸》，重溫經典無雙熱血，成為最強主公！
</v>
      </c>
      <c r="F552" s="92" t="s">
        <v>5232</v>
      </c>
      <c r="K552" s="100" t="s">
        <v>5495</v>
      </c>
      <c r="L552" s="51" t="s">
        <v>5496</v>
      </c>
    </row>
    <row r="553" spans="1:41" ht="28.5" customHeight="1">
      <c r="A553" s="67" t="str">
        <f>IF(games!A553="", "", games!A553)</f>
        <v>賽爾號：巔峰之戰</v>
      </c>
      <c r="C553" s="51" t="str">
        <f t="shared" si="22"/>
        <v>giftcodesbanner/賽爾號：巔峰之戰-禮包碼.jpg</v>
      </c>
      <c r="D553" s="51" t="str">
        <f t="shared" si="23"/>
        <v>https://www.ssbuy.tw/gift-codes.html?game=賽爾號：巔峰之戰</v>
      </c>
      <c r="E553" s="91" t="str">
        <f>IF(games!I553&lt;&gt;"", games!I553, "")</f>
        <v xml:space="preserve">《賽爾號：巔峰之戰》重現經典精靈對戰的熱血樂趣！這款承載童年回憶的回合制RPG手遊，讓你化身星際探險家，收服強力精靈、挑戰巔峰對戰，打造最強戰隊。新手該怎麼快速上手？推薦閱讀詳細新手攻略，迅速掌握養成與對戰技巧！最新兌換碼與官方禮包碼也持續更新，幫你輕鬆獲取稀有精靈與資源。需要額外戰力支持，歡迎使用穩定安全的代儲值服務。立即下載《賽爾號：巔峰之戰》，重返賽爾號世界，成為最強精靈訓練家！
</v>
      </c>
      <c r="F553" s="92" t="s">
        <v>5232</v>
      </c>
      <c r="K553" s="100" t="s">
        <v>5495</v>
      </c>
      <c r="L553" s="51" t="s">
        <v>5496</v>
      </c>
    </row>
    <row r="554" spans="1:41" ht="28.5" customHeight="1">
      <c r="A554" s="67" t="str">
        <f>IF(games!A554="", "", games!A554)</f>
        <v>Astro Arena：恆星激鬥 PvP</v>
      </c>
      <c r="C554" s="51" t="str">
        <f t="shared" si="22"/>
        <v>giftcodesbanner/Astro Arena：恆星激鬥 PvP-禮包碼.jpg</v>
      </c>
      <c r="D554" s="51" t="str">
        <f t="shared" si="23"/>
        <v>https://www.ssbuy.tw/gift-codes.html?game=Astro Arena：恆星激鬥 PvP</v>
      </c>
      <c r="E554" s="91" t="str">
        <f>IF(games!I554&lt;&gt;"", games!I554, "")</f>
        <v xml:space="preserve">《Astro Arena : 恆星激鬥 PvP》是一款高刺激的星際射擊競技手遊！玩家將化身星際戰士，在華麗的多人對戰中展現神級操作，運用不同英雄技能與戰術，爭奪恆星霸權。想快速提升排名？必看新手攻略，詳細解析英雄搭配與對戰技巧！最新兌換碼與官方禮包碼定期更新，助你輕鬆獲得稀有英雄與資源。若需要加速成長，專業代儲值服務安全又快速。立即下載《Astro Arena : 恆星激鬥 PvP》，加入這場星際激鬥，成為PvP戰場的 ultimate 霸主！
</v>
      </c>
      <c r="F554" s="92" t="s">
        <v>5232</v>
      </c>
      <c r="K554" s="100" t="s">
        <v>5495</v>
      </c>
      <c r="L554" s="51" t="s">
        <v>5496</v>
      </c>
    </row>
    <row r="555" spans="1:41" ht="28.5" customHeight="1">
      <c r="A555" s="67" t="str">
        <f>IF(games!A555="", "", games!A555)</f>
        <v>METAL SLUG RUSH</v>
      </c>
      <c r="C555" s="51" t="str">
        <f t="shared" si="22"/>
        <v>giftcodesbanner/METAL SLUG RUSH-禮包碼.jpg</v>
      </c>
      <c r="D555" s="51" t="str">
        <f t="shared" si="23"/>
        <v>https://www.ssbuy.tw/gift-codes.html?game=METAL SLUG RUSH</v>
      </c>
      <c r="E555" s="91" t="str">
        <f>IF(games!I555&lt;&gt;"", games!I555, "")</f>
        <v xml:space="preserve">《METAL SLUG RUSH》經典街機射擊重現！這款懷舊風動作射擊手遊結合彈幕射擊與塔防策略，玩家將指揮強力部隊，擊退無盡敵軍，重溫當年通關快感。新手如何快速上手？推薦閱讀完整新手攻略，掌握兵種搭配與關卡攻略！最新兌換碼與官方禮包碼持續更新，幫你取得強力角色與資源。想更快組成最強陣容，也能使用安全代儲值服務。立即下載《METAL SLUG RUSH》，重返經典戰場，享受最熱血的射擊闖關樂趣！
</v>
      </c>
      <c r="F555" s="92" t="s">
        <v>5232</v>
      </c>
      <c r="K555" s="100" t="s">
        <v>5495</v>
      </c>
      <c r="L555" s="51" t="s">
        <v>5496</v>
      </c>
    </row>
    <row r="556" spans="1:41" ht="28.5" customHeight="1">
      <c r="A556" s="67" t="str">
        <f>IF(games!A556="", "", games!A556)</f>
        <v>塔塔冒險隊</v>
      </c>
      <c r="C556" s="51" t="str">
        <f t="shared" si="22"/>
        <v>giftcodesbanner/塔塔冒險隊-禮包碼.jpg</v>
      </c>
      <c r="D556" s="51" t="str">
        <f t="shared" si="23"/>
        <v>https://www.ssbuy.tw/gift-codes.html?game=塔塔冒險隊</v>
      </c>
      <c r="E556" s="91" t="str">
        <f>IF(games!I556&lt;&gt;"", games!I556, "")</f>
        <v>《塔塔冒險隊》是一款結合策略塔防與英雄養成的熱門冒險手遊，關卡豐富、戰鬥華麗，操作爽快！想快速上手嗎？新手攻略教你高效推圖與陣容搭配，立即鎖定最新兌換碼與官方禮包碼，免費領取大量元寶、抽卡券與稀有資源。若想快速提升戰力，推薦選擇安全快速的代儲值服務，流程簡單不鎖帳號，輕鬆打造夢幻頂級陣容，稱霸排行榜！現在輸入禮包碼領取豐厚福利，一起開啟極致冒險吧！</v>
      </c>
      <c r="F556" s="92" t="s">
        <v>5232</v>
      </c>
      <c r="K556" s="100" t="s">
        <v>5495</v>
      </c>
      <c r="L556" s="51" t="s">
        <v>5496</v>
      </c>
    </row>
    <row r="557" spans="1:41" ht="28.5" customHeight="1">
      <c r="A557" s="67" t="str">
        <f>IF(games!A557="", "", games!A557)</f>
        <v>亡靈別太狂：部落大作戰</v>
      </c>
      <c r="C557" s="51" t="str">
        <f t="shared" si="22"/>
        <v>giftcodesbanner/亡靈別太狂：部落大作戰-禮包碼.jpg</v>
      </c>
      <c r="D557" s="51" t="str">
        <f t="shared" si="23"/>
        <v>https://www.ssbuy.tw/gift-codes.html?game=亡靈別太狂：部落大作戰</v>
      </c>
      <c r="E557" s="91" t="str">
        <f>IF(games!I557&lt;&gt;"", games!I557, "")</f>
        <v>《亡靈別太狂：部落大作戰》是一款奇幻部落策略對戰手遊，率領勇士對抗亡靈大軍，體驗即時交鋒與陣容搭配樂趣！新手攻略帶你快速熟悉戰術與建築升級，最新兌換碼與官方禮包碼可免費領取大量資源與稀有道具。想加速發展？專業代儲值服務安全快速不鎖帳號，輕鬆召集頂級英雄，稱霸部落戰場！立即輸入禮包碼領取豐富獎勵，一起守護你的部落吧！</v>
      </c>
      <c r="F557" s="92" t="s">
        <v>5232</v>
      </c>
      <c r="K557" s="100" t="s">
        <v>5495</v>
      </c>
      <c r="L557" s="51" t="s">
        <v>5496</v>
      </c>
    </row>
    <row r="558" spans="1:41" ht="28.5" customHeight="1">
      <c r="A558" s="67" t="str">
        <f>IF(games!A558="", "", games!A558)</f>
        <v>爆走摸魚君</v>
      </c>
      <c r="C558" s="51" t="str">
        <f t="shared" si="22"/>
        <v>giftcodesbanner/爆走摸魚君-禮包碼.jpg</v>
      </c>
      <c r="D558" s="51" t="str">
        <f t="shared" si="23"/>
        <v>https://www.ssbuy.tw/gift-codes.html?game=爆走摸魚君</v>
      </c>
      <c r="E558" s="91" t="str">
        <f>IF(games!I558&lt;&gt;"", games!I558, "")</f>
        <v>《爆走摸魚君》是一款搞笑休閒放置養成手遊，魔性畫風超紓壓，適合日常摸魚刷資源！新手攻略教你快速養成與解鎖技巧，最新兌換碼與官方禮包碼可輕鬆領取海量金幣與稀有裝備。若想加速進度，推薦安全代儲值服務，快速不封號，輕鬆解鎖強大神裝，享受暴走樂趣！現在輸入序號領取福利，一起開啟快樂摸魚之旅吧！</v>
      </c>
      <c r="F558" s="92" t="s">
        <v>5232</v>
      </c>
      <c r="K558" s="100" t="s">
        <v>5495</v>
      </c>
      <c r="L558" s="51" t="s">
        <v>5496</v>
      </c>
      <c r="M558" s="6" t="s">
        <v>9509</v>
      </c>
    </row>
    <row r="559" spans="1:41" ht="28.5" customHeight="1">
      <c r="A559" s="67" t="str">
        <f>IF(games!A559="", "", games!A559)</f>
        <v>小貓咪大史記</v>
      </c>
      <c r="C559" s="51" t="str">
        <f t="shared" si="22"/>
        <v>giftcodesbanner/小貓咪大史記-禮包碼.jpg</v>
      </c>
      <c r="D559" s="51" t="str">
        <f t="shared" si="23"/>
        <v>https://www.ssbuy.tw/gift-codes.html?game=小貓咪大史記</v>
      </c>
      <c r="E559" s="91" t="str">
        <f>IF(games!I559&lt;&gt;"", games!I559, "")</f>
        <v>《小貓咪大史記》是一款超萌貓咪歷史冒險手遊，結合放置養成與策略對戰，可愛度爆表！新手攻略助你快速熟悉陣容與推圖，最新兌換碼與禮包碼可免費獲得大量金幣與稀有養成資源。想快速提升戰力？專業代儲值服務安全便捷，輕鬆招募萌系神將，享受霸服快感！立即兌換專屬福利，一起展開療癒萌貓大冒險吧！</v>
      </c>
      <c r="F559" s="92" t="s">
        <v>5232</v>
      </c>
      <c r="K559" s="100" t="s">
        <v>5495</v>
      </c>
      <c r="L559" s="51" t="s">
        <v>5496</v>
      </c>
    </row>
    <row r="560" spans="1:41" ht="28.5" customHeight="1">
      <c r="A560" s="67" t="str">
        <f>IF(games!A560="", "", games!A560)</f>
        <v>星辰連結</v>
      </c>
      <c r="C560" s="51" t="str">
        <f t="shared" si="22"/>
        <v>giftcodesbanner/星辰連結-禮包碼.jpg</v>
      </c>
      <c r="D560" s="51" t="str">
        <f t="shared" si="23"/>
        <v>https://www.ssbuy.tw/gift-codes.html?game=星辰連結</v>
      </c>
      <c r="E560" s="91" t="str">
        <f>IF(games!I560&lt;&gt;"", games!I560, "")</f>
        <v>《星辰連結》是一款科幻RPG手遊，精美立繪與華麗戰鬥，探索浩瀚星河、組建星寵小隊！新手攻略教你星寵培養與策略組隊，最新兌換碼與官方禮包碼可免費獲得抽卡券與稀有資源。想快速稱霸星系？高評價代儲值服務安全快速，輕鬆解鎖頂配機甲與SSR英雄！立即輸入禮包碼領取福利，開啟你的星辰冒險吧！</v>
      </c>
      <c r="F560" s="92" t="s">
        <v>5232</v>
      </c>
      <c r="K560" s="100" t="s">
        <v>5495</v>
      </c>
      <c r="L560" s="51" t="s">
        <v>5496</v>
      </c>
    </row>
    <row r="561" spans="1:23" ht="28.5" customHeight="1">
      <c r="A561" s="67" t="str">
        <f>IF(games!A561="", "", games!A561)</f>
        <v>喵吱大作戰：放置類RPG</v>
      </c>
      <c r="C561" s="51" t="str">
        <f t="shared" si="22"/>
        <v>giftcodesbanner/喵吱大作戰：放置類RPG-禮包碼.jpg</v>
      </c>
      <c r="D561" s="51" t="str">
        <f t="shared" si="23"/>
        <v>https://www.ssbuy.tw/gift-codes.html?game=喵吱大作戰：放置類RPG</v>
      </c>
      <c r="E561" s="91" t="str">
        <f>IF(games!I561&lt;&gt;"", games!I561, "")</f>
        <v>《喵吱大作戰：放置類RPG》是一款可愛貓鼠放置手遊，輕鬆掛機也能累積資源，超適合休閒玩家！新手攻略帶你掌握推圖與陣容技巧，最新兌換碼與禮包碼可一次領取大量鑽石與金幣。若需加速養成，專業代儲值服務快速安全不封號，輕鬆組建最強萌寵陣容！現在領取序號，一起開啟歡樂喵吱大作戰吧！</v>
      </c>
      <c r="F561" s="92" t="s">
        <v>5232</v>
      </c>
      <c r="K561" s="100" t="s">
        <v>5495</v>
      </c>
      <c r="L561" s="51" t="s">
        <v>5496</v>
      </c>
    </row>
    <row r="562" spans="1:23" ht="28.5" customHeight="1">
      <c r="A562" s="67" t="str">
        <f>IF(games!A562="", "", games!A562)</f>
        <v>森之歌：世界</v>
      </c>
      <c r="C562" s="51" t="str">
        <f t="shared" si="22"/>
        <v>giftcodesbanner/森之歌：世界-禮包碼.jpg</v>
      </c>
      <c r="D562" s="51" t="str">
        <f t="shared" si="23"/>
        <v>https://www.ssbuy.tw/gift-codes.html?game=森之歌：世界</v>
      </c>
      <c r="E562" s="91" t="str">
        <f>IF(games!I562&lt;&gt;"", games!I562, "")</f>
        <v>《森之歌：世界》療癒系自然風格冒險RPG手遊，主打高自由度探索與精美角色養成。穿梭神秘森林與異界文明，解開遠古遺跡封印，體驗豐富副本挑戰、寵物養成、多元社交系統與多人組隊世界BOSS，享受極致視覺與沉浸式冒險樂趣。最新新手攻略與兌換碼序號助您快速上手，開局輕鬆獲得珍稀寵物與頂級裝備，戰力瞬間大幅提升。官方禮包碼搭配安全代儲值服務，交易流程快速有保障，讓您無後顧之憂享受遊戲。立即下載，打造專屬森林傳奇，開啟屬於你的奇幻冒險之旅，盡情探索這個美麗又神秘的異世界吧！</v>
      </c>
      <c r="F562" s="92" t="s">
        <v>5232</v>
      </c>
      <c r="K562" s="100" t="s">
        <v>5495</v>
      </c>
      <c r="L562" s="51" t="s">
        <v>5496</v>
      </c>
    </row>
    <row r="563" spans="1:23" ht="28.5" customHeight="1">
      <c r="A563" s="67" t="str">
        <f>IF(games!A563="", "", games!A563)</f>
        <v>三國志：群雄之弈</v>
      </c>
      <c r="C563" s="51" t="str">
        <f t="shared" si="22"/>
        <v>giftcodesbanner/三國志：群雄之弈-禮包碼.jpg</v>
      </c>
      <c r="D563" s="51" t="str">
        <f t="shared" si="23"/>
        <v>https://www.ssbuy.tw/gift-codes.html?game=三國志：群雄之弈</v>
      </c>
      <c r="E563" s="91" t="str">
        <f>IF(games!I563&lt;&gt;"", games!I563, "")</f>
        <v>《三國志：群雄之弈》深度策略三國卡牌手遊，完美還原兵種相克與多變陣型調配。自由組建夢幻陣容，即時國戰縱橫捭闔，深刻刻畫英雄浪漫與忠義，透過古典配樂與排兵布陣系統重返三國沙場。最實用新手攻略與最新兌換碼序號，助您開局建立絕對優勢、輕鬆招募頂級名將與神兵利器。官方禮包碼與高效代儲值管道同步提供，快速取得海量資源，安全交易無憂。立即下載，展開專屬帝王霸業，一舉掌控整個三國戰局，成就屬於你的萬里疆土與千秋霸業！</v>
      </c>
      <c r="F563" s="92" t="s">
        <v>9544</v>
      </c>
      <c r="G563" s="3" t="s">
        <v>9545</v>
      </c>
      <c r="H563" s="51" t="s">
        <v>6988</v>
      </c>
      <c r="K563" s="100" t="s">
        <v>5495</v>
      </c>
      <c r="L563" s="51" t="s">
        <v>5496</v>
      </c>
      <c r="M563" s="6" t="s">
        <v>9537</v>
      </c>
      <c r="O563" s="6" t="s">
        <v>9538</v>
      </c>
      <c r="P563" s="40" t="s">
        <v>9539</v>
      </c>
      <c r="Q563" s="6" t="s">
        <v>9540</v>
      </c>
      <c r="S563" s="6" t="s">
        <v>9541</v>
      </c>
      <c r="U563" s="6" t="s">
        <v>9542</v>
      </c>
      <c r="W563" s="6" t="s">
        <v>9543</v>
      </c>
    </row>
    <row r="564" spans="1:23" ht="28.5" customHeight="1">
      <c r="A564" s="67" t="str">
        <f>IF(games!A564="", "", games!A564)</f>
        <v>轉運江湖</v>
      </c>
      <c r="C564" s="51" t="str">
        <f t="shared" si="22"/>
        <v>giftcodesbanner/轉運江湖-禮包碼.jpg</v>
      </c>
      <c r="D564" s="51" t="str">
        <f t="shared" si="23"/>
        <v>https://www.ssbuy.tw/gift-codes.html?game=轉運江湖</v>
      </c>
      <c r="E564" s="91" t="str">
        <f>IF(games!I564&lt;&gt;"", games!I564, "")</f>
        <v>《轉運江湖》輕鬆掛機放置武俠手遊，獨創轉運機制結合擲骰跳格子玩法，利用碎片時間即可觸發奇遇、逆天改命。門派絕學、神兵鍛造、江湖奇遇與跨服論劍挑戰，告別繁瑣爆肝，輕鬆體驗刀光劍影與快意恩仇。詳盡新手攻略與最新兌換碼序號是快速領先群雄、輕鬆稱霸武林的關鍵。官方禮包碼搭配優質代儲值服務，優惠獲取高階資源與絕版外觀，交易過程快速安全有保障。立即加入，開啟專屬於你的傳奇大俠之路，命運的骰子已在掌心，快來闖蕩江湖、成就一代大俠吧！</v>
      </c>
      <c r="F564" s="92" t="s">
        <v>5232</v>
      </c>
      <c r="K564" s="100" t="s">
        <v>5495</v>
      </c>
      <c r="L564" s="51" t="s">
        <v>5496</v>
      </c>
    </row>
    <row r="565" spans="1:23" ht="28.5" customHeight="1">
      <c r="A565" s="67" t="str">
        <f>IF(games!A565="", "", games!A565)</f>
        <v>MAJO - 末日策略 RPG</v>
      </c>
      <c r="C565" s="51" t="str">
        <f t="shared" si="22"/>
        <v>giftcodesbanner/MAJO - 末日策略 RPG-禮包碼.jpg</v>
      </c>
      <c r="D565" s="51" t="str">
        <f t="shared" si="23"/>
        <v>https://www.ssbuy.tw/gift-codes.html?game=MAJO - 末日策略 RPG</v>
      </c>
      <c r="E565" s="91" t="str">
        <f>IF(games!I565&lt;&gt;"", games!I565, "")</f>
        <v>《MAJO - 末日策略 RPG》美少女養成＋深度戰術末日生存手遊，主打直式即時攻防與極簡操作。扮演指揮官招募各式強大角色，建造專屬避難所並抵禦異變生物的猛烈襲擊，集齊限定SSR與稀有魔女契約，享受精美細緻立繪與豐富劇情關卡帶來的極致沉浸感。最新新手攻略與兌換碼助您快速獲取關鍵生存物資與預兆石，輕鬆應對終局挑戰、無痛逆轉戰局。官方禮包碼與專業可靠代儲值服務，交易流程絕對快速安全，讓您無後顧之憂充實戰隊實力。攜手拯救崩壞的末日世界，揭開虛偽真相、奪回屬於你的真實權限，展開屬於你的終極生存冒險！</v>
      </c>
      <c r="F565" s="92" t="s">
        <v>5232</v>
      </c>
      <c r="K565" s="100" t="s">
        <v>5495</v>
      </c>
      <c r="L565" s="51" t="s">
        <v>5496</v>
      </c>
    </row>
    <row r="566" spans="1:23" ht="28.5" customHeight="1">
      <c r="A566" s="67" t="str">
        <f>IF(games!A566="", "", games!A566)</f>
        <v/>
      </c>
      <c r="C566" s="51" t="str">
        <f t="shared" si="22"/>
        <v/>
      </c>
      <c r="D566" s="51" t="str">
        <f t="shared" si="23"/>
        <v/>
      </c>
      <c r="E566" s="91" t="str">
        <f>IF(games!I566&lt;&gt;"", games!I566, "")</f>
        <v/>
      </c>
    </row>
    <row r="567" spans="1:23" ht="28.5" customHeight="1">
      <c r="A567" s="67" t="str">
        <f>IF(games!A567="", "", games!A567)</f>
        <v/>
      </c>
      <c r="C567" s="51" t="str">
        <f t="shared" si="22"/>
        <v/>
      </c>
      <c r="D567" s="51" t="str">
        <f t="shared" si="23"/>
        <v/>
      </c>
      <c r="E567" s="91" t="str">
        <f>IF(games!I567&lt;&gt;"", games!I567, "")</f>
        <v/>
      </c>
    </row>
    <row r="568" spans="1:23" ht="28.5" customHeight="1">
      <c r="A568" s="67" t="str">
        <f>IF(games!A568="", "", games!A568)</f>
        <v/>
      </c>
      <c r="C568" s="51" t="str">
        <f t="shared" si="22"/>
        <v/>
      </c>
      <c r="D568" s="51" t="str">
        <f t="shared" si="23"/>
        <v/>
      </c>
      <c r="E568" s="91" t="str">
        <f>IF(games!I568&lt;&gt;"", games!I568, "")</f>
        <v/>
      </c>
    </row>
    <row r="569" spans="1:23" ht="28.5" customHeight="1">
      <c r="A569" s="67" t="str">
        <f>IF(games!A569="", "", games!A569)</f>
        <v/>
      </c>
      <c r="C569" s="51" t="str">
        <f t="shared" si="22"/>
        <v/>
      </c>
      <c r="D569" s="51" t="str">
        <f t="shared" si="23"/>
        <v/>
      </c>
      <c r="E569" s="91" t="str">
        <f>IF(games!I569&lt;&gt;"", games!I569, "")</f>
        <v/>
      </c>
    </row>
    <row r="570" spans="1:23" ht="28.5" customHeight="1">
      <c r="A570" s="67" t="str">
        <f>IF(games!A570="", "", games!A570)</f>
        <v/>
      </c>
      <c r="C570" s="51" t="str">
        <f t="shared" si="22"/>
        <v/>
      </c>
      <c r="D570" s="51" t="str">
        <f t="shared" si="23"/>
        <v/>
      </c>
      <c r="E570" s="91" t="str">
        <f>IF(games!I570&lt;&gt;"", games!I570, "")</f>
        <v/>
      </c>
    </row>
    <row r="571" spans="1:23" ht="28.5" customHeight="1">
      <c r="A571" s="67" t="str">
        <f>IF(games!A571="", "", games!A571)</f>
        <v/>
      </c>
      <c r="C571" s="51" t="str">
        <f t="shared" si="22"/>
        <v/>
      </c>
      <c r="D571" s="51" t="str">
        <f t="shared" si="23"/>
        <v/>
      </c>
      <c r="E571" s="91" t="str">
        <f>IF(games!I571&lt;&gt;"", games!I571, "")</f>
        <v/>
      </c>
    </row>
    <row r="572" spans="1:23">
      <c r="A572" s="67" t="str">
        <f>IF(games!A572="", "", games!A572)</f>
        <v/>
      </c>
      <c r="C572" s="51" t="str">
        <f t="shared" si="22"/>
        <v/>
      </c>
      <c r="D572" s="51" t="str">
        <f t="shared" si="23"/>
        <v/>
      </c>
      <c r="E572" s="91" t="str">
        <f>IF(games!I572&lt;&gt;"", games!I572, "")</f>
        <v/>
      </c>
    </row>
    <row r="573" spans="1:23">
      <c r="A573" s="67" t="str">
        <f>IF(games!A573="", "", games!A573)</f>
        <v/>
      </c>
      <c r="C573" s="51" t="str">
        <f t="shared" si="22"/>
        <v/>
      </c>
      <c r="D573" s="51" t="str">
        <f t="shared" si="23"/>
        <v/>
      </c>
      <c r="E573" s="91" t="str">
        <f>IF(games!I573&lt;&gt;"", games!I573, "")</f>
        <v/>
      </c>
    </row>
    <row r="574" spans="1:23">
      <c r="A574" s="67" t="str">
        <f>IF(games!A574="", "", games!A574)</f>
        <v/>
      </c>
      <c r="C574" s="51" t="str">
        <f t="shared" si="22"/>
        <v/>
      </c>
      <c r="D574" s="51" t="str">
        <f t="shared" si="23"/>
        <v/>
      </c>
      <c r="E574" s="91" t="str">
        <f>IF(games!I574&lt;&gt;"", games!I574, "")</f>
        <v/>
      </c>
    </row>
    <row r="575" spans="1:23">
      <c r="A575" s="67" t="str">
        <f>IF(games!A575="", "", games!A575)</f>
        <v/>
      </c>
      <c r="C575" s="51" t="str">
        <f t="shared" si="22"/>
        <v/>
      </c>
      <c r="D575" s="51" t="str">
        <f t="shared" si="23"/>
        <v/>
      </c>
      <c r="E575" s="91" t="str">
        <f>IF(games!I575&lt;&gt;"", games!I575, "")</f>
        <v/>
      </c>
    </row>
    <row r="576" spans="1:23">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 ref="K550" r:id="rId290"/>
    <hyperlink ref="K551" r:id="rId291"/>
    <hyperlink ref="K552" r:id="rId292"/>
    <hyperlink ref="K553" r:id="rId293"/>
    <hyperlink ref="K554" r:id="rId294"/>
    <hyperlink ref="K555" r:id="rId295"/>
    <hyperlink ref="K556" r:id="rId296"/>
    <hyperlink ref="K557" r:id="rId297"/>
    <hyperlink ref="K558" r:id="rId298"/>
    <hyperlink ref="K559" r:id="rId299"/>
    <hyperlink ref="K560" r:id="rId300"/>
    <hyperlink ref="K561" r:id="rId301"/>
    <hyperlink ref="K562" r:id="rId302"/>
    <hyperlink ref="K563" r:id="rId303"/>
    <hyperlink ref="K564" r:id="rId304"/>
    <hyperlink ref="K565" r:id="rId305"/>
  </hyperlinks>
  <pageMargins left="0.7" right="0.7" top="0.75" bottom="0.75" header="0.3" footer="0.3"/>
  <pageSetup paperSize="9" orientation="portrait" r:id="rId30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2026-08-07T11:30:38Z</dcterms:modified>
</cp:coreProperties>
</file>