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55" i="3" l="1"/>
  <c r="E256" i="3"/>
  <c r="E257" i="3"/>
  <c r="E258" i="3"/>
  <c r="E259" i="3"/>
  <c r="E260" i="3"/>
  <c r="E261" i="3"/>
  <c r="E262" i="3"/>
  <c r="E263" i="3"/>
  <c r="E264" i="3"/>
  <c r="E265" i="3"/>
  <c r="E266" i="3"/>
  <c r="E267" i="3"/>
  <c r="E268" i="3"/>
  <c r="E269" i="3"/>
  <c r="E270" i="3"/>
  <c r="E271" i="3"/>
  <c r="E272" i="3"/>
  <c r="E273"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<sst xmlns="http://schemas.openxmlformats.org/spreadsheetml/2006/main" count="7199" uniqueCount="4902">
  <si>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</si>
  <si>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</si>
  <si>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</si>
  <si>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</si>
  <si>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</si>
  <si>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</si>
  <si>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</si>
  <si>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</si>
  <si>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</si>
  <si>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</si>
  <si>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</si>
  <si>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</si>
  <si>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</si>
  <si>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</si>
  <si>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</si>
  <si>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</si>
  <si>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</si>
  <si>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</si>
  <si>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</si>
  <si>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</si>
  <si>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</si>
  <si>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</si>
  <si>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</si>
  <si>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</si>
  <si>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</si>
  <si>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</si>
  <si>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</si>
  <si>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</si>
  <si>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</si>
  <si>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</si>
  <si>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</si>
  <si>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</si>
  <si>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</si>
  <si>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</si>
  <si>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</si>
  <si>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</si>
  <si>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</si>
  <si>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</si>
  <si>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</si>
  <si>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</si>
  <si>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</si>
  <si>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</si>
  <si>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</si>
  <si>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</si>
  <si>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</si>
  <si>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</si>
  <si>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</si>
  <si>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</si>
  <si>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</si>
  <si>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</si>
  <si>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</si>
  <si>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</si>
  <si>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</si>
  <si>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</si>
  <si>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</si>
  <si>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</si>
  <si>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</si>
  <si>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</si>
  <si>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</si>
  <si>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</si>
  <si>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</si>
  <si>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</si>
  <si>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</si>
  <si>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</si>
  <si>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</si>
  <si>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</si>
  <si>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</si>
  <si>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</si>
  <si>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</si>
  <si>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</si>
  <si>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</si>
  <si>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</si>
  <si>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</si>
  <si>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</si>
  <si>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</si>
  <si>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</si>
  <si>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</si>
  <si>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</si>
  <si>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</si>
  <si>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</si>
  <si>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</si>
  <si>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</si>
  <si>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</si>
  <si>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</si>
  <si>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</si>
  <si>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</si>
  <si>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</si>
  <si>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</si>
  <si>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</si>
  <si>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</si>
  <si>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</si>
  <si>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</si>
  <si>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</si>
  <si>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</si>
  <si>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</si>
  <si>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</si>
  <si>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</si>
  <si>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</si>
  <si>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</si>
  <si>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</si>
  <si>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</si>
  <si>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</si>
  <si>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</si>
  <si>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</si>
  <si>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</si>
  <si>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</si>
  <si>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</si>
  <si>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</si>
  <si>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</si>
  <si>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</si>
  <si>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</si>
  <si>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</si>
  <si>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</si>
  <si>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</si>
  <si>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</si>
  <si>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</si>
  <si>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</si>
  <si>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</si>
  <si>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</si>
  <si>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</si>
  <si>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</si>
  <si>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</si>
  <si>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</si>
  <si>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</si>
  <si>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</si>
  <si>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</si>
  <si>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</si>
  <si>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</si>
  <si>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</si>
  <si>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</si>
  <si>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</si>
  <si>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</si>
  <si>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</si>
  <si>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</si>
  <si>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</si>
  <si>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</si>
  <si>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</si>
  <si>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</si>
  <si>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</si>
  <si>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</si>
  <si>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</si>
  <si>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</si>
  <si>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</si>
  <si>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</si>
  <si>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</si>
  <si>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</si>
  <si>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</si>
  <si>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</si>
  <si>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</si>
  <si>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</si>
  <si>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</si>
  <si>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</si>
  <si>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</si>
  <si>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</si>
  <si>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</si>
  <si>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</si>
  <si>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</si>
  <si>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</si>
  <si>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</si>
  <si>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</si>
  <si>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</si>
  <si>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</si>
  <si>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</si>
  <si>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</si>
  <si>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</si>
  <si>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</si>
  <si>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</si>
  <si>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</si>
  <si>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</si>
  <si>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</si>
  <si>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</si>
  <si>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</si>
  <si>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</si>
  <si>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</si>
  <si>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</si>
  <si>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</si>
  <si>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</si>
  <si>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</si>
  <si>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</si>
  <si>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</si>
  <si>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</si>
  <si>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</si>
  <si>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</si>
  <si>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</si>
  <si>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</si>
  <si>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</si>
  <si>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</si>
  <si>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</si>
  <si>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</si>
  <si>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</si>
  <si>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</si>
  <si>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</si>
  <si>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</si>
  <si>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</si>
  <si>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</si>
  <si>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</si>
  <si>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</si>
  <si>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</si>
  <si>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</si>
  <si>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</si>
  <si>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</si>
  <si>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</si>
  <si>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</si>
  <si>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</si>
  <si>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</si>
  <si>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</si>
  <si>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</si>
  <si>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</si>
  <si>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</si>
  <si>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</si>
  <si>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</si>
  <si>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</si>
  <si>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</si>
  <si>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</si>
  <si>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</si>
  <si>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</si>
  <si>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</si>
  <si>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</si>
  <si>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</si>
  <si>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</si>
  <si>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</si>
  <si>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</si>
  <si>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</si>
  <si>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</si>
  <si>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</si>
  <si>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</si>
  <si>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</si>
  <si>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</si>
  <si>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</si>
  <si>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</si>
  <si>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</si>
  <si>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</si>
  <si>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</si>
  <si>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</si>
  <si>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</si>
  <si>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</si>
  <si>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</si>
  <si>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</si>
  <si>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</si>
  <si>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</si>
  <si>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</si>
  <si>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</si>
  <si>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</si>
  <si>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</si>
  <si>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</si>
  <si>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</si>
  <si>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</si>
  <si>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</si>
  <si>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</si>
  <si>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</si>
  <si>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</si>
  <si>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</si>
  <si>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</si>
  <si>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</si>
  <si>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</si>
  <si>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</si>
  <si>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</si>
  <si>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</si>
  <si>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</si>
  <si>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</si>
  <si>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</si>
  <si>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</si>
  <si>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</si>
  <si>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</si>
  <si>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</si>
  <si>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</si>
  <si>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</si>
  <si>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</si>
  <si>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</si>
  <si>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</si>
  <si>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</si>
  <si>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</si>
  <si>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</si>
  <si>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</si>
  <si>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</si>
  <si>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</si>
  <si>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</si>
  <si>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</si>
  <si>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</si>
  <si>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</si>
  <si>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</si>
  <si>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</si>
  <si>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</si>
  <si>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</si>
  <si>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</si>
  <si>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</si>
  <si>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</si>
  <si>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</si>
  <si>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</si>
  <si>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</si>
  <si>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</si>
  <si>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</si>
  <si>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</si>
  <si>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</si>
  <si>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</si>
  <si>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</si>
  <si>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</si>
  <si>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</si>
  <si>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</si>
  <si>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</si>
  <si>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</si>
  <si>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</si>
  <si>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</si>
  <si>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</si>
  <si>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</si>
  <si>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</si>
  <si>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</si>
  <si>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</si>
  <si>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</si>
  <si>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</si>
  <si>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</si>
  <si>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</si>
  <si>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</si>
  <si>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</si>
  <si>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</si>
  <si>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</si>
  <si>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</si>
  <si>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</si>
  <si>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</si>
  <si>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</si>
  <si>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</si>
  <si>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</si>
  <si>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</si>
  <si>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</si>
  <si>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</si>
  <si>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</si>
  <si>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</si>
  <si>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</si>
  <si>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</si>
  <si>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</si>
  <si>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</si>
  <si>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</si>
  <si>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</si>
  <si>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</si>
  <si>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</si>
  <si>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</si>
  <si>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</si>
  <si>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</si>
  <si>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</si>
  <si>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</si>
  <si>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</si>
  <si>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</si>
  <si>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</si>
  <si>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</si>
  <si>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</si>
  <si>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</si>
  <si>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</si>
  <si>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</si>
  <si>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</si>
  <si>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</si>
  <si>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</si>
  <si>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</si>
  <si>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</si>
  <si>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</si>
  <si>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</si>
  <si>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</si>
  <si>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</si>
  <si>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</si>
  <si>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</si>
  <si>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</si>
  <si>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</si>
  <si>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</si>
  <si>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</si>
  <si>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</si>
  <si>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</si>
  <si>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</si>
  <si>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</si>
  <si>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</si>
  <si>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</si>
  <si>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</si>
  <si>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</si>
  <si>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</si>
  <si>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</si>
  <si>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</si>
  <si>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</si>
  <si>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</si>
  <si>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</si>
  <si>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</si>
  <si>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</si>
  <si>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</si>
  <si>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</si>
  <si>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</si>
  <si>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</si>
  <si>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</si>
  <si>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</si>
  <si>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</si>
  <si>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</si>
  <si>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</si>
  <si>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</si>
  <si>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</si>
  <si>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</si>
  <si>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</si>
  <si>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</si>
  <si>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</si>
  <si>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</si>
  <si>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</si>
  <si>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</si>
  <si>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</si>
  <si>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</si>
  <si>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</si>
  <si>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</si>
  <si>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</si>
  <si>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</si>
  <si>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</si>
  <si>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</si>
  <si>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</si>
  <si>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</si>
  <si>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</si>
  <si>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</si>
  <si>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</si>
  <si>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</si>
  <si>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</si>
  <si>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</si>
  <si>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</si>
  <si>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</si>
  <si>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</si>
  <si>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</si>
  <si>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</si>
  <si>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</si>
  <si>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</si>
  <si>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</si>
  <si>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</si>
  <si>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</si>
  <si>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</si>
  <si>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</si>
  <si>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</si>
  <si>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</si>
  <si>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</si>
  <si>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</si>
  <si>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</si>
  <si>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</si>
  <si>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</si>
  <si>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</si>
  <si>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</si>
  <si>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</si>
  <si>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</si>
  <si>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</si>
  <si>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</si>
  <si>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</si>
  <si>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</si>
  <si>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</si>
  <si>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</si>
  <si>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</si>
  <si>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</si>
  <si>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</si>
  <si>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</si>
  <si>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</si>
  <si>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</si>
  <si>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</si>
  <si>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</si>
  <si>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</si>
  <si>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</si>
  <si>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</si>
  <si>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</si>
  <si>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</si>
  <si>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</si>
  <si>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</si>
  <si>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</si>
  <si>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</si>
  <si>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</si>
  <si>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</si>
  <si>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</si>
  <si>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</si>
  <si>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</si>
  <si>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</si>
  <si>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</si>
  <si>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</si>
  <si>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</si>
  <si>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</si>
  <si>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</si>
  <si>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</si>
  <si>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</si>
  <si>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</si>
  <si>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</si>
  <si>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</si>
  <si>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</si>
  <si>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</si>
  <si>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</si>
  <si>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</si>
  <si>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</si>
  <si>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</si>
  <si>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</si>
  <si>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</si>
  <si>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</si>
  <si>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</si>
  <si>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</si>
  <si>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</si>
  <si>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</si>
  <si>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</si>
  <si>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</si>
  <si>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</si>
  <si>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</si>
  <si>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</si>
  <si>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</si>
  <si>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</si>
  <si>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</si>
  <si>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</si>
  <si>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</si>
  <si>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</si>
  <si>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</si>
  <si>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</si>
  <si>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</si>
  <si>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</si>
  <si>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</si>
  <si>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</si>
  <si>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</si>
  <si>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</si>
  <si>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</si>
  <si>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</si>
  <si>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</si>
  <si>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</si>
  <si>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</si>
  <si>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</si>
  <si>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</si>
  <si>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</si>
  <si>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</si>
  <si>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</si>
  <si>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</si>
  <si>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</si>
  <si>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</si>
  <si>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</si>
  <si>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</si>
  <si>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</si>
  <si>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</si>
  <si>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</si>
  <si>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</si>
  <si>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</si>
  <si>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</si>
  <si>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</si>
  <si>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</si>
  <si>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</si>
  <si>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</si>
  <si>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</si>
  <si>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</si>
  <si>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</si>
  <si>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</si>
  <si>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</si>
  <si>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</si>
  <si>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</si>
  <si>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</si>
  <si>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</si>
  <si>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</si>
  <si>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</si>
  <si>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</si>
  <si>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</si>
  <si>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</si>
  <si>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</si>
  <si>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</si>
  <si>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</si>
  <si>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</si>
  <si>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</si>
  <si>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</si>
  <si>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</si>
  <si>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</si>
  <si>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</si>
  <si>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</si>
  <si>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</si>
  <si>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</si>
  <si>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</si>
  <si>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</si>
  <si>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</si>
  <si>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</si>
  <si>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</si>
  <si>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</si>
  <si>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</si>
  <si>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</si>
  <si>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</si>
  <si>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</si>
  <si>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</si>
  <si>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</si>
  <si>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</si>
  <si>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</si>
  <si>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</si>
  <si>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</si>
  <si>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</si>
  <si>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</si>
  <si>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</si>
  <si>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</si>
  <si>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</si>
  <si>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</si>
  <si>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</si>
  <si>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</si>
  <si>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</si>
  <si>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</si>
  <si>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</si>
  <si>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</si>
  <si>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</si>
  <si>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</si>
  <si>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</si>
  <si>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</si>
  <si>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</si>
  <si>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</si>
  <si>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</si>
  <si>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</si>
  <si>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</si>
  <si>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</si>
  <si>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</si>
  <si>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</si>
  <si>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</si>
  <si>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</si>
  <si>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</si>
  <si>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</si>
  <si>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</si>
  <si>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</si>
  <si>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</si>
  <si>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</si>
  <si>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</si>
  <si>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</si>
  <si>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</si>
  <si>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</si>
  <si>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</si>
  <si>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</si>
  <si>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</si>
  <si>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</si>
  <si>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</si>
  <si>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</si>
  <si>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</si>
  <si>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</si>
  <si>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</si>
  <si>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</si>
  <si>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</si>
  <si>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</si>
  <si>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</si>
  <si>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</si>
  <si>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</si>
  <si>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</si>
  <si>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</si>
  <si>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</si>
  <si>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</si>
  <si>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</si>
  <si>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</si>
  <si>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</si>
  <si>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</si>
  <si>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</si>
  <si>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</si>
  <si>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</si>
  <si>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</si>
  <si>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</si>
  <si>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</si>
  <si>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</si>
  <si>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</si>
  <si>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</si>
  <si>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</si>
  <si>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</si>
  <si>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</si>
  <si>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</si>
  <si>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</si>
  <si>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</si>
  <si>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</si>
  <si>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</si>
  <si>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</si>
  <si>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</si>
  <si>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</si>
  <si>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</si>
  <si>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</si>
  <si>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</si>
  <si>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</si>
  <si>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</si>
  <si>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</si>
  <si>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</si>
  <si>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</si>
  <si>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</si>
  <si>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</si>
  <si>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</si>
  <si>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</si>
  <si>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</si>
  <si>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</si>
  <si>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</si>
  <si>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</si>
  <si>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</si>
  <si>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</si>
  <si>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</si>
  <si>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</si>
  <si>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</si>
  <si>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</si>
  <si>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</si>
  <si>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</si>
  <si>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</si>
  <si>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</si>
  <si>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</si>
  <si>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</si>
  <si>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</si>
  <si>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</si>
  <si>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</si>
  <si>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</si>
  <si>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</si>
  <si>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</si>
  <si>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</si>
  <si>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</si>
  <si>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</si>
  <si>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</si>
  <si>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</si>
  <si>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</si>
  <si>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</si>
  <si>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</si>
  <si>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</si>
  <si>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</si>
  <si>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</si>
  <si>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</si>
  <si>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</si>
  <si>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</si>
  <si>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</si>
  <si>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</si>
  <si>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</si>
  <si>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</si>
  <si>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</si>
  <si>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</si>
  <si>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</si>
  <si>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</si>
  <si>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</si>
  <si>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</si>
  <si>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</si>
  <si>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</si>
  <si>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</si>
  <si>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</si>
  <si>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</si>
  <si>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</si>
  <si>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</si>
  <si>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</si>
  <si>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</si>
  <si>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</si>
  <si>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</si>
  <si>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</si>
  <si>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</si>
  <si>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</si>
  <si>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</si>
  <si>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</si>
  <si>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</si>
  <si>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</si>
  <si>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</si>
  <si>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</si>
  <si>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</si>
  <si>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</si>
  <si>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</si>
  <si>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</si>
  <si>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</si>
  <si>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</si>
  <si>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</si>
  <si>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</si>
  <si>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</si>
  <si>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</si>
  <si>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</si>
  <si>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</si>
  <si>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</si>
  <si>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</si>
  <si>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</si>
  <si>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</si>
  <si>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</si>
  <si>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</si>
  <si>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</si>
  <si>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</si>
  <si>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</si>
  <si>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</si>
  <si>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</si>
  <si>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</si>
  <si>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</si>
  <si>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</si>
  <si>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</si>
  <si>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</si>
  <si>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</si>
  <si>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</si>
  <si>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</si>
  <si>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</si>
  <si>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</si>
  <si>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</si>
  <si>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</si>
  <si>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</si>
  <si>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</si>
  <si>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</si>
  <si>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</si>
  <si>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</si>
  <si>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</si>
  <si>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</si>
  <si>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</si>
  <si>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</si>
  <si>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</si>
  <si>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</si>
  <si>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</si>
  <si>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</si>
  <si>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</si>
  <si>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</si>
  <si>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</si>
  <si>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</si>
  <si>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</si>
  <si>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</si>
  <si>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</si>
  <si>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</si>
  <si>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</si>
  <si>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</si>
  <si>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</si>
  <si>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</si>
  <si>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</si>
  <si>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</si>
  <si>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</si>
  <si>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</si>
  <si>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</si>
  <si>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</si>
  <si>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</si>
  <si>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</si>
  <si>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</si>
  <si>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</si>
  <si>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</si>
  <si>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</si>
  <si>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</si>
  <si>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</si>
  <si>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</si>
  <si>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</si>
  <si>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</si>
  <si>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</si>
  <si>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</si>
  <si>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</si>
  <si>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</si>
  <si>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</si>
  <si>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</si>
  <si>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</si>
  <si>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</si>
  <si>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</si>
  <si>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</si>
  <si>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</si>
  <si>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</si>
  <si>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</si>
  <si>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</si>
  <si>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</si>
  <si>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</si>
  <si>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</si>
  <si>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</si>
  <si>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</si>
  <si>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</si>
  <si>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</si>
  <si>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</si>
  <si>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</si>
  <si>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</si>
  <si>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</si>
  <si>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</si>
  <si>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</si>
  <si>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</si>
  <si>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</si>
  <si>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</si>
  <si>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</si>
  <si>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</si>
  <si>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</si>
  <si>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</si>
  <si>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</si>
  <si>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</si>
  <si>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</si>
  <si>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</si>
  <si>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</si>
  <si>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</si>
  <si>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</si>
  <si>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</si>
  <si>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</si>
  <si>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</si>
  <si>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</si>
  <si>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</si>
  <si>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</si>
  <si>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</si>
  <si>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</si>
  <si>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</si>
  <si>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</si>
  <si>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</si>
  <si>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</si>
  <si>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</si>
  <si>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</si>
  <si>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</si>
  <si>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</si>
  <si>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</si>
  <si>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</si>
  <si>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</si>
  <si>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</si>
  <si>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</si>
  <si>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</si>
  <si>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</si>
  <si>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</si>
  <si>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</si>
  <si>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</si>
  <si>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</si>
  <si>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</si>
  <si>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</si>
  <si>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</si>
  <si>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</si>
  <si>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</si>
  <si>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</si>
  <si>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</si>
  <si>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</si>
  <si>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</si>
  <si>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</si>
  <si>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</si>
  <si>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</si>
  <si>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</si>
  <si>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</si>
  <si>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</si>
  <si>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</si>
  <si>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</si>
  <si>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</si>
  <si>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</si>
  <si>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</si>
  <si>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</si>
  <si>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</si>
  <si>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</si>
  <si>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</si>
  <si>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</si>
  <si>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</si>
  <si>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</si>
  <si>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</si>
  <si>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</si>
  <si>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</si>
  <si>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</si>
  <si>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</si>
  <si>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</si>
  <si>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</si>
  <si>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</si>
  <si>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</si>
  <si>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</si>
  <si>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</si>
  <si>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</si>
  <si>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</si>
  <si>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</si>
  <si>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</si>
  <si>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</si>
  <si>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</si>
  <si>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</si>
  <si>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</si>
  <si>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</si>
  <si>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</si>
  <si>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</si>
  <si>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</si>
  <si>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</si>
  <si>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</si>
  <si>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</si>
  <si>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</si>
  <si>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</si>
  <si>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</si>
  <si>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</si>
  <si>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</si>
  <si>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</si>
  <si>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</si>
  <si>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</si>
  <si>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</si>
  <si>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</si>
  <si>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</si>
  <si>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</si>
  <si>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</si>
  <si>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</si>
  <si>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</si>
  <si>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</si>
  <si>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</si>
  <si>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</si>
  <si>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</si>
  <si>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</si>
  <si>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</si>
  <si>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</si>
  <si>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</si>
  <si>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</si>
  <si>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</si>
  <si>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</si>
  <si>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</si>
  <si>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</si>
  <si>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</si>
  <si>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</si>
  <si>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</si>
  <si>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</si>
  <si>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</si>
  <si>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</si>
  <si>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</si>
  <si>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</si>
  <si>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</si>
  <si>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</si>
  <si>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</si>
  <si>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</si>
  <si>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</si>
  <si>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</si>
  <si>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</si>
  <si>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</si>
  <si>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</si>
  <si>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</si>
  <si>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</si>
  <si>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</si>
  <si>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</si>
  <si>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</si>
  <si>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</si>
  <si>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</si>
  <si>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</si>
  <si>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</si>
  <si>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</si>
  <si>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</si>
  <si>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</si>
  <si>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</si>
  <si>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</si>
  <si>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</si>
  <si>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</si>
  <si>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</si>
  <si>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</si>
  <si>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</si>
  <si>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</si>
  <si>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</si>
  <si>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</si>
  <si>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</si>
  <si>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</si>
  <si>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</si>
  <si>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</si>
  <si>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</si>
  <si>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</si>
  <si>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</si>
  <si>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</si>
  <si>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</si>
  <si>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</si>
  <si>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</si>
  <si>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</si>
  <si>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</si>
  <si>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</si>
  <si>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</si>
  <si>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</si>
  <si>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</si>
  <si>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</si>
  <si>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</si>
  <si>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</si>
  <si>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</si>
  <si>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</si>
  <si>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</si>
  <si>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</si>
  <si>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</si>
  <si>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</si>
  <si>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</si>
  <si>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</si>
  <si>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</si>
  <si>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</si>
  <si>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</si>
  <si>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</si>
  <si>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</si>
  <si>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</si>
  <si>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</si>
  <si>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</si>
  <si>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</si>
  <si>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</si>
  <si>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</si>
  <si>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</si>
  <si>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</si>
  <si>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</si>
  <si>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</si>
  <si>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</si>
  <si>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</si>
  <si>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</si>
  <si>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</si>
  <si>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</si>
  <si>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</si>
  <si>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</si>
  <si>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</si>
  <si>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</si>
  <si>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</si>
  <si>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</si>
  <si>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</si>
  <si>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</si>
  <si>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</si>
  <si>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</si>
  <si>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</si>
  <si>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</si>
  <si>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</si>
  <si>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</si>
  <si>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</si>
  <si>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</si>
  <si>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</si>
  <si>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</si>
  <si>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</si>
  <si>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</si>
  <si>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</si>
  <si>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</si>
  <si>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</si>
  <si>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</si>
  <si>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</si>
  <si>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</si>
  <si>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</si>
  <si>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</si>
  <si>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</si>
  <si>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</si>
  <si>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</si>
  <si>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</si>
  <si>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</si>
  <si>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</si>
  <si>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</si>
  <si>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</si>
  <si>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</si>
  <si>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</si>
  <si>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</si>
  <si>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</si>
  <si>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</si>
  <si>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</si>
  <si>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</si>
  <si>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</si>
  <si>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</si>
  <si>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</si>
  <si>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</si>
  <si>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</si>
  <si>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</si>
  <si>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</si>
  <si>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</si>
  <si>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</si>
  <si>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</si>
  <si>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</si>
  <si>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</si>
  <si>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</si>
  <si>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</si>
  <si>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</si>
  <si>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</si>
  <si>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</si>
  <si>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</si>
  <si>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</si>
  <si>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</si>
  <si>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</si>
  <si>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</si>
  <si>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</si>
  <si>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</si>
  <si>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</si>
  <si>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</si>
  <si>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</si>
  <si>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</si>
  <si>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</si>
  <si>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</si>
  <si>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</si>
  <si>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</si>
  <si>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</si>
  <si>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</si>
  <si>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</si>
  <si>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</si>
  <si>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</si>
  <si>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</si>
  <si>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</si>
  <si>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</si>
  <si>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</si>
  <si>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</si>
  <si>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</si>
  <si>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</si>
  <si>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</si>
  <si>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</si>
  <si>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</si>
  <si>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</si>
  <si>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</si>
  <si>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</si>
  <si>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</si>
  <si>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</si>
  <si>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</si>
  <si>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</si>
  <si>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</si>
  <si>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</si>
  <si>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</si>
  <si>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</si>
  <si>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</si>
  <si>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</si>
  <si>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</si>
  <si>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</si>
  <si>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</si>
  <si>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</si>
  <si>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</si>
  <si>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</si>
  <si>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</si>
  <si>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</si>
  <si>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</si>
  <si>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</si>
  <si>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</si>
  <si>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</si>
  <si>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</si>
  <si>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</si>
  <si>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</si>
  <si>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</si>
  <si>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</si>
  <si>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</si>
  <si>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</si>
  <si>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</si>
  <si>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</si>
  <si>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</si>
  <si>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</si>
  <si>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</si>
  <si>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</si>
  <si>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</si>
  <si>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</si>
  <si>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</si>
  <si>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</si>
  <si>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</si>
  <si>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</si>
  <si>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</si>
  <si>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</si>
  <si>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</si>
  <si>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</si>
  <si>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</si>
  <si>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</si>
  <si>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</si>
  <si>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</si>
  <si>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</si>
  <si>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</si>
  <si>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</si>
  <si>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</si>
  <si>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</si>
  <si>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</si>
  <si>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</si>
  <si>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</si>
  <si>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</si>
  <si>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</si>
  <si>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</si>
  <si>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</si>
  <si>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</si>
  <si>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</si>
  <si>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</si>
  <si>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</si>
  <si>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</si>
  <si>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</si>
  <si>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</si>
  <si>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</si>
  <si>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</si>
  <si>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</si>
  <si>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</si>
  <si>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</si>
  <si>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</si>
  <si>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</si>
  <si>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</si>
  <si>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</si>
  <si>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</si>
  <si>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</si>
  <si>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</si>
  <si>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</si>
  <si>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</si>
  <si>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</si>
  <si>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</si>
  <si>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</si>
  <si>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</si>
  <si>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</si>
  <si>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</si>
  <si>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</si>
  <si>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</si>
  <si>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</si>
  <si>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</si>
  <si>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</si>
  <si>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</si>
  <si>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</si>
  <si>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</si>
  <si>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</si>
  <si>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</si>
  <si>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</si>
  <si>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</si>
  <si>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</si>
  <si>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</si>
  <si>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</si>
  <si>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</si>
  <si>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</si>
  <si>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</si>
  <si>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</si>
  <si>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</si>
  <si>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</si>
  <si>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</si>
  <si>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</si>
  <si>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</si>
  <si>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</si>
  <si>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</si>
  <si>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</si>
  <si>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</si>
  <si>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</si>
  <si>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</si>
  <si>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</si>
  <si>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</si>
  <si>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</si>
  <si>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</si>
  <si>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</si>
  <si>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</si>
  <si>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</si>
  <si>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</si>
  <si>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</si>
  <si>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</si>
  <si>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</si>
  <si>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</si>
  <si>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</si>
  <si>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</si>
  <si>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</si>
  <si>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</si>
  <si>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</si>
  <si>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</si>
  <si>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</si>
  <si>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</si>
  <si>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</si>
  <si>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</si>
  <si>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</si>
  <si>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</si>
  <si>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</si>
  <si>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</si>
  <si>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</si>
  <si>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</si>
  <si>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</si>
  <si>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</si>
  <si>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</si>
  <si>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</si>
  <si>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</si>
  <si>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</si>
  <si>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</si>
  <si>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</si>
  <si>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</si>
  <si>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</si>
  <si>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</si>
  <si>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</si>
  <si>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</si>
  <si>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</si>
  <si>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</si>
  <si>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</si>
  <si>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</si>
  <si>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</si>
  <si>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</si>
  <si>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</si>
  <si>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</si>
  <si>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</si>
  <si>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</si>
  <si>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</si>
  <si>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</si>
  <si>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</si>
  <si>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</si>
  <si>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</si>
  <si>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</si>
  <si>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</si>
  <si>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</si>
  <si>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</si>
  <si>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</si>
  <si>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</si>
  <si>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</si>
  <si>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</si>
  <si>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</si>
  <si>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</si>
  <si>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</si>
  <si>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</si>
  <si>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</si>
  <si>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</si>
  <si>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</si>
  <si>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</si>
  <si>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</si>
  <si>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</si>
  <si>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</si>
  <si>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</si>
  <si>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</si>
  <si>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</si>
  <si>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</si>
  <si>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</si>
  <si>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</si>
  <si>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</si>
  <si>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</si>
  <si>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</si>
  <si>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</si>
  <si>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</si>
  <si>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</si>
  <si>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</si>
  <si>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</si>
  <si>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</si>
  <si>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</si>
  <si>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</si>
  <si>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</si>
  <si>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</si>
  <si>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</si>
  <si>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</si>
  <si>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</si>
  <si>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</si>
  <si>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</si>
  <si>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</si>
  <si>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</si>
  <si>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</si>
  <si>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</si>
  <si>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</si>
  <si>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</si>
  <si>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</si>
  <si>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</si>
  <si>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</si>
  <si>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</si>
  <si>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</si>
  <si>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</si>
  <si>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</si>
  <si>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</si>
  <si>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</si>
  <si>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</si>
  <si>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</si>
  <si>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</si>
  <si>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</si>
  <si>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</si>
  <si>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</si>
  <si>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</si>
  <si>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</si>
  <si>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</si>
  <si>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</si>
  <si>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</si>
  <si>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</si>
  <si>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</si>
  <si>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</si>
  <si>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</si>
  <si>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</si>
  <si>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</si>
  <si>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</si>
  <si>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</si>
  <si>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</si>
  <si>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</si>
  <si>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</si>
  <si>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</si>
  <si>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</si>
  <si>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</si>
  <si>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</si>
  <si>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</si>
  <si>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</si>
  <si>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</si>
  <si>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</si>
  <si>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</si>
  <si>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</si>
  <si>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</si>
  <si>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</si>
  <si>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</si>
  <si>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</si>
  <si>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</si>
  <si>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</si>
  <si>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</si>
  <si>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</si>
  <si>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</si>
  <si>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</si>
  <si>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</si>
  <si>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</si>
  <si>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</si>
  <si>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</si>
  <si>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</si>
  <si>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</si>
  <si>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</si>
  <si>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</si>
  <si>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</si>
  <si>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</si>
  <si>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</si>
  <si>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</si>
  <si>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</si>
  <si>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</si>
  <si>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</si>
  <si>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</si>
  <si>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</si>
  <si>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</si>
  <si>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</si>
  <si>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</si>
  <si>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</si>
  <si>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</si>
  <si>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</si>
  <si>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</si>
  <si>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</si>
  <si>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</si>
  <si>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</si>
  <si>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</si>
  <si>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</si>
  <si>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</si>
  <si>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</si>
  <si>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</si>
  <si>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</si>
  <si>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</si>
  <si>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</si>
  <si>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</si>
  <si>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</si>
  <si>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</si>
  <si>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</si>
  <si>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</si>
  <si>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</si>
  <si>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</si>
  <si>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</si>
  <si>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</si>
  <si>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</si>
  <si>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</si>
  <si>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</si>
  <si>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</si>
  <si>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</si>
  <si>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</si>
  <si>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</si>
  <si>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</si>
  <si>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</si>
  <si>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</si>
  <si>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</si>
  <si>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</si>
  <si>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</si>
  <si>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</si>
  <si>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</si>
  <si>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</si>
  <si>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</si>
  <si>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</si>
  <si>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</si>
  <si>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</si>
  <si>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</si>
  <si>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</si>
  <si>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</si>
  <si>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</si>
  <si>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</si>
  <si>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</si>
  <si>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</si>
  <si>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</si>
  <si>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</si>
  <si>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</si>
  <si>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</si>
  <si>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</si>
  <si>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</si>
  <si>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</si>
  <si>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</si>
  <si>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</si>
  <si>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</si>
  <si>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</si>
  <si>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</si>
  <si>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</si>
  <si>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</si>
  <si>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</si>
  <si>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</si>
  <si>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</si>
  <si>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</si>
  <si>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</si>
  <si>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</si>
  <si>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</si>
  <si>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</si>
  <si>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</si>
  <si>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</si>
  <si>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</si>
  <si>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</si>
  <si>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</si>
  <si>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</si>
  <si>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</si>
  <si>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</si>
  <si>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</si>
  <si>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</si>
  <si>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</si>
  <si>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</si>
  <si>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</si>
  <si>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</si>
  <si>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</si>
  <si>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</si>
  <si>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</si>
  <si>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</si>
  <si>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</si>
  <si>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</si>
  <si>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</si>
  <si>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</si>
  <si>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</si>
  <si>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</si>
  <si>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</si>
  <si>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</si>
  <si>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</si>
  <si>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</si>
  <si>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</si>
  <si>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</si>
  <si>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</si>
  <si>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</si>
  <si>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</si>
  <si>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</si>
  <si>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</si>
  <si>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</si>
  <si>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</si>
  <si>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</si>
  <si>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</si>
  <si>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</si>
  <si>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</si>
  <si>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</si>
  <si>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</si>
  <si>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</si>
  <si>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</si>
  <si>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</si>
  <si>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</si>
  <si>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</si>
  <si>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</si>
  <si>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</si>
  <si>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</si>
  <si>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</si>
  <si>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</si>
  <si>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</si>
  <si>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</si>
  <si>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</si>
  <si>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</si>
  <si>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</si>
  <si>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</si>
  <si>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</si>
  <si>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</si>
  <si>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</si>
  <si>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</si>
  <si>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</si>
  <si>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</si>
  <si>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</si>
  <si>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</si>
  <si>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</si>
  <si>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</si>
  <si>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</si>
  <si>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</si>
  <si>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</si>
  <si>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</si>
  <si>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</si>
  <si>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</si>
  <si>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</si>
  <si>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</si>
  <si>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</si>
  <si>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</si>
  <si>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</si>
  <si>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</si>
  <si>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</si>
  <si>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</si>
  <si>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</si>
  <si>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</si>
  <si>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</si>
  <si>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</si>
  <si>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</si>
  <si>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</si>
  <si>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</si>
  <si>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</si>
  <si>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</si>
  <si>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</si>
  <si>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</si>
  <si>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</si>
  <si>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</si>
  <si>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</si>
  <si>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</si>
  <si>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</si>
  <si>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</si>
  <si>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</si>
  <si>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</si>
  <si>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</si>
  <si>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</si>
  <si>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</si>
  <si>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</si>
  <si>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</si>
  <si>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</si>
  <si>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</si>
  <si>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</si>
  <si>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</si>
  <si>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</si>
  <si>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</si>
  <si>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</si>
  <si>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</si>
  <si>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</si>
  <si>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</si>
  <si>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</si>
  <si>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</si>
  <si>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</si>
  <si>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</si>
  <si>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</si>
  <si>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</si>
  <si>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</si>
  <si>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</si>
  <si>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</si>
  <si>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</si>
  <si>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</si>
  <si>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</si>
  <si>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</si>
  <si>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</si>
  <si>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</si>
  <si>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</si>
  <si>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</si>
  <si>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</si>
  <si>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</si>
  <si>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</si>
  <si>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</si>
  <si>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</si>
  <si>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</si>
  <si>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</si>
  <si>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</si>
  <si>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</si>
  <si>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</si>
  <si>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</si>
  <si>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</si>
  <si>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</si>
  <si>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</si>
  <si>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</si>
  <si>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</si>
  <si>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</si>
  <si>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</si>
  <si>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</si>
  <si>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</si>
  <si>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</si>
  <si>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</si>
  <si>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</si>
  <si>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</si>
  <si>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</si>
  <si>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</si>
  <si>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</si>
  <si>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</si>
  <si>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</si>
  <si>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</si>
  <si>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</si>
  <si>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</si>
  <si>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</si>
  <si>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</si>
  <si>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</si>
  <si>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</si>
  <si>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</si>
  <si>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</si>
  <si>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</si>
  <si>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</si>
  <si>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</si>
  <si>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</si>
  <si>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</si>
  <si>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</si>
  <si>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</si>
  <si>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</si>
  <si>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</si>
  <si>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</si>
  <si>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</si>
  <si>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</si>
  <si>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</si>
  <si>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</si>
  <si>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</si>
  <si>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</si>
  <si>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</si>
  <si>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</si>
  <si>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</si>
  <si>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</si>
  <si>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</si>
  <si>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</si>
  <si>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</si>
  <si>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</si>
  <si>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</si>
  <si>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</si>
  <si>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</si>
  <si>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</si>
  <si>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</si>
  <si>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</si>
  <si>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</si>
  <si>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</si>
  <si>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</si>
  <si>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</si>
  <si>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</si>
  <si>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</si>
  <si>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</si>
  <si>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</si>
  <si>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</si>
  <si>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</si>
  <si>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</si>
  <si>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</si>
  <si>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</si>
  <si>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</si>
  <si>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</si>
  <si>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</si>
  <si>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</si>
  <si>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</si>
  <si>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</si>
  <si>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</si>
  <si>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</si>
  <si>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</si>
  <si>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</si>
  <si>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</si>
  <si>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</si>
  <si>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</si>
  <si>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</si>
  <si>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</si>
  <si>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</si>
  <si>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</si>
  <si>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</si>
  <si>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</si>
  <si>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</si>
  <si>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</si>
  <si>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</si>
  <si>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</si>
  <si>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</si>
  <si>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</si>
  <si>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</si>
  <si>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</si>
  <si>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</si>
  <si>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</si>
  <si>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</si>
  <si>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</si>
  <si>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</si>
  <si>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</si>
  <si>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</si>
  <si>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</si>
  <si>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</si>
  <si>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</si>
  <si>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</si>
  <si>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</si>
  <si>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</si>
  <si>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</si>
  <si>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</si>
  <si>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</si>
  <si>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</si>
  <si>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</si>
  <si>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</si>
  <si>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</si>
  <si>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</si>
  <si>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</si>
  <si>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</si>
  <si>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</si>
  <si>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</si>
  <si>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</si>
  <si>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</si>
  <si>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</si>
  <si>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</si>
  <si>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</si>
  <si>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</si>
  <si>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</si>
  <si>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</si>
  <si>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</si>
  <si>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</si>
  <si>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</si>
  <si>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</si>
  <si>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</si>
  <si>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</si>
  <si>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</si>
  <si>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</si>
  <si>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</si>
  <si>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</si>
  <si>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</si>
  <si>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</si>
  <si>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</si>
  <si>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</si>
  <si>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</si>
  <si>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</si>
  <si>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</si>
  <si>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</si>
  <si>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</si>
  <si>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</si>
  <si>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</si>
  <si>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</si>
  <si>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</si>
  <si>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</si>
  <si>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</si>
  <si>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</si>
  <si>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</si>
  <si>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</si>
  <si>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</si>
  <si>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</si>
  <si>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</si>
  <si>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</si>
  <si>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</si>
  <si>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</si>
  <si>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</si>
  <si>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</si>
  <si>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</si>
  <si>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</si>
  <si>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</si>
  <si>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</si>
  <si>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</si>
  <si>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</si>
  <si>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</si>
  <si>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</si>
  <si>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</si>
  <si>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</si>
  <si>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</si>
  <si>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</si>
  <si>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</si>
  <si>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</si>
  <si>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</si>
  <si>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</si>
  <si>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</si>
  <si>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</si>
  <si>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</si>
  <si>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</si>
  <si>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</si>
  <si>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</si>
  <si>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</si>
  <si>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</si>
  <si>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</si>
  <si>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</si>
  <si>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</si>
  <si>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</si>
  <si>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</si>
  <si>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</si>
  <si>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</si>
  <si>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</si>
  <si>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</si>
  <si>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</si>
  <si>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</si>
  <si>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</si>
  <si>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</si>
  <si>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</si>
  <si>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</si>
  <si>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</si>
  <si>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</si>
  <si>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</si>
  <si>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</si>
  <si>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</si>
  <si>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</si>
  <si>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</si>
  <si>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</si>
  <si>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</si>
  <si>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</si>
  <si>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</si>
  <si>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</si>
  <si>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</si>
  <si>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</si>
  <si>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</si>
  <si>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</si>
  <si>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</si>
  <si>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</si>
  <si>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</si>
  <si>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</si>
  <si>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</si>
  <si>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</si>
  <si>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</si>
  <si>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</si>
  <si>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</si>
  <si>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</si>
  <si>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</si>
  <si>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</si>
  <si>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</si>
  <si>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</si>
  <si>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</si>
  <si>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</si>
  <si>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</si>
  <si>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</si>
  <si>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</si>
  <si>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</si>
  <si>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</si>
  <si>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</si>
  <si>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</si>
  <si>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</si>
  <si>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</si>
  <si>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</si>
  <si>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</si>
  <si>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</si>
  <si>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</si>
  <si>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</si>
  <si>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</si>
  <si>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</si>
  <si>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</si>
  <si>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</si>
  <si>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</si>
  <si>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</si>
  <si>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</si>
  <si>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</si>
  <si>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</si>
  <si>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</si>
  <si>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</si>
  <si>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</si>
  <si>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</si>
  <si>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</si>
  <si>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</si>
  <si>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</si>
  <si>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</si>
  <si>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</si>
  <si>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</si>
  <si>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</si>
  <si>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</si>
  <si>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</si>
  <si>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</si>
  <si>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</si>
  <si>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</si>
  <si>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</si>
  <si>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</si>
  <si>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</si>
  <si>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</si>
  <si>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</si>
  <si>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</si>
  <si>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</si>
  <si>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</si>
  <si>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</si>
  <si>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</si>
  <si>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</si>
  <si>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</si>
  <si>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</si>
  <si>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</si>
  <si>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</si>
  <si>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</si>
  <si>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</si>
  <si>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</si>
  <si>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</si>
  <si>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</si>
  <si>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</si>
  <si>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</si>
  <si>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</si>
  <si>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</si>
  <si>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</si>
  <si>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</si>
  <si>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</si>
  <si>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</si>
  <si>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</si>
  <si>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</si>
  <si>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</si>
  <si>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</si>
  <si>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</si>
  <si>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</si>
  <si>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</si>
  <si>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</si>
  <si>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</si>
  <si>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</si>
  <si>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</si>
  <si>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</si>
  <si>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</si>
  <si>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</si>
  <si>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</si>
  <si>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</si>
  <si>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</si>
  <si>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</si>
  <si>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</si>
  <si>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</si>
  <si>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</si>
  <si>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</si>
  <si>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</si>
  <si>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</si>
  <si>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</si>
  <si>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</si>
  <si>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</si>
  <si>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</si>
  <si>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</si>
  <si>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</si>
  <si>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</si>
  <si>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</si>
  <si>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</si>
  <si>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</si>
  <si>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</si>
  <si>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</si>
  <si>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</si>
  <si>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</si>
  <si>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</si>
  <si>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</si>
  <si>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</si>
  <si>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</si>
  <si>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</si>
  <si>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</si>
  <si>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</si>
  <si>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</si>
  <si>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</si>
  <si>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</si>
  <si>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</si>
  <si>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</si>
  <si>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</si>
  <si>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</si>
  <si>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</si>
  <si>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</si>
  <si>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</si>
  <si>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</si>
  <si>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</si>
  <si>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</si>
  <si>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</si>
  <si>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</si>
  <si>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</si>
  <si>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</si>
  <si>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</si>
  <si>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</si>
  <si>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</si>
  <si>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</si>
  <si>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</si>
  <si>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</si>
  <si>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</si>
  <si>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</si>
  <si>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</si>
  <si>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</si>
  <si>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</si>
  <si>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</si>
  <si>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</si>
  <si>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</si>
  <si>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</si>
  <si>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</si>
  <si>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</si>
  <si>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</si>
  <si>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</si>
  <si>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</si>
  <si>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</si>
  <si>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</si>
  <si>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</si>
  <si>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</si>
  <si>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</si>
  <si>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</si>
  <si>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</si>
  <si>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</si>
  <si>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</si>
  <si>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</si>
  <si>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</si>
  <si>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</si>
  <si>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</si>
  <si>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</si>
  <si>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</si>
  <si>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</si>
  <si>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</si>
  <si>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</si>
  <si>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</si>
  <si>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</si>
  <si>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</si>
  <si>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</si>
  <si>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</si>
  <si>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</si>
  <si>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</si>
  <si>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</si>
  <si>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</si>
  <si>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</si>
  <si>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</si>
  <si>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</si>
  <si>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</si>
  <si>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</si>
  <si>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</si>
  <si>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</si>
  <si>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</si>
  <si>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</si>
  <si>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</si>
  <si>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</si>
  <si>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</si>
  <si>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</si>
  <si>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</si>
  <si>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</si>
  <si>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</si>
  <si>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</si>
  <si>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</si>
  <si>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</si>
  <si>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</si>
  <si>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</si>
  <si>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</si>
  <si>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</si>
  <si>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</si>
  <si>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</si>
  <si>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</si>
  <si>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</si>
  <si>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</si>
  <si>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</si>
  <si>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</si>
  <si>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</si>
  <si>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</si>
  <si>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</si>
  <si>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</si>
  <si>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</si>
  <si>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</si>
  <si>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</si>
  <si>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</si>
  <si>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</si>
  <si>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</si>
  <si>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</si>
  <si>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</si>
  <si>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</si>
  <si>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</si>
  <si>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</si>
  <si>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</si>
  <si>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</si>
  <si>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</si>
  <si>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</si>
  <si>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</si>
  <si>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</si>
  <si>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</si>
  <si>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</si>
  <si>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</si>
  <si>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</si>
  <si>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</si>
  <si>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</si>
  <si>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</si>
  <si>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</si>
  <si>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</si>
  <si>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</si>
  <si>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</si>
  <si>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</si>
  <si>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</si>
  <si>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</si>
  <si>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</si>
  <si>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</si>
  <si>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</si>
  <si>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</si>
  <si>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</si>
  <si>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</si>
  <si>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</si>
  <si>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</si>
  <si>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</si>
  <si>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</si>
  <si>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</si>
  <si>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</si>
  <si>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</si>
  <si>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</si>
  <si>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</si>
  <si>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</si>
  <si>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</si>
  <si>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</si>
  <si>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</si>
  <si>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</si>
  <si>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</si>
  <si>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</si>
  <si>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</si>
  <si>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</si>
  <si>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</si>
  <si>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</si>
  <si>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</si>
  <si>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</si>
  <si>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</si>
  <si>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</si>
  <si>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</si>
  <si>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</si>
  <si>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</si>
  <si>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</si>
  <si>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</si>
  <si>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</si>
  <si>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</si>
  <si>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</si>
  <si>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</si>
  <si>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</si>
  <si>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</si>
  <si>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</si>
  <si>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</si>
  <si>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</si>
  <si>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</si>
  <si>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</si>
  <si>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</si>
  <si>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</si>
  <si>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</si>
  <si>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</si>
  <si>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</si>
  <si>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</si>
  <si>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</si>
  <si>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</si>
  <si>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</si>
  <si>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</si>
  <si>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</si>
  <si>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</si>
  <si>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</si>
  <si>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</si>
  <si>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</si>
  <si>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</si>
  <si>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</si>
  <si>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</si>
  <si>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</si>
  <si>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</si>
  <si>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</si>
  <si>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</si>
  <si>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</si>
  <si>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</si>
  <si>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</si>
  <si>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</si>
  <si>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</si>
  <si>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</si>
  <si>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</si>
  <si>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</si>
  <si>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</si>
  <si>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</si>
  <si>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</si>
  <si>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</si>
  <si>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</si>
  <si>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</si>
  <si>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</si>
  <si>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</si>
  <si>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</si>
  <si>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</si>
  <si>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</si>
  <si>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</si>
  <si>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</si>
  <si>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</si>
  <si>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</si>
  <si>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</si>
  <si>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</si>
  <si>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</si>
  <si>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</si>
  <si>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</si>
  <si>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</si>
  <si>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</si>
  <si>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</si>
  <si>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</si>
  <si>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</si>
  <si>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</si>
  <si>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</si>
  <si>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</si>
  <si>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</si>
  <si>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</si>
  <si>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</si>
  <si>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</si>
  <si>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</si>
  <si>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</si>
  <si>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</si>
  <si>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</si>
  <si>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</si>
  <si>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</si>
  <si>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</si>
  <si>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</si>
  <si>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</si>
  <si>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</si>
  <si>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</si>
  <si>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</si>
  <si>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</si>
  <si>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</si>
  <si>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</si>
  <si>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</si>
  <si>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</si>
  <si>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</si>
  <si>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</si>
  <si>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</si>
  <si>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</si>
  <si>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</si>
  <si>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</si>
  <si>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</si>
  <si>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</si>
  <si>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</si>
  <si>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</si>
  <si>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</si>
  <si>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</si>
  <si>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</si>
  <si>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</si>
  <si>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</si>
  <si>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</si>
  <si>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</si>
  <si>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</si>
  <si>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</si>
  <si>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</si>
  <si>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</si>
  <si>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</si>
  <si>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</si>
  <si>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</si>
  <si>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</si>
  <si>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</si>
  <si>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</si>
  <si>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</si>
  <si>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</si>
  <si>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</si>
  <si>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</si>
  <si>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</si>
  <si>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</si>
  <si>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</si>
  <si>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</si>
  <si>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</si>
  <si>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</si>
  <si>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</si>
  <si>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</si>
  <si>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</si>
  <si>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</si>
  <si>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</si>
  <si>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</si>
  <si>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</si>
  <si>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</si>
  <si>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</si>
  <si>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</si>
  <si>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</si>
  <si>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</si>
  <si>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</si>
  <si>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</si>
  <si>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</si>
  <si>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</si>
  <si>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</si>
  <si>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</si>
  <si>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</si>
  <si>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</si>
  <si>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</si>
  <si>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</si>
  <si>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</si>
  <si>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</si>
  <si>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</si>
  <si>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</si>
  <si>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</si>
  <si>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</si>
  <si>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</si>
  <si>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</si>
  <si>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</si>
  <si>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</si>
  <si>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</si>
  <si>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</si>
  <si>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</si>
  <si>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</si>
  <si>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</si>
  <si>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</si>
  <si>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</si>
  <si>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</si>
  <si>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</si>
  <si>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</si>
  <si>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</si>
  <si>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</si>
  <si>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</si>
  <si>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</si>
  <si>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</si>
  <si>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</si>
  <si>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</si>
  <si>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</si>
  <si>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</si>
  <si>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</si>
  <si>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</si>
  <si>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</si>
  <si>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</si>
  <si>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</si>
  <si>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</si>
  <si>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</si>
  <si>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</si>
  <si>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</si>
  <si>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</si>
  <si>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</si>
  <si>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</si>
  <si>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</si>
  <si>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</si>
  <si>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</si>
  <si>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</si>
  <si>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</si>
  <si>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</si>
  <si>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</si>
  <si>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</si>
  <si>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</si>
  <si>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</si>
  <si>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</si>
  <si>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</si>
  <si>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</si>
  <si>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</si>
  <si>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</si>
  <si>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</si>
  <si>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</si>
  <si>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</si>
  <si>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</si>
  <si>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</si>
  <si>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</si>
  <si>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</si>
  <si>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</si>
  <si>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</si>
  <si>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</si>
  <si>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</si>
  <si>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</si>
  <si>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</si>
  <si>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</si>
  <si>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</si>
  <si>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</si>
  <si>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</si>
  <si>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</si>
  <si>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</si>
  <si>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</si>
  <si>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</si>
  <si>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</si>
  <si>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</si>
  <si>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</si>
  <si>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</si>
  <si>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</si>
  <si>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</si>
  <si>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</si>
  <si>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</si>
  <si>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</si>
  <si>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</si>
  <si>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</si>
  <si>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</si>
  <si>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</si>
  <si>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</si>
  <si>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</si>
  <si>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</si>
  <si>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</si>
  <si>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</si>
  <si>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</si>
  <si>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</si>
  <si>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</si>
  <si>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</si>
  <si>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</si>
  <si>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</si>
  <si>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</si>
  <si>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</si>
  <si>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</si>
  <si>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</si>
  <si>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</si>
  <si>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</si>
  <si>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</si>
  <si>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</si>
  <si>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</si>
  <si>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</si>
  <si>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</si>
  <si>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</si>
  <si>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</si>
  <si>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</si>
  <si>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</si>
  <si>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</si>
  <si>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</si>
  <si>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</si>
  <si>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</si>
  <si>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</si>
  <si>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</si>
  <si>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</si>
  <si>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</si>
  <si>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</si>
  <si>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</si>
  <si>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</si>
  <si>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</si>
  <si>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</si>
  <si>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</si>
  <si>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</si>
  <si>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</si>
  <si>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</si>
  <si>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</si>
  <si>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</si>
  <si>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</si>
  <si>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</si>
  <si>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</si>
  <si>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</si>
  <si>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</si>
  <si>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</si>
  <si>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</si>
  <si>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</si>
  <si>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</si>
  <si>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</si>
  <si>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</si>
  <si>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</si>
  <si>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</si>
  <si>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</si>
  <si>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</si>
  <si>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</si>
  <si>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</si>
  <si>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</si>
  <si>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</si>
  <si>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</si>
  <si>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</si>
  <si>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</si>
  <si>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</si>
  <si>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</si>
  <si>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</si>
  <si>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</si>
  <si>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</si>
  <si>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</si>
  <si>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</si>
  <si>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</si>
  <si>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</si>
  <si>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</si>
  <si>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</si>
  <si>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</si>
  <si>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</si>
  <si>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</si>
  <si>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</si>
  <si>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</si>
  <si>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</si>
  <si>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</si>
  <si>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</si>
  <si>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</si>
  <si>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</si>
  <si>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</si>
  <si>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</si>
  <si>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</si>
  <si>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</si>
  <si>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</si>
  <si>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</si>
  <si>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</si>
  <si>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</si>
  <si>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</si>
  <si>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</si>
  <si>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</si>
  <si>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</si>
  <si>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</si>
  <si>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</si>
  <si>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</si>
  <si>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</si>
  <si>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</si>
  <si>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</si>
  <si>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</si>
  <si>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</si>
  <si>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</si>
  <si>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</si>
  <si>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</si>
  <si>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</si>
  <si>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</si>
  <si>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</si>
  <si>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</si>
  <si>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</si>
  <si>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</si>
  <si>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</si>
  <si>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</si>
  <si>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</si>
  <si>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</si>
  <si>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</si>
  <si>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</si>
  <si>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</si>
  <si>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</si>
  <si>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</si>
  <si>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</si>
  <si>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</si>
  <si>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</si>
  <si>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</si>
  <si>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</si>
  <si>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</si>
  <si>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</si>
  <si>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</si>
  <si>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</si>
  <si>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</si>
  <si>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</si>
  <si>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</si>
  <si>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</si>
  <si>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</si>
  <si>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</si>
  <si>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</si>
  <si>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</si>
  <si>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</si>
  <si>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</si>
  <si>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</si>
  <si>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</si>
  <si>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</si>
  <si>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</si>
  <si>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</si>
  <si>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</si>
  <si>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</si>
  <si>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</si>
  <si>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</si>
  <si>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</si>
  <si>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</si>
  <si>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</si>
  <si>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</si>
  <si>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</si>
  <si>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</si>
  <si>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</si>
  <si>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</si>
  <si>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</si>
  <si>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</si>
  <si>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</si>
  <si>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</si>
  <si>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</si>
  <si>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</si>
  <si>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</si>
  <si>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</si>
  <si>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</si>
  <si>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</si>
  <si>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</si>
  <si>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</si>
  <si>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</si>
  <si>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</si>
  <si>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</si>
  <si>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</si>
  <si>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</si>
  <si>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</si>
  <si>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</si>
  <si>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</si>
  <si>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</si>
  <si>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</si>
  <si>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</si>
  <si>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</si>
  <si>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</si>
  <si>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</si>
  <si>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</si>
  <si>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</si>
  <si>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</si>
  <si>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</si>
  <si>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</si>
  <si>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</si>
  <si>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</si>
  <si>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</si>
  <si>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</si>
  <si>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</si>
  <si>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</si>
  <si>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</si>
  <si>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</si>
  <si>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</si>
  <si>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</si>
  <si>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</si>
  <si>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</si>
  <si>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</si>
  <si>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</si>
  <si>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</si>
  <si>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</si>
  <si>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</si>
  <si>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</si>
  <si>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</si>
  <si>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</si>
  <si>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</si>
  <si>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</si>
  <si>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</si>
  <si>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</si>
  <si>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</si>
  <si>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</si>
  <si>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</si>
  <si>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</si>
  <si>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</si>
  <si>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</si>
  <si>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</si>
  <si>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</si>
  <si>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</si>
  <si>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</si>
  <si>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</si>
  <si>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</si>
  <si>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</si>
  <si>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</si>
  <si>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</si>
  <si>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</si>
  <si>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</si>
  <si>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</si>
  <si>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</si>
  <si>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</si>
  <si>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</si>
  <si>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</si>
  <si>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</si>
  <si>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</si>
  <si>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</si>
  <si>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</si>
  <si>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</si>
  <si>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</si>
  <si>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</si>
  <si>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</si>
  <si>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</si>
  <si>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</si>
  <si>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</si>
  <si>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</si>
  <si>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</si>
  <si>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</si>
  <si>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</si>
  <si>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</si>
  <si>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</si>
  <si>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</si>
  <si>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</si>
  <si>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</si>
  <si>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</si>
  <si>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</si>
  <si>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</si>
  <si>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</si>
  <si>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</si>
  <si>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</si>
  <si>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</si>
  <si>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</si>
  <si>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</si>
  <si>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</si>
  <si>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</si>
  <si>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</si>
  <si>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</si>
  <si>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</si>
  <si>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</si>
  <si>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</si>
  <si>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</si>
  <si>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</si>
  <si>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</si>
  <si>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</si>
  <si>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</si>
  <si>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</si>
  <si>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</si>
  <si>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</si>
  <si>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</si>
  <si>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</si>
  <si>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</si>
  <si>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</si>
  <si>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</si>
  <si>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</si>
  <si>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</si>
  <si>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</si>
  <si>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</si>
  <si>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</si>
  <si>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</si>
  <si>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</si>
  <si>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</si>
  <si>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</si>
  <si>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</si>
  <si>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</si>
  <si>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</si>
  <si>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</si>
  <si>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</si>
  <si>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</si>
  <si>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</si>
  <si>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</si>
  <si>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</si>
  <si>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</si>
  <si>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</si>
  <si>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</si>
  <si>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</si>
  <si>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</si>
  <si>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</si>
  <si>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</si>
  <si>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</si>
  <si>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</si>
  <si>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</si>
  <si>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</si>
  <si>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</si>
  <si>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</si>
  <si>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</si>
  <si>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</si>
  <si>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</si>
  <si>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</si>
  <si>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</si>
  <si>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</si>
  <si>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</si>
  <si>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</si>
  <si>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</si>
  <si>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</si>
  <si>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</si>
  <si>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</si>
  <si>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</si>
  <si>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</si>
  <si>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</si>
  <si>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</si>
  <si>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</si>
  <si>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</si>
  <si>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</si>
  <si>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</si>
  <si>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</si>
  <si>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</si>
  <si>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</si>
  <si>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</si>
  <si>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</si>
  <si>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</si>
  <si>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</si>
  <si>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</si>
  <si>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</si>
  <si>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</si>
  <si>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</si>
  <si>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</si>
  <si>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</si>
  <si>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</si>
  <si>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</si>
  <si>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</si>
  <si>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</si>
  <si>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</si>
  <si>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</si>
  <si>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</si>
  <si>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</si>
  <si>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</si>
  <si>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</si>
  <si>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</si>
  <si>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</si>
  <si>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</si>
  <si>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</si>
  <si>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</si>
  <si>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</si>
  <si>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</si>
  <si>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</si>
  <si>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</si>
  <si>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</si>
  <si>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</si>
  <si>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</si>
  <si>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</si>
  <si>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</si>
  <si>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</si>
  <si>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</si>
  <si>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</si>
  <si>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</si>
  <si>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</si>
  <si>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</si>
  <si>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</si>
  <si>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</si>
  <si>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</si>
  <si>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</si>
  <si>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</si>
  <si>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</si>
  <si>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</si>
  <si>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</si>
  <si>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</si>
  <si>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</si>
  <si>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</si>
  <si>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</si>
  <si>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</si>
  <si>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</si>
  <si>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</si>
  <si>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</si>
  <si>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</si>
  <si>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</si>
  <si>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</si>
  <si>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</si>
  <si>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</si>
  <si>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</si>
  <si>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</si>
  <si>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</si>
  <si>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</si>
  <si>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</si>
  <si>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</si>
  <si>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</si>
  <si>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</si>
  <si>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</si>
  <si>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</si>
  <si>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</si>
  <si>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</si>
  <si>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</si>
  <si>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</si>
  <si>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</si>
  <si>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</si>
  <si>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</si>
  <si>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</si>
  <si>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</si>
  <si>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</si>
  <si>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</si>
  <si>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</si>
  <si>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</si>
  <si>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</si>
  <si>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</si>
  <si>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</si>
  <si>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</si>
  <si>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</si>
  <si>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</si>
  <si>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</si>
  <si>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</si>
  <si>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</si>
  <si>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</si>
  <si>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</si>
  <si>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</si>
  <si>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</si>
  <si>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</si>
  <si>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</si>
  <si>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</si>
  <si>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</si>
  <si>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</si>
  <si>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</si>
  <si>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</si>
  <si>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</si>
  <si>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</si>
  <si>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</si>
  <si>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</si>
  <si>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</si>
  <si>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</si>
  <si>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</si>
  <si>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</si>
  <si>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</si>
  <si>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</si>
  <si>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</si>
  <si>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</si>
  <si>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</si>
  <si>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</si>
  <si>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</si>
  <si>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</si>
  <si>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</si>
  <si>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</si>
  <si>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</si>
  <si>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</si>
  <si>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</si>
  <si>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</si>
  <si>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</si>
  <si>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</si>
  <si>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</si>
  <si>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</si>
  <si>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</si>
  <si>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</si>
  <si>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</si>
  <si>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</si>
  <si>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</si>
  <si>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</si>
  <si>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</si>
  <si>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</si>
  <si>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</si>
  <si>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</si>
  <si>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</si>
  <si>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</si>
  <si>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</si>
  <si>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</si>
  <si>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</si>
  <si>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</si>
  <si>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</si>
  <si>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</si>
  <si>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</si>
  <si>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</si>
  <si>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</si>
  <si>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</si>
  <si>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</si>
  <si>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</si>
  <si>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</si>
  <si>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</si>
  <si>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</si>
  <si>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</si>
  <si>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</si>
  <si>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</si>
  <si>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</si>
  <si>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</si>
  <si>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</si>
  <si>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</si>
  <si>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</si>
  <si>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</si>
  <si>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</si>
  <si>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</si>
  <si>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</si>
  <si>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</si>
  <si>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</si>
  <si>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</si>
  <si>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</si>
  <si>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</si>
  <si>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</si>
  <si>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</si>
  <si>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</si>
  <si>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</si>
  <si>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</si>
  <si>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</si>
  <si>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</si>
  <si>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</si>
  <si>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</si>
  <si>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</si>
  <si>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</si>
  <si>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</si>
  <si>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</si>
  <si>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</si>
  <si>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</si>
  <si>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</si>
  <si>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</si>
  <si>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</si>
  <si>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</si>
  <si>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</si>
  <si>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</si>
  <si>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</si>
  <si>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</si>
  <si>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</si>
  <si>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</si>
  <si>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</si>
  <si>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</si>
  <si>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</si>
  <si>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</si>
  <si>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</si>
  <si>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</si>
  <si>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</si>
  <si>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</si>
  <si>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</si>
  <si>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</si>
  <si>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</si>
  <si>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</si>
  <si>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</si>
  <si>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</si>
  <si>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</si>
  <si>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</si>
  <si>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</si>
  <si>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</si>
  <si>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</si>
  <si>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</si>
  <si>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</si>
  <si>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</si>
  <si>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</si>
  <si>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</si>
  <si>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</si>
  <si>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</si>
  <si>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</si>
  <si>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</si>
  <si>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</si>
  <si>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</si>
  <si>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</si>
  <si>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</si>
  <si>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</si>
  <si>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</si>
  <si>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</si>
  <si>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</si>
  <si>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</si>
  <si>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</si>
  <si>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</si>
  <si>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</si>
  <si>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</si>
  <si>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</si>
  <si>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</si>
  <si>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</si>
  <si>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</si>
  <si>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</si>
  <si>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</si>
  <si>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</si>
  <si>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</si>
  <si>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</si>
  <si>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</si>
  <si>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</si>
  <si>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</si>
  <si>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</si>
  <si>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</si>
  <si>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</si>
  <si>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</si>
  <si>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</si>
  <si>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</si>
  <si>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</si>
  <si>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</si>
  <si>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</si>
  <si>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</si>
  <si>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</si>
  <si>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</si>
  <si>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</si>
  <si>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</si>
  <si>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</si>
  <si>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</si>
  <si>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</si>
  <si>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</si>
  <si>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</si>
  <si>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</si>
  <si>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</si>
  <si>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</si>
  <si>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</si>
  <si>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</si>
  <si>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</si>
  <si>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</si>
  <si>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</si>
  <si>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</si>
  <si>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</si>
  <si>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</si>
  <si>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</si>
  <si>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</si>
  <si>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</si>
  <si>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</si>
  <si>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</si>
  <si>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</si>
  <si>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</si>
  <si>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</si>
  <si>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</si>
  <si>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</si>
  <si>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</si>
  <si>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</si>
  <si>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</si>
  <si>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</si>
  <si>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</si>
  <si>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</si>
  <si>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</si>
  <si>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</si>
  <si>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</si>
  <si>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</si>
  <si>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</si>
  <si>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</si>
  <si>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</si>
  <si>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</si>
  <si>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</si>
  <si>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</si>
  <si>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</si>
  <si>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</si>
  <si>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</si>
  <si>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</si>
  <si>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</si>
  <si>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</si>
  <si>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</si>
  <si>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</si>
  <si>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</si>
  <si>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</si>
  <si>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</si>
  <si>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</si>
  <si>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</si>
  <si>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</si>
  <si>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</si>
  <si>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</si>
  <si>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</si>
  <si>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</si>
  <si>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</si>
  <si>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</si>
  <si>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</si>
  <si>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</si>
  <si>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</si>
  <si>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</si>
  <si>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</si>
  <si>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</si>
  <si>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</si>
  <si>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</si>
  <si>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</si>
  <si>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</si>
  <si>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</si>
  <si>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</si>
  <si>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</si>
  <si>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</si>
  <si>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</si>
  <si>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</si>
  <si>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</si>
  <si>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</si>
  <si>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</si>
  <si>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</si>
  <si>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</si>
  <si>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</si>
  <si>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</si>
  <si>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</si>
  <si>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</si>
  <si>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</si>
  <si>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</si>
  <si>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</si>
  <si>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</si>
  <si>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</si>
  <si>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</si>
  <si>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</si>
  <si>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</si>
  <si>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</si>
  <si>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</si>
  <si>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</si>
  <si>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</si>
  <si>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</si>
  <si>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</si>
  <si>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</si>
  <si>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</si>
  <si>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</si>
  <si>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</si>
  <si>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</si>
  <si>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</si>
  <si>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</si>
  <si>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</si>
  <si>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</si>
  <si>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</si>
  <si>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</si>
  <si>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</si>
  <si>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</si>
  <si>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</si>
  <si>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</si>
  <si>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</si>
  <si>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</si>
  <si>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</si>
  <si>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</si>
  <si>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</si>
  <si>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</si>
  <si>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</si>
  <si>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</si>
  <si>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</si>
  <si>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</si>
  <si>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</si>
  <si>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</si>
  <si>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</si>
  <si>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</si>
  <si>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</si>
  <si>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</si>
  <si>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</si>
  <si>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</si>
  <si>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</si>
  <si>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</si>
  <si>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</si>
  <si>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</si>
  <si>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</si>
  <si>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</si>
  <si>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</si>
  <si>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</si>
  <si>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</si>
  <si>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</si>
  <si>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</si>
  <si>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</si>
  <si>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</si>
  <si>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</si>
  <si>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</si>
  <si>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</si>
  <si>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</si>
  <si>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</si>
  <si>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</si>
  <si>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</si>
  <si>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</si>
  <si>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</si>
  <si>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</si>
  <si>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</si>
  <si>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</si>
  <si>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</si>
  <si>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</si>
  <si>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</si>
  <si>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</si>
  <si>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</si>
  <si>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</si>
  <si>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</si>
  <si>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</si>
  <si>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</si>
  <si>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</si>
  <si>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</si>
  <si>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</si>
  <si>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</si>
  <si>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</si>
  <si>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</si>
  <si>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</si>
  <si>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</si>
  <si>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</si>
  <si>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</si>
  <si>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</si>
  <si>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</si>
  <si>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</si>
  <si>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</si>
  <si>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</si>
  <si>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</si>
  <si>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</si>
  <si>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</si>
  <si>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</si>
  <si>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</si>
  <si>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</si>
  <si>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</si>
  <si>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</si>
  <si>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</si>
  <si>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</si>
  <si>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</si>
  <si>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</si>
  <si>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</si>
  <si>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</si>
  <si>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</si>
  <si>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</si>
  <si>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</si>
  <si>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</si>
  <si>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</si>
  <si>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</si>
  <si>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</si>
  <si>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</si>
  <si>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</si>
  <si>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</si>
  <si>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</si>
  <si>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</si>
  <si>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</si>
  <si>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</si>
  <si>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</si>
  <si>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</si>
  <si>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</si>
  <si>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</si>
  <si>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</si>
  <si>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</si>
  <si>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</si>
  <si>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</si>
  <si>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</si>
  <si>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</si>
  <si>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</si>
  <si>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</si>
  <si>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</si>
  <si>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</si>
  <si>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</si>
  <si>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</si>
  <si>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</si>
  <si>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</si>
  <si>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</si>
  <si>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</si>
  <si>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</si>
  <si>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</si>
  <si>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</si>
  <si>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</si>
  <si>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</si>
  <si>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</si>
  <si>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</si>
  <si>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</si>
  <si>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</si>
  <si>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</si>
  <si>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</si>
  <si>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</si>
  <si>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</si>
  <si>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</si>
  <si>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</si>
  <si>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</si>
  <si>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</si>
  <si>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</si>
  <si>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</si>
  <si>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</si>
  <si>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</si>
  <si>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</si>
  <si>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</si>
  <si>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</si>
  <si>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</si>
  <si>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</si>
  <si>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</si>
  <si>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</si>
  <si>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</si>
  <si>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</si>
  <si>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</si>
  <si>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</si>
  <si>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</si>
  <si>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</si>
  <si>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</si>
  <si>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</si>
  <si>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</si>
  <si>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</si>
  <si>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</si>
  <si>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</si>
  <si>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</si>
  <si>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</si>
  <si>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</si>
  <si>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</si>
  <si>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</si>
  <si>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</si>
  <si>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</si>
  <si>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</si>
  <si>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</si>
  <si>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</si>
  <si>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</si>
  <si>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</si>
  <si>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</si>
  <si>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</si>
  <si>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</si>
  <si>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</si>
  <si>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</si>
  <si>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</si>
  <si>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</si>
  <si>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</si>
  <si>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</si>
  <si>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</si>
  <si>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</si>
  <si>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</si>
  <si>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</si>
  <si>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</si>
  <si>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</si>
  <si>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</si>
  <si>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</si>
  <si>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</si>
  <si>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</si>
  <si>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</si>
  <si>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</si>
  <si>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</si>
  <si>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</si>
  <si>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</si>
  <si>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</si>
  <si>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</si>
  <si>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</si>
  <si>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</si>
  <si>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</si>
  <si>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</si>
  <si>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</si>
  <si>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</si>
  <si>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</si>
  <si>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</si>
  <si>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</si>
  <si>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</si>
  <si>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</si>
  <si>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</si>
  <si>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</si>
  <si>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</si>
  <si>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</si>
  <si>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</si>
  <si>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</si>
  <si>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</si>
  <si>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</si>
  <si>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</si>
  <si>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</si>
  <si>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</si>
  <si>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</si>
  <si>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</si>
  <si>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</si>
  <si>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</si>
  <si>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</si>
  <si>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</si>
  <si>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</si>
  <si>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</si>
  <si>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</si>
  <si>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</si>
  <si>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</si>
  <si>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</si>
  <si>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</si>
  <si>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</si>
  <si>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</si>
  <si>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</si>
  <si>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</si>
  <si>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</si>
  <si>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</si>
  <si>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</si>
  <si>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</si>
  <si>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</si>
  <si>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</si>
  <si>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</si>
  <si>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</si>
  <si>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</si>
  <si>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</si>
  <si>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</si>
  <si>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</si>
  <si>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</si>
  <si>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</si>
  <si>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</si>
  <si>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</si>
  <si>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</si>
  <si>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</si>
  <si>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</si>
  <si>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</si>
  <si>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</si>
  <si>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</si>
  <si>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</si>
  <si>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</si>
  <si>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</si>
  <si>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</si>
  <si>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</si>
  <si>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</si>
  <si>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</si>
  <si>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</si>
  <si>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</si>
  <si>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</si>
  <si>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</si>
  <si>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</si>
  <si>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</si>
  <si>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</si>
  <si>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</si>
  <si>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</si>
  <si>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</si>
  <si>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</si>
  <si>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</si>
  <si>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</si>
  <si>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</si>
  <si>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</si>
  <si>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</si>
  <si>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</si>
  <si>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</si>
  <si>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</si>
  <si>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</si>
  <si>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</si>
  <si>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</si>
  <si>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</si>
  <si>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</si>
  <si>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</si>
  <si>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</si>
  <si>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</si>
  <si>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</si>
  <si>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</si>
  <si>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</si>
  <si>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</si>
  <si>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</si>
  <si>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</si>
  <si>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</si>
  <si>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</si>
  <si>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</si>
  <si>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</si>
  <si>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</si>
  <si>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</si>
  <si>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</si>
  <si>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</si>
  <si>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</si>
  <si>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</si>
  <si>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</si>
  <si>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</si>
  <si>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</si>
  <si>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</si>
  <si>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</si>
  <si>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</si>
  <si>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</si>
  <si>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</si>
  <si>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</si>
  <si>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</si>
  <si>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</si>
  <si>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</si>
  <si>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</si>
  <si>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</si>
  <si>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</si>
  <si>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</si>
  <si>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</si>
  <si>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</si>
  <si>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</si>
  <si>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</si>
  <si>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</si>
  <si>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</si>
  <si>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</si>
  <si>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</si>
  <si>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</si>
  <si>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</si>
  <si>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</si>
  <si>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</si>
  <si>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</si>
  <si>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</si>
  <si>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</si>
  <si>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</si>
  <si>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</si>
  <si>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</si>
  <si>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</si>
  <si>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</si>
  <si>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</si>
  <si>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</si>
  <si>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</si>
  <si>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</si>
  <si>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</si>
  <si>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</si>
  <si>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</si>
  <si>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</si>
  <si>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</si>
  <si>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</si>
  <si>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</si>
  <si>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</si>
  <si>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</si>
  <si>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</si>
  <si>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</si>
  <si>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</si>
  <si>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</si>
  <si>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</si>
  <si>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</si>
  <si>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</si>
  <si>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</si>
  <si>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</si>
  <si>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</si>
  <si>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</si>
  <si>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</si>
  <si>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</si>
  <si>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</si>
  <si>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</si>
  <si>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</si>
  <si>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</si>
  <si>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</si>
  <si>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</si>
  <si>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</si>
  <si>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</si>
  <si>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</si>
  <si>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</si>
  <si>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</si>
  <si>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</si>
  <si>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</si>
  <si>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</si>
  <si>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</si>
  <si>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</si>
  <si>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</si>
  <si>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</si>
  <si>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</si>
  <si>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</si>
  <si>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</si>
  <si>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</si>
  <si>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</si>
  <si>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</si>
  <si>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</si>
  <si>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</si>
  <si>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</si>
  <si>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</si>
  <si>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</si>
  <si>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</si>
  <si>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</si>
  <si>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</si>
  <si>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</si>
  <si>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</si>
  <si>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</si>
  <si>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</si>
  <si>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</si>
  <si>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</si>
  <si>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</si>
  <si>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</si>
  <si>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</si>
  <si>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</si>
  <si>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</si>
  <si>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</si>
  <si>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</si>
  <si>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</si>
  <si>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</si>
  <si>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</si>
  <si>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</si>
  <si>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</si>
  <si>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</si>
  <si>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</si>
  <si>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</si>
  <si>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</si>
  <si>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</si>
  <si>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</si>
  <si>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</si>
  <si>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</si>
  <si>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</si>
  <si>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</si>
  <si>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</si>
  <si>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</si>
  <si>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</si>
  <si>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</si>
  <si>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</si>
  <si>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</si>
  <si>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</si>
  <si>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</si>
  <si>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</si>
  <si>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</si>
  <si>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</si>
  <si>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</si>
  <si>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</si>
  <si>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</si>
  <si>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</si>
  <si>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</si>
  <si>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</si>
  <si>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</si>
  <si>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</si>
  <si>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</si>
  <si>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</si>
  <si>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</si>
  <si>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</si>
  <si>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</si>
  <si>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</si>
  <si>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</si>
  <si>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</si>
  <si>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</si>
  <si>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</si>
  <si>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</si>
  <si>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</si>
  <si>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</si>
  <si>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</si>
  <si>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</si>
  <si>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</si>
  <si>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</si>
  <si>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</si>
  <si>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</si>
  <si>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</si>
  <si>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</si>
  <si>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</si>
  <si>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</si>
  <si>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</si>
  <si>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</si>
  <si>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</si>
  <si>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</si>
  <si>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</si>
  <si>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</si>
  <si>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</si>
  <si>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</si>
  <si>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</si>
  <si>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</si>
  <si>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</si>
  <si>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</si>
  <si>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</si>
  <si>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</si>
  <si>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</si>
  <si>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</si>
  <si>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</si>
  <si>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</si>
  <si>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</si>
  <si>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</si>
  <si>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</si>
  <si>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</si>
  <si>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</si>
  <si>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</si>
  <si>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</si>
  <si>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</si>
  <si>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</si>
  <si>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</si>
  <si>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</si>
  <si>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</si>
  <si>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</si>
  <si>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</si>
  <si>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</si>
  <si>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</si>
  <si>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</si>
  <si>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</si>
  <si>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</si>
  <si>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</si>
  <si>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</si>
  <si>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</si>
  <si>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</si>
  <si>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</si>
  <si>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</si>
  <si>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</si>
  <si>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</si>
  <si>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</si>
  <si>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</si>
  <si>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</si>
  <si>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</si>
  <si>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</si>
  <si>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</si>
  <si>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</si>
  <si>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</si>
  <si>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</si>
  <si>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</si>
  <si>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</si>
  <si>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</si>
  <si>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</si>
  <si>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</si>
  <si>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</si>
  <si>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</si>
  <si>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</si>
  <si>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</si>
  <si>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</si>
  <si>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</si>
  <si>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</si>
  <si>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</si>
  <si>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</si>
  <si>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</si>
  <si>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</si>
  <si>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</si>
  <si>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</si>
  <si>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</si>
  <si>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</si>
  <si>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</si>
  <si>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</si>
  <si>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</si>
  <si>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</si>
  <si>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</si>
  <si>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</si>
  <si>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</si>
  <si>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</si>
  <si>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</si>
  <si>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</si>
  <si>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</si>
  <si>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</si>
  <si>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</si>
  <si>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</si>
  <si>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</si>
  <si>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</si>
  <si>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</si>
  <si>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</si>
  <si>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</si>
  <si>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</si>
  <si>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</si>
  <si>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</si>
  <si>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</si>
  <si>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</si>
  <si>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</si>
  <si>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</si>
  <si>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</si>
  <si>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</si>
  <si>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</si>
  <si>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</si>
  <si>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</si>
  <si>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</si>
  <si>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</si>
  <si>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</si>
  <si>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</si>
  <si>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</si>
  <si>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</si>
  <si>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</si>
  <si>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</si>
  <si>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</si>
  <si>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</si>
  <si>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</si>
  <si>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</si>
  <si>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</si>
  <si>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</si>
  <si>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</si>
  <si>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</si>
  <si>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</si>
  <si>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</si>
  <si>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</si>
  <si>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</si>
  <si>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</si>
  <si>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</si>
  <si>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</si>
  <si>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</si>
  <si>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</si>
  <si>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</si>
  <si>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</si>
  <si>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</si>
  <si>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</si>
  <si>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</si>
  <si>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</si>
  <si>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</si>
  <si>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</si>
  <si>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</si>
  <si>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</si>
  <si>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</si>
  <si>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</si>
  <si>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</si>
  <si>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</si>
  <si>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</si>
  <si>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</si>
  <si>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</si>
  <si>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</si>
  <si>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</si>
  <si>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</si>
  <si>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</si>
  <si>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</si>
  <si>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</si>
  <si>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</si>
  <si>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</si>
  <si>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</si>
  <si>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</si>
  <si>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</si>
  <si>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</si>
  <si>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</si>
  <si>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</si>
  <si>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</si>
  <si>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</si>
  <si>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</si>
  <si>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</si>
  <si>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</si>
  <si>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</si>
  <si>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</si>
  <si>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</si>
  <si>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</si>
  <si>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</si>
  <si>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</si>
  <si>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</si>
  <si>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</si>
  <si>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</si>
  <si>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</si>
  <si>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</si>
  <si>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</si>
  <si>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</si>
  <si>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</si>
  <si>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</si>
  <si>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</si>
  <si>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</si>
  <si>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</si>
  <si>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</si>
  <si>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</si>
  <si>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</si>
  <si>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</si>
  <si>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</si>
  <si>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</si>
  <si>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</si>
  <si>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</si>
  <si>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</si>
  <si>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</si>
  <si>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</si>
  <si>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</si>
  <si>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</si>
  <si>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</si>
  <si>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</si>
  <si>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</si>
  <si>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</si>
  <si>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</si>
  <si>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</si>
  <si>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</si>
  <si>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</si>
  <si>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</si>
  <si>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</si>
  <si>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</si>
  <si>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</si>
  <si>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</si>
  <si>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</si>
  <si>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</si>
  <si>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</si>
  <si>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</si>
  <si>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</si>
  <si>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</si>
  <si>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</si>
  <si>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</si>
  <si>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</si>
  <si>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</si>
  <si>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</si>
  <si>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</si>
  <si>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</si>
  <si>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</si>
  <si>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</si>
  <si>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</si>
  <si>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</si>
  <si>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</si>
  <si>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</si>
  <si>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</si>
  <si>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</si>
  <si>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</si>
  <si>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</si>
  <si>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</si>
  <si>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</si>
  <si>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</si>
  <si>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</si>
  <si>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</si>
  <si>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</si>
  <si>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</si>
  <si>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</si>
  <si>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</si>
  <si>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</si>
  <si>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</si>
  <si>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</si>
  <si>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</si>
  <si>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</si>
  <si>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</si>
  <si>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</si>
  <si>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</si>
  <si>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</si>
  <si>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</si>
  <si>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</si>
  <si>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</si>
  <si>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</si>
  <si>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</si>
  <si>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</si>
  <si>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</si>
  <si>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</si>
  <si>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</si>
  <si>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</si>
  <si>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</si>
  <si>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</si>
  <si>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</si>
  <si>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</si>
  <si>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</si>
  <si>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</si>
  <si>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</si>
  <si>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</si>
  <si>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</si>
  <si>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</si>
  <si>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</si>
  <si>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</si>
  <si>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</si>
  <si>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</si>
  <si>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</si>
  <si>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</si>
  <si>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</si>
  <si>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</si>
  <si>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</si>
  <si>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</si>
  <si>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</si>
  <si>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</si>
  <si>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</si>
  <si>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</si>
  <si>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</si>
  <si>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</si>
  <si>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</si>
  <si>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</si>
  <si>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</si>
  <si>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</si>
  <si>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</si>
  <si>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</si>
  <si>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</si>
  <si>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</si>
  <si>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</si>
  <si>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</si>
  <si>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</si>
  <si>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</si>
  <si>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</si>
  <si>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</si>
  <si>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</si>
  <si>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</si>
  <si>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</si>
  <si>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</si>
  <si>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</si>
  <si>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</si>
  <si>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</si>
  <si>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</si>
  <si>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</si>
  <si>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</si>
  <si>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</si>
  <si>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</si>
  <si>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</si>
  <si>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</si>
  <si>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</si>
  <si>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</si>
  <si>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</si>
  <si>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</si>
  <si>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</si>
  <si>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</si>
  <si>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</si>
  <si>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</si>
  <si>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</si>
  <si>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</si>
  <si>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</si>
  <si>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</si>
  <si>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</si>
  <si>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</si>
  <si>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</si>
  <si>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</si>
  <si>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</si>
  <si>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</si>
  <si>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</si>
  <si>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</si>
  <si>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</si>
  <si>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</si>
  <si>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</si>
  <si>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</si>
  <si>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</si>
  <si>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</si>
  <si>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</si>
  <si>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</si>
  <si>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</si>
  <si>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</si>
  <si>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</si>
  <si>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</si>
  <si>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</si>
  <si>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</si>
  <si>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</si>
  <si>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</si>
  <si>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</si>
  <si>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</si>
  <si>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</si>
  <si>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</si>
  <si>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</si>
  <si>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</si>
  <si>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</si>
  <si>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</si>
  <si>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</si>
  <si>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</si>
  <si>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</si>
  <si>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</si>
  <si>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</si>
  <si>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</si>
  <si>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</si>
  <si>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</si>
  <si>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</si>
  <si>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</si>
  <si>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</si>
  <si>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</si>
  <si>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</si>
  <si>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</si>
  <si>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</si>
  <si>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</si>
  <si>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</si>
  <si>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</si>
  <si>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</si>
  <si>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</si>
  <si>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</si>
  <si>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</si>
  <si>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</si>
  <si>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</si>
  <si>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</si>
  <si>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</si>
  <si>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</si>
  <si>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</si>
  <si>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</si>
  <si>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</si>
  <si>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</si>
  <si>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</si>
  <si>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</si>
  <si>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</si>
  <si>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</si>
  <si>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</si>
  <si>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</si>
  <si>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</si>
  <si>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</si>
  <si>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</si>
  <si>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</si>
  <si>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</si>
  <si>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</si>
  <si>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</si>
  <si>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</si>
  <si>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</si>
  <si>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</si>
  <si>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</si>
  <si>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</si>
  <si>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</si>
  <si>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</si>
  <si>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</si>
  <si>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</si>
  <si>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</si>
  <si>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</si>
  <si>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</si>
  <si>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</si>
  <si>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</si>
  <si>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</si>
  <si>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</si>
  <si>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</si>
  <si>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</si>
  <si>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</si>
  <si>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</si>
  <si>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</si>
  <si>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</si>
  <si>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</si>
  <si>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</si>
  <si>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</si>
  <si>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</si>
  <si>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</si>
  <si>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</si>
  <si>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</si>
  <si>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</si>
  <si>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</si>
  <si>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</si>
  <si>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</si>
  <si>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</si>
  <si>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</si>
  <si>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</si>
  <si>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</si>
  <si>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</si>
  <si>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</si>
  <si>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</si>
  <si>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</si>
  <si>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</si>
  <si>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</si>
  <si>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</si>
  <si>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</si>
  <si>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</si>
  <si>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</si>
  <si>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</si>
  <si>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</si>
  <si>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</si>
  <si>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</si>
  <si>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</si>
  <si>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</si>
  <si>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</si>
  <si>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</si>
  <si>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</si>
  <si>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</si>
  <si>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</si>
  <si>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</si>
  <si>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</si>
  <si>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</si>
  <si>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</si>
  <si>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</si>
  <si>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</si>
  <si>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</si>
  <si>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</si>
  <si>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</si>
  <si>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</si>
  <si>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</si>
  <si>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</si>
  <si>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</si>
  <si>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</si>
  <si>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</si>
  <si>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</si>
  <si>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</si>
  <si>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</si>
  <si>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</si>
  <si>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</si>
  <si>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</si>
  <si>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</si>
  <si>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</si>
  <si>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</si>
  <si>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</si>
  <si>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</si>
  <si>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</si>
  <si>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</si>
  <si>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</si>
  <si>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</si>
  <si>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</si>
  <si>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</si>
  <si>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</si>
  <si>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</si>
  <si>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</si>
  <si>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</si>
  <si>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</si>
  <si>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</si>
  <si>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</si>
  <si>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</si>
  <si>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</si>
  <si>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</si>
  <si>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</si>
  <si>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</si>
  <si>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</si>
  <si>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</si>
  <si>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</si>
  <si>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</si>
  <si>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</si>
  <si>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</si>
  <si>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</si>
  <si>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</si>
  <si>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</si>
  <si>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</si>
  <si>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</si>
  <si>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</si>
  <si>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</si>
  <si>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</si>
  <si>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</si>
  <si>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</si>
  <si>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</si>
  <si>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</si>
  <si>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</si>
  <si>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</si>
  <si>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</si>
  <si>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</si>
  <si>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</si>
  <si>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</si>
  <si>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</si>
  <si>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</si>
  <si>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</si>
  <si>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</si>
  <si>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</si>
  <si>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</si>
  <si>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</si>
  <si>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</si>
  <si>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</si>
  <si>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</si>
  <si>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</si>
  <si>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</si>
  <si>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</si>
  <si>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</si>
  <si>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</si>
  <si>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</si>
  <si>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</si>
  <si>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</si>
  <si>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</si>
  <si>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</si>
  <si>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</si>
  <si>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</si>
  <si>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</si>
  <si>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</si>
  <si>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</si>
  <si>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</si>
  <si>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</si>
  <si>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</si>
  <si>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</si>
  <si>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</si>
  <si>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</si>
  <si>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</si>
  <si>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</si>
  <si>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</si>
  <si>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</si>
  <si>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</si>
  <si>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</si>
  <si>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</si>
  <si>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</si>
  <si>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</si>
  <si>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</si>
  <si>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</si>
  <si>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</si>
  <si>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</si>
  <si>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</si>
  <si>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</si>
  <si>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</si>
  <si>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</si>
  <si>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</si>
  <si>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</si>
  <si>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</si>
  <si>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</si>
  <si>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</si>
  <si>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</si>
  <si>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</si>
  <si>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</si>
  <si>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</si>
  <si>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</si>
  <si>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</si>
  <si>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</si>
  <si>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</si>
  <si>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</si>
  <si>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</si>
  <si>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</si>
  <si>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</si>
  <si>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</si>
  <si>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</si>
  <si>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</si>
  <si>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</si>
  <si>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</si>
  <si>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</si>
  <si>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</si>
  <si>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</si>
  <si>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</si>
  <si>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</si>
  <si>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</si>
  <si>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</si>
  <si>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</si>
  <si>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</si>
  <si>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</si>
  <si>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</si>
  <si>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</si>
  <si>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</si>
  <si>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</si>
  <si>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</si>
  <si>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</si>
  <si>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</si>
  <si>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</si>
  <si>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</si>
  <si>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</si>
  <si>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</si>
  <si>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</si>
  <si>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</si>
  <si>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</si>
  <si>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</si>
  <si>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</si>
  <si>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</si>
  <si>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</si>
  <si>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</si>
  <si>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</si>
  <si>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</si>
  <si>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</si>
  <si>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</si>
  <si>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</si>
  <si>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</si>
  <si>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</si>
  <si>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</si>
  <si>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</si>
  <si>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</si>
  <si>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</si>
  <si>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</si>
  <si>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</si>
  <si>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</si>
  <si>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</si>
  <si>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</si>
  <si>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</si>
  <si>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</si>
  <si>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</si>
  <si>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</si>
  <si>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</si>
  <si>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</si>
  <si>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</si>
  <si>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</si>
  <si>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</si>
  <si>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</si>
  <si>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</si>
  <si>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</si>
  <si>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</si>
  <si>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</si>
  <si>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</si>
  <si>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</si>
  <si>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</si>
  <si>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</si>
  <si>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</si>
  <si>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</si>
  <si>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</si>
  <si>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</si>
  <si>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</si>
  <si>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</si>
  <si>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</si>
  <si>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</si>
  <si>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</si>
  <si>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</si>
  <si>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</si>
  <si>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</si>
  <si>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</si>
  <si>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</si>
  <si>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</si>
  <si>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</si>
  <si>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</si>
  <si>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</si>
  <si>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</si>
  <si>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</si>
  <si>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</si>
  <si>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</si>
  <si>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</si>
  <si>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</si>
  <si>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</si>
  <si>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</si>
  <si>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</si>
  <si>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</si>
  <si>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</si>
  <si>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</si>
  <si>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</si>
  <si>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</si>
  <si>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</si>
  <si>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</si>
  <si>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</si>
  <si>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</si>
  <si>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</si>
  <si>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</si>
  <si>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</si>
  <si>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</si>
  <si>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</si>
  <si>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</si>
  <si>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</si>
  <si>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</si>
  <si>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</si>
  <si>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</si>
  <si>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</si>
  <si>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</si>
  <si>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</si>
  <si>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</si>
  <si>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</si>
  <si>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</si>
  <si>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</si>
  <si>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</si>
  <si>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</si>
  <si>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</si>
  <si>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</si>
  <si>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</si>
  <si>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</si>
  <si>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</si>
  <si>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</si>
  <si>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</si>
  <si>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</si>
  <si>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</si>
  <si>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</si>
  <si>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</si>
  <si>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</si>
  <si>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</si>
  <si>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</si>
  <si>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</si>
  <si>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</si>
  <si>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</si>
  <si>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</si>
  <si>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</si>
  <si>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</si>
  <si>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</si>
  <si>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</si>
  <si>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</si>
  <si>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</si>
  <si>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</si>
  <si>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</si>
  <si>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</si>
  <si>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</si>
  <si>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</si>
  <si>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</si>
  <si>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</si>
  <si>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</si>
  <si>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</si>
  <si>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</si>
  <si>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</si>
  <si>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</si>
  <si>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</si>
  <si>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</si>
  <si>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</si>
  <si>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</si>
  <si>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</si>
  <si>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</si>
  <si>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</si>
  <si>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</si>
  <si>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</si>
  <si>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</si>
  <si>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</si>
  <si>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</si>
  <si>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</si>
  <si>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</si>
  <si>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</si>
  <si>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</si>
  <si>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</si>
  <si>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</si>
  <si>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</si>
  <si>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</si>
  <si>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</si>
  <si>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</si>
  <si>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</si>
  <si>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</si>
  <si>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</si>
  <si>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</si>
  <si>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</si>
  <si>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</si>
  <si>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</si>
  <si>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</si>
  <si>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</si>
  <si>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</si>
  <si>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</si>
  <si>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</si>
  <si>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</si>
  <si>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</si>
  <si>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</si>
  <si>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</si>
  <si>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</si>
  <si>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</si>
  <si>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</si>
  <si>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</si>
  <si>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</si>
  <si>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</si>
  <si>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</si>
  <si>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</si>
  <si>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</si>
  <si>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</si>
  <si>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</si>
  <si>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</si>
  <si>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</si>
  <si>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</si>
  <si>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</si>
  <si>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</si>
  <si>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</si>
  <si>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</si>
  <si>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</si>
  <si>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</si>
  <si>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</si>
  <si>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</si>
  <si>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</si>
  <si>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</si>
  <si>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</si>
  <si>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</si>
  <si>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</si>
  <si>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</si>
  <si>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</si>
  <si>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</si>
  <si>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</si>
  <si>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</si>
  <si>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</si>
  <si>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</si>
  <si>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</si>
  <si>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</si>
  <si>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</si>
  <si>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</si>
  <si>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</si>
  <si>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</si>
  <si>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</si>
  <si>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</si>
  <si>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</si>
  <si>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</si>
  <si>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</si>
  <si>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</si>
  <si>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</si>
  <si>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</si>
  <si>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</si>
  <si>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</si>
  <si>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</si>
  <si>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</si>
  <si>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</si>
  <si>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</si>
  <si>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</si>
  <si>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</si>
  <si>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</si>
  <si>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</si>
  <si>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</si>
  <si>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</si>
  <si>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</si>
  <si>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</si>
  <si>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</si>
  <si>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</si>
  <si>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</si>
  <si>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</si>
  <si>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</si>
  <si>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</si>
  <si>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</si>
  <si>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</si>
  <si>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</si>
  <si>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</si>
  <si>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</si>
  <si>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</si>
  <si>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</si>
  <si>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</si>
  <si>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</si>
  <si>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</si>
  <si>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</si>
  <si>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</si>
  <si>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</si>
  <si>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</si>
  <si>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</si>
  <si>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</si>
  <si>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</si>
  <si>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</si>
  <si>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</si>
  <si>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</si>
  <si>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</si>
  <si>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</si>
  <si>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</si>
  <si>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</si>
  <si>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</si>
  <si>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</si>
  <si>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</si>
  <si>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</si>
  <si>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</si>
  <si>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</si>
  <si>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</si>
  <si>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</si>
  <si>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</si>
  <si>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</si>
  <si>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</si>
  <si>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</si>
  <si>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</si>
  <si>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</si>
  <si>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</si>
  <si>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</si>
  <si>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</si>
  <si>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</si>
  <si>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</si>
  <si>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</si>
  <si>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</si>
  <si>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</si>
  <si>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</si>
  <si>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</si>
  <si>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</si>
  <si>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</si>
  <si>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</si>
  <si>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</si>
  <si>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</si>
  <si>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</si>
  <si>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</si>
  <si>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</si>
  <si>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</si>
  <si>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</si>
  <si>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</si>
  <si>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</si>
  <si>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</si>
  <si>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</si>
  <si>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</si>
  <si>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</si>
  <si>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</si>
  <si>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</si>
  <si>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</si>
  <si>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</si>
  <si>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</si>
  <si>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</si>
  <si>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</si>
  <si>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</si>
  <si>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</si>
  <si>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</si>
  <si>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</si>
  <si>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</si>
  <si>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</si>
  <si>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</si>
  <si>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</si>
  <si>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</si>
  <si>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</si>
  <si>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</si>
  <si>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</si>
  <si>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</si>
  <si>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</si>
  <si>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</si>
  <si>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</si>
  <si>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</si>
  <si>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</si>
  <si>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</si>
  <si>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</si>
  <si>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</si>
  <si>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</si>
  <si>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</si>
  <si>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</si>
  <si>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</si>
  <si>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</si>
  <si>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</si>
  <si>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</si>
  <si>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</si>
  <si>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</si>
  <si>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</si>
  <si>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</si>
  <si>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</si>
  <si>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</si>
  <si>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</si>
  <si>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</si>
  <si>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</si>
  <si>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</si>
  <si>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</si>
  <si>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</si>
  <si>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</si>
  <si>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</si>
  <si>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</si>
  <si>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</si>
  <si>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</si>
  <si>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</si>
  <si>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</si>
  <si>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</si>
  <si>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</si>
  <si>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</si>
  <si>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</si>
  <si>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</si>
  <si>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</si>
  <si>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</si>
  <si>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</si>
  <si>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</si>
  <si>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</si>
  <si>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</si>
  <si>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</si>
  <si>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</si>
  <si>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</si>
  <si>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</si>
  <si>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</si>
  <si>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</si>
  <si>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</si>
  <si>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</si>
  <si>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</si>
  <si>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</si>
  <si>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</si>
  <si>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</si>
  <si>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</si>
  <si>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</si>
  <si>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</si>
  <si>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</si>
  <si>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</si>
  <si>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</si>
  <si>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</si>
  <si>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</si>
  <si>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</si>
  <si>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</si>
  <si>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</si>
  <si>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</si>
  <si>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</si>
  <si>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</si>
  <si>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</si>
  <si>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</si>
  <si>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</si>
  <si>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</si>
  <si>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</si>
  <si>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</si>
  <si>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</si>
  <si>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</si>
  <si>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</si>
  <si>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</si>
  <si>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</si>
  <si>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</si>
  <si>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</si>
  <si>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</si>
  <si>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</si>
  <si>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</si>
  <si>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</si>
  <si>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</si>
  <si>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</si>
  <si>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</si>
  <si>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</si>
  <si>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</si>
  <si>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</si>
  <si>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</si>
  <si>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</si>
  <si>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</si>
  <si>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</si>
  <si>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</si>
  <si>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</si>
  <si>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</si>
  <si>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</si>
  <si>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</si>
  <si>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</si>
  <si>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</si>
  <si>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</si>
  <si>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</si>
  <si>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</si>
  <si>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</si>
  <si>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</si>
  <si>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</si>
  <si>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</si>
  <si>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</si>
  <si>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</si>
  <si>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</si>
  <si>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</si>
  <si>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</si>
  <si>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</si>
  <si>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</si>
  <si>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</si>
  <si>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</si>
  <si>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</si>
  <si>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</si>
  <si>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</si>
  <si>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</si>
  <si>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</si>
  <si>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</si>
  <si>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</si>
  <si>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</si>
  <si>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</si>
  <si>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</si>
  <si>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</si>
  <si>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</si>
  <si>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</si>
  <si>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</si>
  <si>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</si>
  <si>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</si>
  <si>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</si>
  <si>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</si>
  <si>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</si>
  <si>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</si>
  <si>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</si>
  <si>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</si>
  <si>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</si>
  <si>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</si>
  <si>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</si>
  <si>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</si>
  <si>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</si>
  <si>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</si>
  <si>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</si>
  <si>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</si>
  <si>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</si>
  <si>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</si>
  <si>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</si>
  <si>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</si>
  <si>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</si>
  <si>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</si>
  <si>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</si>
  <si>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</si>
  <si>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</si>
  <si>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</si>
  <si>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</si>
  <si>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</si>
  <si>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</si>
  <si>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</si>
  <si>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</si>
  <si>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</si>
  <si>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</si>
  <si>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</si>
  <si>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</si>
  <si>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</si>
  <si>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</si>
  <si>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</si>
  <si>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</si>
  <si>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</si>
  <si>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</si>
  <si>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</si>
  <si>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</si>
  <si>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</si>
  <si>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</si>
  <si>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</si>
  <si>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</si>
  <si>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</si>
  <si>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</si>
  <si>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</si>
  <si>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</si>
  <si>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</si>
  <si>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</si>
  <si>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</si>
  <si>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</si>
  <si>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</si>
  <si>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</si>
  <si>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</si>
  <si>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</si>
  <si>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</si>
  <si>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</si>
  <si>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</si>
  <si>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</si>
  <si>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</si>
  <si>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</si>
  <si>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</si>
  <si>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</si>
  <si>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</si>
  <si>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</si>
  <si>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</si>
  <si>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</si>
  <si>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</si>
  <si>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</si>
  <si>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</si>
  <si>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</si>
  <si>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</si>
  <si>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</si>
  <si>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</si>
  <si>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</si>
  <si>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</si>
  <si>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</si>
  <si>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</si>
  <si>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</si>
  <si>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</si>
  <si>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</si>
  <si>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</si>
  <si>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</si>
  <si>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</si>
  <si>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</si>
  <si>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</si>
  <si>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</si>
  <si>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</si>
  <si>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</si>
  <si>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</si>
  <si>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</si>
  <si>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</si>
  <si>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</si>
  <si>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</si>
  <si>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</si>
  <si>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</si>
  <si>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</si>
  <si>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</si>
  <si>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</si>
  <si>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</si>
  <si>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</si>
  <si>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</si>
  <si>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</si>
  <si>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</si>
  <si>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</si>
  <si>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</si>
  <si>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</si>
  <si>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</si>
  <si>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</si>
  <si>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</si>
  <si>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</si>
  <si>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</si>
  <si>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</si>
  <si>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</si>
  <si>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</si>
  <si>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</si>
  <si>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</si>
  <si>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</si>
  <si>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</si>
  <si>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</si>
  <si>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</si>
  <si>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</si>
  <si>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</si>
  <si>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</si>
  <si>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</si>
  <si>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</si>
  <si>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章節通行證</t>
  </si>
  <si>
    <t>高塔通行證</t>
  </si>
  <si>
    <t>成長通行證</t>
  </si>
  <si>
    <t>黃金禮包</t>
  </si>
  <si>
    <t>舊黃金禮包</t>
  </si>
  <si>
    <t>S級英雄升級禮包</t>
  </si>
  <si>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</si>
  <si>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</si>
  <si>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</si>
  <si>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</si>
  <si>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</si>
  <si>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</si>
  <si>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</si>
  <si>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</si>
  <si>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</si>
  <si>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</si>
  <si>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</si>
  <si>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</si>
  <si>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</si>
  <si>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</si>
  <si>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</si>
  <si>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</si>
  <si>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</si>
  <si>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</si>
  <si>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</si>
  <si>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</si>
  <si>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</si>
  <si>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</si>
  <si>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</si>
  <si>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</si>
  <si>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</si>
  <si>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</si>
  <si>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</si>
  <si>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</si>
  <si>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</si>
  <si>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</si>
  <si>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</si>
  <si>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</si>
  <si>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</si>
  <si>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</si>
  <si>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</si>
  <si>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</si>
  <si>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</si>
  <si>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</si>
  <si>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</si>
  <si>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</si>
  <si>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</si>
  <si>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</si>
  <si>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</si>
  <si>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</si>
  <si>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</si>
  <si>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</si>
  <si>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</si>
  <si>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</si>
  <si>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</si>
  <si>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</si>
  <si>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</si>
  <si>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</si>
  <si>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</si>
  <si>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</si>
  <si>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</si>
  <si>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</si>
  <si>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</si>
  <si>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680星鑽</t>
  </si>
  <si>
    <t>去廣告月卡</t>
  </si>
  <si>
    <t>金幣月卡</t>
  </si>
  <si>
    <t>尊爵通行證</t>
  </si>
  <si>
    <t>99.99美金禮包</t>
  </si>
  <si>
    <t>49.99美金禮包</t>
  </si>
  <si>
    <t>29.99美金禮包</t>
  </si>
  <si>
    <t>19.99美金禮包</t>
  </si>
  <si>
    <t>14.99美金禮包</t>
  </si>
  <si>
    <t>9.99美金禮包</t>
  </si>
  <si>
    <t>4.99美金禮包</t>
  </si>
  <si>
    <t>0.99美金禮包</t>
  </si>
  <si>
    <t>2300台幣禮包</t>
  </si>
  <si>
    <t>1100台幣禮包</t>
  </si>
  <si>
    <t>650台幣禮包</t>
  </si>
  <si>
    <t>360台幣禮包</t>
  </si>
  <si>
    <t>WITHU2ND</t>
    <phoneticPr fontId="2" type="noConversion"/>
  </si>
  <si>
    <t>JJAZAN</t>
    <phoneticPr fontId="2" type="noConversion"/>
  </si>
  <si>
    <t>HAPPY2GETHER</t>
    <phoneticPr fontId="2" type="noConversion"/>
  </si>
  <si>
    <t>2YEARGIFT</t>
    <phoneticPr fontId="2" type="noConversion"/>
  </si>
  <si>
    <t>韓服</t>
    <phoneticPr fontId="2" type="noConversion"/>
  </si>
  <si>
    <t>5MANCAFE</t>
    <phoneticPr fontId="2" type="noConversion"/>
  </si>
  <si>
    <t>OPENTHEBAK</t>
    <phoneticPr fontId="2" type="noConversion"/>
  </si>
  <si>
    <t>HANGAWIGIFT</t>
    <phoneticPr fontId="2" type="noConversion"/>
  </si>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</sst>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9">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printerSettings" Target="../printerSettings/printerSettings1.bin"/><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9"/>
  <sheetViews>
    <sheetView zoomScaleNormal="100" workbookViewId="0">
      <pane xSplit="1" ySplit="1" topLeftCell="B177" activePane="bottomRight" state="frozen"/>
      <selection pane="topRight" activeCell="B1" sqref="B1"/>
      <selection pane="bottomLeft" activeCell="A2" sqref="A2"/>
      <selection pane="bottomRight" activeCell="A190" sqref="A1:A1048576"/>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1"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1"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1"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5"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1"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1"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1"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1" ht="22.5" customHeight="1" thickBot="1">
      <c r="A263" s="69" t="s">
        <v>4808</v>
      </c>
      <c r="C263" s="5" t="s">
        <v>4807</v>
      </c>
      <c r="D263" s="4" t="s">
        <v>4807</v>
      </c>
      <c r="E263" s="4" t="s">
        <v>4809</v>
      </c>
      <c r="F263" s="41" t="str">
        <f t="shared" si="10"/>
        <v>https://www.ssbuy.tw/detail_giftcode/dist/giftcodes/Elysia：星空墜落.html</v>
      </c>
      <c r="G263" s="4" t="s">
        <v>4810</v>
      </c>
      <c r="H263" s="41" t="str">
        <f t="shared" si="11"/>
        <v>https://www.ssbuy.tw/detail_giftcode/dist/gamedetail/Elysia：星空墜落.html</v>
      </c>
      <c r="I263" s="42" t="s">
        <v>4811</v>
      </c>
      <c r="J263" s="1" t="s">
        <v>4801</v>
      </c>
      <c r="K263" s="72">
        <v>624</v>
      </c>
      <c r="L263" s="1" t="s">
        <v>4802</v>
      </c>
      <c r="M263" s="72">
        <v>624</v>
      </c>
      <c r="N263" s="1" t="s">
        <v>4803</v>
      </c>
      <c r="O263" s="72">
        <v>624</v>
      </c>
      <c r="P263" s="1" t="s">
        <v>4804</v>
      </c>
      <c r="Q263" s="72">
        <v>128</v>
      </c>
      <c r="R263" s="1" t="s">
        <v>4805</v>
      </c>
      <c r="S263" s="72">
        <v>256</v>
      </c>
      <c r="T263" s="1" t="s">
        <v>4806</v>
      </c>
      <c r="U263" s="72">
        <v>552</v>
      </c>
    </row>
    <row r="264" spans="1:31" ht="22.5" customHeight="1" thickBot="1">
      <c r="A264" s="72" t="s">
        <v>4837</v>
      </c>
      <c r="E264" s="4" t="s">
        <v>4844</v>
      </c>
      <c r="F264" s="41" t="str">
        <f t="shared" si="10"/>
        <v>https://www.ssbuy.tw/detail_giftcode/dist/giftcodes/合併貓鎮.html</v>
      </c>
      <c r="G264" s="4" t="s">
        <v>4843</v>
      </c>
      <c r="H264" s="41" t="str">
        <f t="shared" si="11"/>
        <v>https://www.ssbuy.tw/detail_giftcode/dist/gamedetail/合併貓鎮.html</v>
      </c>
      <c r="I264" s="42" t="s">
        <v>4858</v>
      </c>
      <c r="J264" s="47" t="s">
        <v>4840</v>
      </c>
      <c r="K264" s="41" t="s">
        <v>4841</v>
      </c>
    </row>
    <row r="265" spans="1:31" ht="22.5" customHeight="1" thickBot="1">
      <c r="A265" s="72" t="s">
        <v>4838</v>
      </c>
      <c r="C265" s="5" t="s">
        <v>4845</v>
      </c>
      <c r="D265" s="4" t="s">
        <v>4847</v>
      </c>
      <c r="E265" s="4" t="s">
        <v>4848</v>
      </c>
      <c r="F265" s="41" t="str">
        <f t="shared" si="10"/>
        <v>https://www.ssbuy.tw/detail_giftcode/dist/giftcodes/幻牌交鋒.html</v>
      </c>
      <c r="G265" s="4" t="s">
        <v>4849</v>
      </c>
      <c r="H265" s="41" t="str">
        <f t="shared" si="11"/>
        <v>https://www.ssbuy.tw/detail_giftcode/dist/gamedetail/幻牌交鋒.html</v>
      </c>
      <c r="I265" t="s">
        <v>4859</v>
      </c>
      <c r="J265" s="1" t="s">
        <v>4862</v>
      </c>
      <c r="K265" s="72">
        <v>2371</v>
      </c>
      <c r="L265" s="1" t="s">
        <v>4863</v>
      </c>
      <c r="M265" s="72">
        <v>1204</v>
      </c>
      <c r="N265" s="1" t="s">
        <v>1432</v>
      </c>
      <c r="O265" s="72">
        <v>807</v>
      </c>
      <c r="P265" s="1" t="s">
        <v>1433</v>
      </c>
      <c r="Q265" s="72">
        <v>400</v>
      </c>
      <c r="R265" s="1" t="s">
        <v>4864</v>
      </c>
      <c r="S265" s="72">
        <v>269</v>
      </c>
      <c r="T265" s="1" t="s">
        <v>1434</v>
      </c>
      <c r="U265" s="72">
        <v>145</v>
      </c>
      <c r="V265" s="1" t="s">
        <v>4865</v>
      </c>
      <c r="W265" s="72">
        <v>145</v>
      </c>
      <c r="X265" s="1" t="s">
        <v>4866</v>
      </c>
      <c r="Y265" s="72">
        <v>145</v>
      </c>
      <c r="Z265" s="1" t="s">
        <v>196</v>
      </c>
      <c r="AA265" s="72">
        <v>145</v>
      </c>
      <c r="AB265" s="1" t="s">
        <v>4867</v>
      </c>
      <c r="AC265" s="72">
        <v>145</v>
      </c>
    </row>
    <row r="266" spans="1:31" ht="22.5" customHeight="1" thickBot="1">
      <c r="A266" s="3" t="s">
        <v>4850</v>
      </c>
      <c r="C266" s="5" t="s">
        <v>4851</v>
      </c>
      <c r="D266" s="4" t="s">
        <v>4854</v>
      </c>
      <c r="E266" s="4" t="s">
        <v>4853</v>
      </c>
      <c r="F266" s="41" t="str">
        <f t="shared" si="10"/>
        <v>https://www.ssbuy.tw/detail_giftcode/dist/giftcodes/激鬥！王國保衛戰.html</v>
      </c>
      <c r="G266" s="4" t="s">
        <v>4852</v>
      </c>
      <c r="H266" s="41" t="str">
        <f t="shared" si="11"/>
        <v>https://www.ssbuy.tw/detail_giftcode/dist/gamedetail/激鬥！王國保衛戰.html</v>
      </c>
      <c r="I266" s="42" t="s">
        <v>4860</v>
      </c>
      <c r="J266" s="1" t="s">
        <v>4868</v>
      </c>
      <c r="K266" s="72">
        <v>2609</v>
      </c>
      <c r="L266" s="1" t="s">
        <v>4869</v>
      </c>
      <c r="M266" s="72">
        <v>1365</v>
      </c>
      <c r="N266" s="1" t="s">
        <v>4870</v>
      </c>
      <c r="O266" s="72">
        <v>807</v>
      </c>
      <c r="P266" s="1" t="s">
        <v>4871</v>
      </c>
      <c r="Q266" s="72">
        <v>546</v>
      </c>
      <c r="R266" s="1" t="s">
        <v>4872</v>
      </c>
      <c r="S266" s="72">
        <v>400</v>
      </c>
      <c r="T266" s="1" t="s">
        <v>4873</v>
      </c>
      <c r="U266" s="72">
        <v>269</v>
      </c>
      <c r="V266" s="1" t="s">
        <v>4874</v>
      </c>
      <c r="W266" s="72">
        <v>145</v>
      </c>
      <c r="X266" s="1" t="s">
        <v>4875</v>
      </c>
      <c r="Y266" s="72">
        <v>29</v>
      </c>
    </row>
    <row r="267" spans="1:31" ht="22.5" customHeight="1" thickBot="1">
      <c r="A267" s="72" t="s">
        <v>4839</v>
      </c>
      <c r="C267" s="5" t="s">
        <v>4846</v>
      </c>
      <c r="D267" s="41" t="s">
        <v>4857</v>
      </c>
      <c r="E267" s="4" t="s">
        <v>4855</v>
      </c>
      <c r="F267" s="41" t="str">
        <f t="shared" si="10"/>
        <v>https://www.ssbuy.tw/detail_giftcode/dist/giftcodes/嘟嘟臉惡作劇.html</v>
      </c>
      <c r="G267" s="41" t="s">
        <v>4856</v>
      </c>
      <c r="H267" s="41" t="str">
        <f t="shared" si="11"/>
        <v>https://www.ssbuy.tw/detail_giftcode/dist/gamedetail/嘟嘟臉惡作劇.html</v>
      </c>
      <c r="I267" s="42" t="s">
        <v>4861</v>
      </c>
      <c r="J267" s="1" t="s">
        <v>301</v>
      </c>
      <c r="K267" s="72">
        <v>2371</v>
      </c>
      <c r="L267" s="1" t="s">
        <v>4876</v>
      </c>
      <c r="M267" s="72">
        <v>1858</v>
      </c>
      <c r="N267" s="1" t="s">
        <v>302</v>
      </c>
      <c r="O267" s="72">
        <v>1204</v>
      </c>
      <c r="P267" s="1" t="s">
        <v>4877</v>
      </c>
      <c r="Q267" s="72">
        <v>889</v>
      </c>
      <c r="R267" s="1" t="s">
        <v>262</v>
      </c>
      <c r="S267" s="72">
        <v>807</v>
      </c>
      <c r="T267" s="1" t="s">
        <v>4878</v>
      </c>
      <c r="U267" s="72">
        <v>530</v>
      </c>
      <c r="V267" s="1" t="s">
        <v>1493</v>
      </c>
      <c r="W267" s="72">
        <v>400</v>
      </c>
      <c r="X267" s="1" t="s">
        <v>4879</v>
      </c>
      <c r="Y267" s="72">
        <v>294</v>
      </c>
      <c r="Z267" s="1" t="s">
        <v>4338</v>
      </c>
      <c r="AA267" s="72">
        <v>196</v>
      </c>
      <c r="AB267" s="1" t="s">
        <v>3955</v>
      </c>
      <c r="AC267" s="72">
        <v>162</v>
      </c>
    </row>
    <row r="268" spans="1:31" ht="22.5" customHeight="1">
      <c r="F268" s="40" t="str">
        <f t="shared" ref="F268:F314" si="12">IF(A268="", "", "gift-codes.html?game=" &amp; A268)</f>
        <v/>
      </c>
      <c r="H268" s="41" t="str">
        <f t="shared" si="11"/>
        <v/>
      </c>
    </row>
    <row r="269" spans="1:31" ht="22.5" customHeight="1">
      <c r="F269" s="40" t="str">
        <f t="shared" si="12"/>
        <v/>
      </c>
      <c r="H269" s="41" t="str">
        <f t="shared" si="11"/>
        <v/>
      </c>
    </row>
    <row r="270" spans="1:31" ht="22.5" customHeight="1">
      <c r="F270" s="40" t="str">
        <f t="shared" si="12"/>
        <v/>
      </c>
      <c r="H270" s="41" t="str">
        <f t="shared" si="11"/>
        <v/>
      </c>
    </row>
    <row r="271" spans="1:31" ht="22.5" customHeight="1">
      <c r="F271" s="40" t="str">
        <f t="shared" si="12"/>
        <v/>
      </c>
      <c r="H271" s="41" t="str">
        <f t="shared" si="11"/>
        <v/>
      </c>
    </row>
    <row r="272" spans="1:31"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ref="H286:H314" si="13">IF(A286="", "", "https://www.ssbuy.tw/game-detail.html?game="&amp;A286)</f>
        <v/>
      </c>
    </row>
    <row r="287" spans="6:8" ht="22.5" customHeight="1">
      <c r="F287" s="40" t="str">
        <f t="shared" si="12"/>
        <v/>
      </c>
      <c r="H287" s="41" t="str">
        <f t="shared" si="13"/>
        <v/>
      </c>
    </row>
    <row r="288" spans="6:8"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ref="F315:F378" si="14">IF(A315="", "", "gift-codes.html?game=" &amp; A315)</f>
        <v/>
      </c>
      <c r="H315" s="41" t="str">
        <f t="shared" ref="H315:H378" si="15">IF(A315="", "", "https://www.ssbuy.tw/game-detail.html?game="&amp;A315)</f>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ref="F379:F442" si="16">IF(A379="", "", "gift-codes.html?game=" &amp; A379)</f>
        <v/>
      </c>
      <c r="H379" s="41" t="str">
        <f t="shared" ref="H379:H442" si="17">IF(A379="", "", "https://www.ssbuy.tw/game-detail.html?game="&amp;A379)</f>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ref="F443:F506" si="18">IF(A443="", "", "gift-codes.html?game=" &amp; A443)</f>
        <v/>
      </c>
      <c r="H443" s="41" t="str">
        <f t="shared" ref="H443:H506" si="19">IF(A443="", "", "https://www.ssbuy.tw/game-detail.html?game="&amp;A443)</f>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ref="F507:F570" si="20">IF(A507="", "", "gift-codes.html?game=" &amp; A507)</f>
        <v/>
      </c>
      <c r="H507" s="41" t="str">
        <f t="shared" ref="H507:H570" si="21">IF(A507="", "", "https://www.ssbuy.tw/game-detail.html?game="&amp;A507)</f>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IF(A571="", "", "gift-codes.html?game=" &amp; A571)</f>
        <v/>
      </c>
      <c r="H571" s="41" t="str">
        <f t="shared" ref="H571:H629" si="22">IF(A571="", "", "https://www.ssbuy.tw/game-detail.html?game="&amp;A571)</f>
        <v/>
      </c>
    </row>
    <row r="572" spans="6:8">
      <c r="F572" s="40" t="str">
        <f>IF(A572="", "", "gift-codes.html?game=" &amp; A572)</f>
        <v/>
      </c>
      <c r="H572" s="41" t="str">
        <f t="shared" si="22"/>
        <v/>
      </c>
    </row>
    <row r="573" spans="6:8">
      <c r="F573" s="40" t="str">
        <f>IF(A573="", "", "gift-codes.html?game=" &amp; A573)</f>
        <v/>
      </c>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s>
  <pageMargins left="0.7" right="0.7" top="0.75" bottom="0.75" header="0.3" footer="0.3"/>
  <pageSetup paperSize="9" orientation="portrait" r:id="rId2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7"/>
  <sheetViews>
    <sheetView tabSelected="1" workbookViewId="0">
      <pane xSplit="1" ySplit="1" topLeftCell="Z188" activePane="bottomRight" state="frozen"/>
      <selection pane="topRight" activeCell="B1" sqref="B1"/>
      <selection pane="bottomLeft" activeCell="A2" sqref="A2"/>
      <selection pane="bottomRight" activeCell="AM190" sqref="AM190"/>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4831</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4888</v>
      </c>
      <c r="S185" s="18" t="s">
        <v>4889</v>
      </c>
      <c r="U185" s="18" t="s">
        <v>4890</v>
      </c>
      <c r="W185" s="18" t="s">
        <v>4891</v>
      </c>
      <c r="Y185" s="18" t="s">
        <v>4892</v>
      </c>
      <c r="AA185" s="18" t="s">
        <v>4893</v>
      </c>
      <c r="AC185" s="18" t="s">
        <v>4894</v>
      </c>
      <c r="AE185" s="18" t="s">
        <v>4895</v>
      </c>
      <c r="AG185" s="18" t="s">
        <v>4896</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4898</v>
      </c>
      <c r="AI190" s="18" t="s">
        <v>4899</v>
      </c>
      <c r="AK190" s="18" t="s">
        <v>4900</v>
      </c>
      <c r="AM190" s="18" t="s">
        <v>4901</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4814</v>
      </c>
      <c r="L206" s="13" t="s">
        <v>4815</v>
      </c>
      <c r="M206" s="18" t="s">
        <v>4816</v>
      </c>
      <c r="N206" s="13" t="s">
        <v>4817</v>
      </c>
      <c r="O206" s="18" t="s">
        <v>4818</v>
      </c>
      <c r="P206" s="13" t="s">
        <v>4819</v>
      </c>
      <c r="Q206" s="18" t="s">
        <v>4820</v>
      </c>
      <c r="R206" s="25" t="s">
        <v>4821</v>
      </c>
      <c r="S206" s="18" t="s">
        <v>4822</v>
      </c>
      <c r="T206" s="13" t="s">
        <v>4823</v>
      </c>
      <c r="U206" s="18" t="s">
        <v>4824</v>
      </c>
      <c r="V206" s="13" t="s">
        <v>4825</v>
      </c>
      <c r="W206" s="18" t="s">
        <v>4826</v>
      </c>
      <c r="X206" s="71" t="s">
        <v>4828</v>
      </c>
      <c r="Y206" s="18" t="s">
        <v>4829</v>
      </c>
      <c r="Z206" s="13" t="s">
        <v>4830</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4827</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4832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4812</v>
      </c>
      <c r="Y227" s="18" t="s">
        <v>4813</v>
      </c>
      <c r="AA227" s="71" t="s">
        <v>4897</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4833</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4834</v>
      </c>
    </row>
    <row r="253" spans="1:27" ht="22.5" customHeight="1">
      <c r="A253" s="13" t="str">
        <f>IF(games!A253="", "", games!A253)</f>
        <v>奇蹟MU：騎士袋你飛</v>
      </c>
      <c r="C253" s="13" t="str">
        <f t="shared" ref="C253:C314"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4835</v>
      </c>
      <c r="R253" s="13" t="s">
        <v>4836</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24"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24"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24">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7" t="s">
        <v>4536</v>
      </c>
      <c r="G259" s="13" t="s">
        <v>4526</v>
      </c>
      <c r="K259" s="17" t="s">
        <v>4536</v>
      </c>
      <c r="L259" s="13" t="s">
        <v>4526</v>
      </c>
    </row>
    <row r="260" spans="1:24">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24">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24">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24">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24">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4842</v>
      </c>
      <c r="G264" s="13" t="s">
        <v>4841</v>
      </c>
      <c r="K264" s="17" t="s">
        <v>4842</v>
      </c>
      <c r="L264" s="13" t="s">
        <v>4841</v>
      </c>
    </row>
    <row r="265" spans="1:24">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7" t="s">
        <v>4842</v>
      </c>
      <c r="G265" s="13" t="s">
        <v>4841</v>
      </c>
      <c r="K265" s="17" t="s">
        <v>4842</v>
      </c>
      <c r="L265" s="13" t="s">
        <v>4841</v>
      </c>
    </row>
    <row r="266" spans="1:24">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4842</v>
      </c>
      <c r="G266" s="13" t="s">
        <v>4841</v>
      </c>
      <c r="K266" s="17" t="s">
        <v>4842</v>
      </c>
      <c r="L266" s="13" t="s">
        <v>4841</v>
      </c>
    </row>
    <row r="267" spans="1:24">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4842</v>
      </c>
      <c r="G267" s="13" t="s">
        <v>4841</v>
      </c>
      <c r="K267" s="17" t="s">
        <v>4880</v>
      </c>
      <c r="L267" s="13" t="s">
        <v>4884</v>
      </c>
      <c r="M267" s="18" t="s">
        <v>4881</v>
      </c>
      <c r="N267" s="13" t="s">
        <v>4884</v>
      </c>
      <c r="O267" s="18" t="s">
        <v>4882</v>
      </c>
      <c r="P267" s="13" t="s">
        <v>4884</v>
      </c>
      <c r="Q267" s="18" t="s">
        <v>4883</v>
      </c>
      <c r="R267" s="13" t="s">
        <v>4884</v>
      </c>
      <c r="S267" s="18" t="s">
        <v>4885</v>
      </c>
      <c r="T267" s="13" t="s">
        <v>4884</v>
      </c>
      <c r="U267" s="18" t="s">
        <v>4886</v>
      </c>
      <c r="V267" s="13" t="s">
        <v>4884</v>
      </c>
      <c r="W267" s="18" t="s">
        <v>4887</v>
      </c>
      <c r="X267" s="13" t="s">
        <v>4884</v>
      </c>
    </row>
    <row r="268" spans="1:24">
      <c r="A268" s="13" t="str">
        <f>IF(games!A268="", "", games!A268)</f>
        <v/>
      </c>
      <c r="C268" s="13" t="str">
        <f t="shared" si="9"/>
        <v/>
      </c>
      <c r="D268" s="13" t="str">
        <f t="shared" ref="D268:D314" si="11">IF(A268="","", "https://www.ssbuy.tw/gift-codes.html?game="&amp;A268)</f>
        <v/>
      </c>
      <c r="E268" s="14" t="str">
        <f>IF(games!I268&lt;&gt;"", games!I268, "")</f>
        <v/>
      </c>
    </row>
    <row r="269" spans="1:24">
      <c r="A269" s="13" t="str">
        <f>IF(games!A269="", "", games!A269)</f>
        <v/>
      </c>
      <c r="C269" s="13" t="str">
        <f t="shared" si="9"/>
        <v/>
      </c>
      <c r="D269" s="13" t="str">
        <f t="shared" si="11"/>
        <v/>
      </c>
      <c r="E269" s="14" t="str">
        <f>IF(games!I269&lt;&gt;"", games!I269, "")</f>
        <v/>
      </c>
    </row>
    <row r="270" spans="1:24">
      <c r="A270" s="13" t="str">
        <f>IF(games!A270="", "", games!A270)</f>
        <v/>
      </c>
      <c r="C270" s="13" t="str">
        <f t="shared" si="9"/>
        <v/>
      </c>
      <c r="D270" s="13" t="str">
        <f t="shared" si="11"/>
        <v/>
      </c>
      <c r="E270" s="14" t="str">
        <f>IF(games!I270&lt;&gt;"", games!I270, "")</f>
        <v/>
      </c>
    </row>
    <row r="271" spans="1:24">
      <c r="A271" s="13" t="str">
        <f>IF(games!A271="", "", games!A271)</f>
        <v/>
      </c>
      <c r="C271" s="13" t="str">
        <f t="shared" si="9"/>
        <v/>
      </c>
      <c r="D271" s="13" t="str">
        <f t="shared" si="11"/>
        <v/>
      </c>
      <c r="E271" s="14" t="str">
        <f>IF(games!I271&lt;&gt;"", games!I271, "")</f>
        <v/>
      </c>
    </row>
    <row r="272" spans="1:24">
      <c r="A272" s="13" t="str">
        <f>IF(games!A272="", "", games!A272)</f>
        <v/>
      </c>
      <c r="C272" s="13" t="str">
        <f t="shared" si="9"/>
        <v/>
      </c>
      <c r="D272" s="13" t="str">
        <f t="shared" si="11"/>
        <v/>
      </c>
      <c r="E272" s="14" t="str">
        <f>IF(games!I272&lt;&gt;"", games!I272, "")</f>
        <v/>
      </c>
    </row>
    <row r="273" spans="1:5">
      <c r="A273" s="13" t="str">
        <f>IF(games!A273="", "", games!A273)</f>
        <v/>
      </c>
      <c r="C273" s="13" t="str">
        <f t="shared" si="9"/>
        <v/>
      </c>
      <c r="D273" s="13" t="str">
        <f t="shared" si="11"/>
        <v/>
      </c>
      <c r="E273" s="14" t="str">
        <f>IF(games!I273&lt;&gt;"", games!I273, "")</f>
        <v/>
      </c>
    </row>
    <row r="274" spans="1:5">
      <c r="A274" s="13" t="str">
        <f>IF(games!A274="", "", games!A274)</f>
        <v/>
      </c>
      <c r="C274" s="13" t="str">
        <f t="shared" si="9"/>
        <v/>
      </c>
      <c r="D274" s="13" t="str">
        <f t="shared" si="11"/>
        <v/>
      </c>
    </row>
    <row r="275" spans="1:5">
      <c r="A275" s="13" t="str">
        <f>IF(games!A275="", "", games!A275)</f>
        <v/>
      </c>
      <c r="C275" s="13" t="str">
        <f t="shared" si="9"/>
        <v/>
      </c>
      <c r="D275" s="13" t="str">
        <f t="shared" si="11"/>
        <v/>
      </c>
    </row>
    <row r="276" spans="1:5">
      <c r="A276" s="13" t="str">
        <f>IF(games!A276="", "", games!A276)</f>
        <v/>
      </c>
      <c r="C276" s="13" t="str">
        <f t="shared" si="9"/>
        <v/>
      </c>
      <c r="D276" s="13" t="str">
        <f t="shared" si="11"/>
        <v/>
      </c>
    </row>
    <row r="277" spans="1:5">
      <c r="A277" s="13" t="str">
        <f>IF(games!A277="", "", games!A277)</f>
        <v/>
      </c>
      <c r="C277" s="13" t="str">
        <f t="shared" si="9"/>
        <v/>
      </c>
      <c r="D277" s="13" t="str">
        <f t="shared" si="11"/>
        <v/>
      </c>
    </row>
    <row r="278" spans="1:5">
      <c r="A278" s="13" t="str">
        <f>IF(games!A278="", "", games!A278)</f>
        <v/>
      </c>
      <c r="C278" s="13" t="str">
        <f t="shared" si="9"/>
        <v/>
      </c>
      <c r="D278" s="13" t="str">
        <f t="shared" si="11"/>
        <v/>
      </c>
    </row>
    <row r="279" spans="1:5">
      <c r="A279" s="13" t="str">
        <f>IF(games!A279="", "", games!A279)</f>
        <v/>
      </c>
      <c r="C279" s="13" t="str">
        <f t="shared" si="9"/>
        <v/>
      </c>
      <c r="D279" s="13" t="str">
        <f t="shared" si="11"/>
        <v/>
      </c>
    </row>
    <row r="280" spans="1:5">
      <c r="A280" s="13" t="str">
        <f>IF(games!A280="", "", games!A280)</f>
        <v/>
      </c>
      <c r="C280" s="13" t="str">
        <f t="shared" si="9"/>
        <v/>
      </c>
      <c r="D280" s="13" t="str">
        <f t="shared" si="11"/>
        <v/>
      </c>
    </row>
    <row r="281" spans="1:5">
      <c r="A281" s="13" t="str">
        <f>IF(games!A281="", "", games!A281)</f>
        <v/>
      </c>
      <c r="C281" s="13" t="str">
        <f t="shared" si="9"/>
        <v/>
      </c>
      <c r="D281" s="13" t="str">
        <f t="shared" si="11"/>
        <v/>
      </c>
    </row>
    <row r="282" spans="1:5">
      <c r="A282" s="13" t="str">
        <f>IF(games!A282="", "", games!A282)</f>
        <v/>
      </c>
      <c r="C282" s="13" t="str">
        <f t="shared" si="9"/>
        <v/>
      </c>
      <c r="D282" s="13" t="str">
        <f t="shared" si="11"/>
        <v/>
      </c>
    </row>
    <row r="283" spans="1:5">
      <c r="A283" s="13" t="str">
        <f>IF(games!A283="", "", games!A283)</f>
        <v/>
      </c>
      <c r="C283" s="13" t="str">
        <f t="shared" si="9"/>
        <v/>
      </c>
      <c r="D283" s="13" t="str">
        <f t="shared" si="11"/>
        <v/>
      </c>
    </row>
    <row r="284" spans="1:5">
      <c r="A284" s="13" t="str">
        <f>IF(games!A284="", "", games!A284)</f>
        <v/>
      </c>
      <c r="C284" s="13" t="str">
        <f t="shared" si="9"/>
        <v/>
      </c>
      <c r="D284" s="13" t="str">
        <f t="shared" si="11"/>
        <v/>
      </c>
    </row>
    <row r="285" spans="1:5">
      <c r="A285" s="13" t="str">
        <f>IF(games!A285="", "", games!A285)</f>
        <v/>
      </c>
      <c r="C285" s="13" t="str">
        <f t="shared" si="9"/>
        <v/>
      </c>
      <c r="D285" s="13" t="str">
        <f t="shared" si="11"/>
        <v/>
      </c>
    </row>
    <row r="286" spans="1:5">
      <c r="A286" s="13" t="str">
        <f>IF(games!A286="", "", games!A286)</f>
        <v/>
      </c>
      <c r="C286" s="13" t="str">
        <f t="shared" si="9"/>
        <v/>
      </c>
      <c r="D286" s="13" t="str">
        <f t="shared" si="11"/>
        <v/>
      </c>
    </row>
    <row r="287" spans="1:5">
      <c r="A287" s="13" t="str">
        <f>IF(games!A287="", "", games!A287)</f>
        <v/>
      </c>
      <c r="C287" s="13" t="str">
        <f t="shared" si="9"/>
        <v/>
      </c>
      <c r="D287" s="13" t="str">
        <f t="shared" si="11"/>
        <v/>
      </c>
    </row>
    <row r="288" spans="1:5">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C306" s="13" t="str">
        <f t="shared" si="9"/>
        <v/>
      </c>
      <c r="D306" s="13" t="str">
        <f t="shared" si="11"/>
        <v/>
      </c>
    </row>
    <row r="307" spans="1:4">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ref="C315:C378" si="12">IF(A315="","", "giftcodesbanner/" &amp; A315 &amp; "-禮包碼.jpg")</f>
        <v/>
      </c>
      <c r="D315" s="13" t="str">
        <f t="shared" ref="D315:D378" si="13">IF(A315="","", "https://www.ssbuy.tw/gift-codes.html?game="&amp;A315)</f>
        <v/>
      </c>
    </row>
    <row r="316" spans="1:4">
      <c r="C316" s="13" t="str">
        <f t="shared" si="12"/>
        <v/>
      </c>
      <c r="D316" s="13" t="str">
        <f t="shared" si="13"/>
        <v/>
      </c>
    </row>
    <row r="317" spans="1:4">
      <c r="C317" s="13" t="str">
        <f t="shared" si="12"/>
        <v/>
      </c>
      <c r="D317" s="13" t="str">
        <f t="shared" si="13"/>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ref="C379:C437" si="14">IF(A379="","", "giftcodesbanner/" &amp; A379 &amp; "-禮包碼.jpg")</f>
        <v/>
      </c>
      <c r="D379" s="13" t="str">
        <f t="shared" ref="D379:D437" si="15">IF(A379="","", "https://www.ssbuy.tw/gift-codes.html?game="&amp;A379)</f>
        <v/>
      </c>
    </row>
    <row r="380" spans="3:4">
      <c r="C380" s="13" t="str">
        <f t="shared" si="14"/>
        <v/>
      </c>
      <c r="D380" s="13" t="str">
        <f t="shared" si="15"/>
        <v/>
      </c>
    </row>
    <row r="381" spans="3:4">
      <c r="C381" s="13" t="str">
        <f t="shared" si="14"/>
        <v/>
      </c>
      <c r="D381" s="13" t="str">
        <f t="shared" si="15"/>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2025-10-07T08:44:02Z</dcterms:modified>
</cp:coreProperties>
</file>