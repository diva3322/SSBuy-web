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<sst xmlns="http://schemas.openxmlformats.org/spreadsheetml/2006/main" count="8036" uniqueCount="5481">
  <si>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</si>
  <si>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</si>
  <si>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</si>
  <si>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</si>
  <si>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</si>
  <si>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</si>
  <si>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</si>
  <si>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</si>
  <si>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</si>
  <si>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</si>
  <si>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</si>
  <si>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</si>
  <si>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</si>
  <si>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</si>
  <si>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</si>
  <si>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</si>
  <si>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</si>
  <si>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</si>
  <si>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</si>
  <si>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</si>
  <si>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</si>
  <si>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</si>
  <si>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</si>
  <si>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</si>
  <si>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</si>
  <si>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</si>
  <si>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</si>
  <si>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</si>
  <si>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</si>
  <si>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</si>
  <si>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</si>
  <si>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</si>
  <si>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</si>
  <si>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</si>
  <si>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</si>
  <si>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</si>
  <si>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</si>
  <si>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</si>
  <si>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</si>
  <si>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</si>
  <si>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</si>
  <si>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</si>
  <si>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</si>
  <si>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</si>
  <si>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</si>
  <si>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</si>
  <si>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</si>
  <si>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</si>
  <si>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</si>
  <si>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</si>
  <si>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</si>
  <si>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</si>
  <si>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</si>
  <si>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</si>
  <si>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</si>
  <si>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</si>
  <si>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</si>
  <si>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</si>
  <si>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</si>
  <si>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</si>
  <si>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</si>
  <si>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</si>
  <si>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</si>
  <si>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</si>
  <si>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</si>
  <si>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</si>
  <si>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</si>
  <si>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</si>
  <si>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</si>
  <si>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</si>
  <si>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</si>
  <si>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</si>
  <si>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</si>
  <si>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</si>
  <si>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</si>
  <si>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</si>
  <si>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</si>
  <si>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</si>
  <si>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</si>
  <si>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</si>
  <si>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</si>
  <si>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</si>
  <si>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</si>
  <si>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</si>
  <si>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</si>
  <si>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</si>
  <si>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</si>
  <si>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</si>
  <si>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</si>
  <si>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</si>
  <si>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</si>
  <si>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</si>
  <si>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</si>
  <si>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</si>
  <si>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</si>
  <si>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</si>
  <si>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</si>
  <si>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</si>
  <si>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</si>
  <si>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</si>
  <si>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</si>
  <si>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</si>
  <si>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</si>
  <si>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</si>
  <si>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</si>
  <si>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</si>
  <si>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</si>
  <si>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</si>
  <si>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</si>
  <si>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</si>
  <si>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</si>
  <si>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</si>
  <si>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</si>
  <si>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</si>
  <si>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</si>
  <si>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</si>
  <si>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</si>
  <si>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</si>
  <si>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</si>
  <si>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</si>
  <si>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</si>
  <si>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</si>
  <si>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</si>
  <si>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</si>
  <si>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</si>
  <si>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</si>
  <si>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</si>
  <si>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</si>
  <si>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</si>
  <si>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</si>
  <si>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</si>
  <si>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</si>
  <si>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</si>
  <si>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</si>
  <si>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</si>
  <si>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</si>
  <si>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</si>
  <si>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</si>
  <si>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</si>
  <si>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</si>
  <si>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</si>
  <si>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</si>
  <si>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</si>
  <si>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</si>
  <si>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</si>
  <si>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</si>
  <si>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</si>
  <si>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</si>
  <si>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</si>
  <si>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</si>
  <si>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</si>
  <si>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</si>
  <si>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</si>
  <si>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</si>
  <si>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</si>
  <si>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</si>
  <si>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</si>
  <si>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</si>
  <si>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</si>
  <si>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</si>
  <si>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</si>
  <si>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</si>
  <si>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</si>
  <si>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</si>
  <si>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</si>
  <si>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</si>
  <si>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</si>
  <si>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</si>
  <si>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</si>
  <si>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</si>
  <si>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</si>
  <si>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</si>
  <si>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</si>
  <si>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</si>
  <si>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</si>
  <si>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</si>
  <si>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</si>
  <si>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</si>
  <si>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</si>
  <si>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</si>
  <si>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</si>
  <si>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</si>
  <si>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</si>
  <si>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</si>
  <si>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</si>
  <si>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</si>
  <si>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</si>
  <si>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</si>
  <si>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</si>
  <si>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</si>
  <si>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</si>
  <si>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</si>
  <si>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</si>
  <si>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</si>
  <si>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</si>
  <si>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</si>
  <si>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</si>
  <si>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</si>
  <si>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</si>
  <si>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</si>
  <si>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</si>
  <si>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</si>
  <si>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</si>
  <si>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</si>
  <si>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</si>
  <si>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</si>
  <si>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</si>
  <si>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</si>
  <si>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</si>
  <si>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</si>
  <si>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</si>
  <si>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</si>
  <si>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</si>
  <si>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</si>
  <si>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</si>
  <si>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</si>
  <si>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</si>
  <si>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</si>
  <si>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</si>
  <si>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</si>
  <si>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</si>
  <si>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</si>
  <si>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</si>
  <si>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</si>
  <si>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</si>
  <si>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</si>
  <si>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</si>
  <si>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</si>
  <si>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</si>
  <si>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</si>
  <si>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</si>
  <si>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</si>
  <si>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</si>
  <si>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</si>
  <si>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</si>
  <si>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</si>
  <si>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</si>
  <si>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</si>
  <si>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</si>
  <si>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</si>
  <si>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</si>
  <si>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</si>
  <si>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</si>
  <si>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</si>
  <si>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</si>
  <si>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</si>
  <si>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</si>
  <si>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</si>
  <si>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</si>
  <si>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</si>
  <si>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</si>
  <si>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</si>
  <si>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</si>
  <si>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</si>
  <si>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</si>
  <si>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</si>
  <si>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</si>
  <si>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</si>
  <si>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</si>
  <si>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</si>
  <si>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</si>
  <si>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</si>
  <si>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</si>
  <si>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</si>
  <si>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</si>
  <si>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</si>
  <si>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</si>
  <si>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</si>
  <si>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</si>
  <si>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</si>
  <si>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</si>
  <si>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</si>
  <si>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</si>
  <si>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</si>
  <si>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</si>
  <si>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</si>
  <si>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</si>
  <si>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</si>
  <si>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</si>
  <si>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</si>
  <si>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</si>
  <si>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</si>
  <si>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</si>
  <si>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</si>
  <si>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</si>
  <si>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</si>
  <si>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</si>
  <si>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</si>
  <si>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</si>
  <si>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</si>
  <si>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</si>
  <si>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</si>
  <si>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</si>
  <si>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</si>
  <si>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</si>
  <si>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</si>
  <si>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</si>
  <si>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</si>
  <si>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</si>
  <si>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</si>
  <si>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</si>
  <si>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</si>
  <si>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</si>
  <si>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</si>
  <si>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</si>
  <si>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</si>
  <si>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</si>
  <si>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</si>
  <si>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</si>
  <si>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</si>
  <si>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</si>
  <si>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</si>
  <si>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</si>
  <si>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</si>
  <si>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</si>
  <si>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</si>
  <si>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</si>
  <si>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</si>
  <si>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</si>
  <si>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</si>
  <si>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</si>
  <si>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</si>
  <si>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</si>
  <si>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</si>
  <si>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</si>
  <si>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</si>
  <si>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</si>
  <si>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</si>
  <si>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</si>
  <si>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</si>
  <si>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</si>
  <si>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</si>
  <si>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</si>
  <si>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</si>
  <si>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</si>
  <si>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</si>
  <si>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</si>
  <si>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</si>
  <si>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</si>
  <si>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</si>
  <si>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</si>
  <si>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</si>
  <si>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</si>
  <si>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</si>
  <si>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</si>
  <si>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</si>
  <si>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</si>
  <si>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</si>
  <si>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</si>
  <si>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</si>
  <si>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</si>
  <si>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</si>
  <si>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</si>
  <si>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</si>
  <si>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</si>
  <si>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</si>
  <si>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</si>
  <si>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</si>
  <si>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</si>
  <si>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</si>
  <si>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</si>
  <si>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</si>
  <si>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</si>
  <si>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</si>
  <si>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</si>
  <si>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</si>
  <si>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</si>
  <si>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</si>
  <si>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</si>
  <si>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</si>
  <si>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</si>
  <si>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</si>
  <si>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</si>
  <si>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</si>
  <si>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</si>
  <si>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</si>
  <si>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</si>
  <si>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</si>
  <si>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</si>
  <si>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</si>
  <si>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</si>
  <si>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</si>
  <si>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</si>
  <si>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</si>
  <si>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</si>
  <si>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</si>
  <si>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</si>
  <si>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</si>
  <si>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</si>
  <si>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</si>
  <si>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</si>
  <si>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</si>
  <si>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</si>
  <si>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</si>
  <si>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</si>
  <si>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</si>
  <si>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</si>
  <si>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</si>
  <si>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</si>
  <si>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</si>
  <si>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</si>
  <si>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</si>
  <si>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</si>
  <si>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</si>
  <si>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</si>
  <si>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</si>
  <si>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</si>
  <si>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</si>
  <si>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</si>
  <si>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</si>
  <si>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</si>
  <si>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</si>
  <si>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</si>
  <si>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</si>
  <si>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</si>
  <si>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</si>
  <si>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</si>
  <si>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</si>
  <si>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</si>
  <si>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</si>
  <si>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</si>
  <si>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</si>
  <si>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</si>
  <si>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</si>
  <si>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</si>
  <si>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</si>
  <si>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</si>
  <si>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</si>
  <si>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</si>
  <si>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</si>
  <si>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</si>
  <si>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</si>
  <si>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</si>
  <si>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</si>
  <si>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</si>
  <si>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</si>
  <si>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</si>
  <si>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</si>
  <si>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</si>
  <si>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</si>
  <si>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</si>
  <si>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</si>
  <si>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</si>
  <si>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</si>
  <si>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</si>
  <si>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</si>
  <si>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</si>
  <si>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</si>
  <si>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</si>
  <si>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</si>
  <si>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</si>
  <si>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</si>
  <si>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</si>
  <si>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</si>
  <si>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</si>
  <si>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</si>
  <si>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</si>
  <si>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</si>
  <si>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</si>
  <si>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</si>
  <si>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</si>
  <si>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</si>
  <si>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</si>
  <si>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</si>
  <si>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</si>
  <si>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</si>
  <si>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</si>
  <si>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</si>
  <si>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</si>
  <si>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</si>
  <si>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</si>
  <si>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</si>
  <si>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</si>
  <si>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</si>
  <si>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</si>
  <si>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</si>
  <si>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</si>
  <si>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</si>
  <si>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</si>
  <si>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</si>
  <si>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</si>
  <si>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</si>
  <si>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</si>
  <si>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</si>
  <si>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</si>
  <si>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</si>
  <si>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</si>
  <si>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</si>
  <si>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</si>
  <si>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</si>
  <si>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</si>
  <si>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</si>
  <si>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</si>
  <si>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</si>
  <si>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</si>
  <si>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</si>
  <si>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</si>
  <si>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</si>
  <si>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</si>
  <si>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</si>
  <si>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</si>
  <si>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</si>
  <si>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</si>
  <si>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</si>
  <si>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</si>
  <si>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</si>
  <si>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</si>
  <si>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</si>
  <si>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</si>
  <si>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</si>
  <si>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</si>
  <si>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</si>
  <si>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</si>
  <si>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</si>
  <si>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</si>
  <si>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</si>
  <si>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</si>
  <si>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</si>
  <si>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</si>
  <si>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</si>
  <si>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</si>
  <si>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</si>
  <si>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</si>
  <si>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</si>
  <si>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</si>
  <si>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</si>
  <si>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</si>
  <si>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</si>
  <si>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</si>
  <si>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</si>
  <si>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</si>
  <si>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</si>
  <si>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</si>
  <si>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</si>
  <si>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</si>
  <si>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</si>
  <si>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</si>
  <si>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</si>
  <si>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</si>
  <si>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</si>
  <si>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</si>
  <si>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</si>
  <si>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</si>
  <si>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</si>
  <si>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</si>
  <si>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</si>
  <si>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</si>
  <si>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</si>
  <si>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</si>
  <si>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</si>
  <si>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</si>
  <si>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</si>
  <si>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</si>
  <si>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</si>
  <si>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</si>
  <si>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</si>
  <si>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</si>
  <si>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</si>
  <si>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</si>
  <si>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</si>
  <si>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</si>
  <si>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</si>
  <si>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</si>
  <si>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</si>
  <si>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</si>
  <si>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</si>
  <si>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</si>
  <si>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</si>
  <si>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</si>
  <si>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</si>
  <si>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</si>
  <si>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</si>
  <si>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</si>
  <si>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</si>
  <si>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</si>
  <si>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</si>
  <si>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</si>
  <si>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</si>
  <si>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</si>
  <si>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</si>
  <si>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</si>
  <si>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</si>
  <si>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</si>
  <si>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</si>
  <si>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</si>
  <si>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</si>
  <si>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</si>
  <si>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</si>
  <si>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</si>
  <si>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</si>
  <si>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</si>
  <si>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</si>
  <si>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</si>
  <si>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</si>
  <si>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</si>
  <si>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</si>
  <si>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</si>
  <si>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</si>
  <si>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</si>
  <si>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</si>
  <si>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</si>
  <si>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</si>
  <si>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</si>
  <si>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</si>
  <si>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</si>
  <si>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</si>
  <si>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</si>
  <si>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</si>
  <si>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</si>
  <si>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</si>
  <si>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</si>
  <si>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</si>
  <si>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</si>
  <si>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</si>
  <si>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</si>
  <si>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</si>
  <si>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</si>
  <si>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</si>
  <si>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</si>
  <si>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</si>
  <si>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</si>
  <si>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</si>
  <si>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</si>
  <si>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</si>
  <si>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</si>
  <si>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</si>
  <si>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</si>
  <si>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</si>
  <si>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</si>
  <si>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</si>
  <si>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</si>
  <si>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</si>
  <si>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</si>
  <si>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</si>
  <si>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</si>
  <si>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</si>
  <si>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</si>
  <si>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</si>
  <si>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</si>
  <si>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</si>
  <si>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</si>
  <si>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</si>
  <si>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</si>
  <si>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</si>
  <si>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</si>
  <si>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</si>
  <si>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</si>
  <si>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</si>
  <si>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</si>
  <si>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</si>
  <si>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</si>
  <si>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</si>
  <si>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</si>
  <si>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</si>
  <si>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</si>
  <si>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</si>
  <si>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</si>
  <si>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</si>
  <si>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</si>
  <si>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</si>
  <si>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</si>
  <si>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</si>
  <si>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</si>
  <si>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</si>
  <si>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</si>
  <si>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</si>
  <si>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</si>
  <si>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</si>
  <si>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</si>
  <si>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</si>
  <si>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</si>
  <si>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</si>
  <si>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</si>
  <si>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</si>
  <si>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</si>
  <si>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</si>
  <si>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</si>
  <si>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</si>
  <si>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</si>
  <si>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</si>
  <si>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</si>
  <si>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</si>
  <si>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</si>
  <si>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</si>
  <si>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</si>
  <si>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</si>
  <si>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</si>
  <si>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</si>
  <si>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</si>
  <si>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</si>
  <si>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</si>
  <si>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</si>
  <si>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</si>
  <si>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</si>
  <si>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</si>
  <si>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</si>
  <si>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</si>
  <si>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</si>
  <si>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</si>
  <si>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</si>
  <si>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</si>
  <si>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</si>
  <si>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</si>
  <si>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</si>
  <si>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</si>
  <si>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</si>
  <si>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</si>
  <si>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</si>
  <si>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</si>
  <si>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</si>
  <si>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</si>
  <si>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</si>
  <si>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</si>
  <si>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</si>
  <si>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</si>
  <si>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</si>
  <si>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</si>
  <si>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</si>
  <si>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</si>
  <si>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</si>
  <si>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</si>
  <si>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</si>
  <si>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</si>
  <si>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</si>
  <si>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</si>
  <si>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</si>
  <si>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</si>
  <si>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</si>
  <si>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</si>
  <si>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</si>
  <si>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</si>
  <si>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</si>
  <si>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</si>
  <si>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</si>
  <si>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</si>
  <si>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</si>
  <si>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</si>
  <si>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</si>
  <si>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</si>
  <si>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</si>
  <si>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</si>
  <si>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</si>
  <si>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</si>
  <si>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</si>
  <si>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</si>
  <si>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</si>
  <si>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</si>
  <si>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</si>
  <si>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</si>
  <si>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</si>
  <si>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</si>
  <si>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</si>
  <si>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</si>
  <si>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</si>
  <si>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</si>
  <si>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</si>
  <si>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</si>
  <si>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</si>
  <si>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</si>
  <si>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</si>
  <si>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</si>
  <si>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</si>
  <si>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</si>
  <si>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</si>
  <si>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</si>
  <si>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</si>
  <si>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</si>
  <si>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</si>
  <si>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</si>
  <si>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</si>
  <si>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</si>
  <si>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</si>
  <si>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</si>
  <si>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</si>
  <si>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</si>
  <si>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</si>
  <si>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</si>
  <si>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</si>
  <si>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</si>
  <si>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</si>
  <si>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</si>
  <si>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</si>
  <si>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</si>
  <si>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</si>
  <si>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</si>
  <si>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</si>
  <si>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</si>
  <si>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</si>
  <si>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</si>
  <si>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</si>
  <si>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</si>
  <si>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</si>
  <si>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</si>
  <si>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</si>
  <si>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</si>
  <si>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</si>
  <si>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</si>
  <si>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</si>
  <si>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</si>
  <si>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</si>
  <si>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</si>
  <si>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</si>
  <si>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</si>
  <si>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</si>
  <si>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</si>
  <si>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</si>
  <si>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</si>
  <si>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</si>
  <si>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</si>
  <si>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</si>
  <si>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</si>
  <si>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</si>
  <si>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</si>
  <si>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</si>
  <si>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</si>
  <si>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</si>
  <si>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</si>
  <si>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</si>
  <si>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</si>
  <si>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</si>
  <si>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</si>
  <si>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</si>
  <si>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</si>
  <si>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</si>
  <si>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</si>
  <si>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</si>
  <si>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</si>
  <si>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</si>
  <si>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</si>
  <si>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</si>
  <si>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</si>
  <si>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</si>
  <si>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</si>
  <si>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</si>
  <si>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</si>
  <si>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</si>
  <si>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</si>
  <si>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</si>
  <si>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</si>
  <si>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</si>
  <si>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</si>
  <si>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</si>
  <si>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</si>
  <si>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</si>
  <si>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</si>
  <si>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</si>
  <si>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</si>
  <si>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</si>
  <si>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</si>
  <si>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</si>
  <si>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</si>
  <si>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</si>
  <si>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</si>
  <si>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</si>
  <si>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</si>
  <si>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</si>
  <si>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</si>
  <si>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</si>
  <si>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</si>
  <si>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</si>
  <si>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</si>
  <si>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</si>
  <si>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</si>
  <si>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</si>
  <si>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</si>
  <si>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</si>
  <si>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</si>
  <si>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</si>
  <si>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</si>
  <si>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</si>
  <si>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</si>
  <si>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</si>
  <si>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</si>
  <si>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</si>
  <si>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</si>
  <si>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</si>
  <si>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</si>
  <si>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</si>
  <si>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</si>
  <si>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</si>
  <si>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</si>
  <si>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</si>
  <si>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</si>
  <si>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</si>
  <si>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</si>
  <si>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</si>
  <si>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</si>
  <si>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</si>
  <si>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</si>
  <si>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</si>
  <si>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</si>
  <si>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</si>
  <si>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</si>
  <si>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</si>
  <si>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</si>
  <si>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</si>
  <si>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</si>
  <si>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</si>
  <si>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</si>
  <si>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</si>
  <si>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</si>
  <si>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</si>
  <si>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</si>
  <si>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</si>
  <si>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</si>
  <si>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</si>
  <si>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</si>
  <si>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</si>
  <si>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</si>
  <si>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</si>
  <si>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</si>
  <si>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</si>
  <si>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</si>
  <si>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</si>
  <si>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</si>
  <si>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</si>
  <si>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</si>
  <si>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</si>
  <si>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</si>
  <si>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</si>
  <si>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</si>
  <si>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</si>
  <si>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</si>
  <si>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</si>
  <si>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</si>
  <si>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</si>
  <si>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</si>
  <si>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</si>
  <si>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</si>
  <si>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</si>
  <si>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</si>
  <si>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</si>
  <si>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</si>
  <si>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</si>
  <si>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</si>
  <si>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</si>
  <si>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</si>
  <si>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</si>
  <si>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</si>
  <si>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</si>
  <si>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</si>
  <si>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</si>
  <si>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</si>
  <si>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</si>
  <si>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</si>
  <si>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</si>
  <si>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</si>
  <si>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</si>
  <si>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</si>
  <si>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</si>
  <si>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</si>
  <si>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</si>
  <si>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</si>
  <si>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</si>
  <si>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</si>
  <si>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</si>
  <si>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</si>
  <si>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</si>
  <si>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</si>
  <si>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</si>
  <si>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</si>
  <si>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</si>
  <si>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</si>
  <si>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</si>
  <si>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</si>
  <si>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</si>
  <si>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</si>
  <si>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</si>
  <si>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</si>
  <si>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</si>
  <si>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</si>
  <si>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</si>
  <si>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</si>
  <si>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</si>
  <si>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</si>
  <si>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</si>
  <si>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</si>
  <si>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</si>
  <si>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</si>
  <si>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</si>
  <si>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</si>
  <si>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</si>
  <si>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</si>
  <si>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</si>
  <si>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</si>
  <si>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</si>
  <si>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</si>
  <si>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</si>
  <si>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</si>
  <si>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</si>
  <si>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</si>
  <si>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</si>
  <si>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</si>
  <si>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</si>
  <si>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</si>
  <si>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</si>
  <si>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</si>
  <si>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</si>
  <si>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</si>
  <si>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</si>
  <si>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</si>
  <si>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</si>
  <si>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</si>
  <si>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</si>
  <si>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</si>
  <si>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</si>
  <si>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</si>
  <si>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</si>
  <si>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</si>
  <si>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</si>
  <si>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</si>
  <si>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</si>
  <si>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</si>
  <si>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</si>
  <si>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</si>
  <si>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</si>
  <si>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</si>
  <si>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</si>
  <si>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</si>
  <si>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</si>
  <si>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</si>
  <si>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</si>
  <si>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</si>
  <si>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</si>
  <si>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</si>
  <si>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</si>
  <si>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</si>
  <si>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</si>
  <si>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</si>
  <si>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</si>
  <si>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</si>
  <si>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</si>
  <si>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</si>
  <si>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</si>
  <si>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</si>
  <si>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</si>
  <si>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</si>
  <si>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</si>
  <si>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</si>
  <si>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</si>
  <si>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</si>
  <si>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</si>
  <si>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</si>
  <si>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</si>
  <si>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</si>
  <si>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</si>
  <si>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</si>
  <si>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</si>
  <si>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</si>
  <si>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</si>
  <si>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</si>
  <si>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</si>
  <si>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</si>
  <si>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</si>
  <si>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</si>
  <si>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</si>
  <si>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</si>
  <si>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</si>
  <si>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</si>
  <si>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</si>
  <si>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</si>
  <si>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</si>
  <si>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</si>
  <si>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</si>
  <si>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</si>
  <si>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</si>
  <si>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</si>
  <si>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</si>
  <si>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</si>
  <si>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</si>
  <si>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</si>
  <si>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</si>
  <si>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</si>
  <si>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</si>
  <si>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</si>
  <si>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</si>
  <si>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</si>
  <si>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</si>
  <si>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</si>
  <si>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</si>
  <si>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</si>
  <si>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</si>
  <si>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</si>
  <si>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</si>
  <si>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</si>
  <si>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</si>
  <si>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</si>
  <si>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</si>
  <si>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</si>
  <si>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</si>
  <si>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</si>
  <si>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</si>
  <si>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</si>
  <si>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</si>
  <si>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</si>
  <si>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</si>
  <si>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</si>
  <si>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</si>
  <si>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</si>
  <si>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</si>
  <si>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</si>
  <si>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</si>
  <si>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</si>
  <si>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</si>
  <si>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</si>
  <si>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</si>
  <si>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</si>
  <si>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</si>
  <si>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</si>
  <si>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</si>
  <si>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</si>
  <si>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</si>
  <si>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</si>
  <si>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</si>
  <si>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</si>
  <si>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</si>
  <si>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</si>
  <si>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</si>
  <si>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</si>
  <si>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</si>
  <si>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</si>
  <si>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</si>
  <si>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</si>
  <si>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</si>
  <si>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</si>
  <si>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</si>
  <si>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</si>
  <si>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</si>
  <si>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</si>
  <si>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</si>
  <si>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</si>
  <si>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</si>
  <si>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</si>
  <si>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</si>
  <si>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</si>
  <si>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</si>
  <si>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</si>
  <si>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</si>
  <si>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</si>
  <si>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</si>
  <si>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</si>
  <si>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</si>
  <si>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</si>
  <si>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</si>
  <si>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</si>
  <si>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</si>
  <si>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</si>
  <si>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</si>
  <si>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</si>
  <si>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</si>
  <si>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</si>
  <si>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</si>
  <si>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</si>
  <si>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</si>
  <si>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</si>
  <si>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</si>
  <si>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</si>
  <si>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</si>
  <si>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</si>
  <si>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</si>
  <si>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</si>
  <si>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</si>
  <si>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</si>
  <si>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</si>
  <si>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</si>
  <si>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</si>
  <si>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</si>
  <si>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</si>
  <si>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</si>
  <si>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</si>
  <si>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</si>
  <si>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</si>
  <si>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</si>
  <si>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</si>
  <si>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</si>
  <si>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</si>
  <si>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</si>
  <si>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</si>
  <si>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</si>
  <si>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</si>
  <si>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</si>
  <si>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</si>
  <si>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</si>
  <si>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</si>
  <si>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</si>
  <si>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</si>
  <si>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</si>
  <si>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</si>
  <si>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</si>
  <si>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</si>
  <si>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</si>
  <si>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</si>
  <si>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</si>
  <si>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</si>
  <si>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</si>
  <si>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</si>
  <si>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</si>
  <si>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</si>
  <si>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</si>
  <si>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</si>
  <si>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</si>
  <si>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</si>
  <si>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</si>
  <si>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</si>
  <si>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</si>
  <si>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</si>
  <si>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</si>
  <si>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</si>
  <si>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</si>
  <si>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</si>
  <si>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</si>
  <si>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</si>
  <si>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</si>
  <si>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</si>
  <si>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</si>
  <si>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</si>
  <si>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</si>
  <si>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</si>
  <si>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</si>
  <si>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</si>
  <si>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</si>
  <si>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</si>
  <si>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</si>
  <si>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</si>
  <si>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</si>
  <si>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</si>
  <si>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</si>
  <si>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</si>
  <si>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</si>
  <si>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</si>
  <si>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</si>
  <si>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</si>
  <si>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</si>
  <si>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</si>
  <si>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</si>
  <si>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</si>
  <si>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</si>
  <si>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</si>
  <si>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</si>
  <si>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</si>
  <si>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</si>
  <si>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</si>
  <si>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</si>
  <si>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</si>
  <si>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</si>
  <si>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</si>
  <si>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</si>
  <si>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</si>
  <si>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</si>
  <si>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</si>
  <si>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</si>
  <si>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</si>
  <si>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</si>
  <si>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</si>
  <si>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</si>
  <si>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</si>
  <si>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</si>
  <si>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</si>
  <si>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</si>
  <si>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</si>
  <si>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</si>
  <si>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</si>
  <si>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</si>
  <si>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</si>
  <si>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</si>
  <si>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</si>
  <si>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</si>
  <si>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</si>
  <si>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</si>
  <si>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</si>
  <si>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</si>
  <si>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</si>
  <si>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</si>
  <si>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</si>
  <si>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</si>
  <si>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</si>
  <si>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</si>
  <si>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</si>
  <si>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</si>
  <si>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</si>
  <si>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</si>
  <si>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</si>
  <si>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</si>
  <si>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</si>
  <si>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</si>
  <si>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</si>
  <si>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</si>
  <si>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</si>
  <si>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</si>
  <si>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</si>
  <si>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</si>
  <si>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</si>
  <si>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</si>
  <si>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</si>
  <si>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</si>
  <si>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</si>
  <si>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</si>
  <si>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</si>
  <si>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</si>
  <si>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</si>
  <si>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</si>
  <si>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</si>
  <si>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</si>
  <si>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</si>
  <si>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</si>
  <si>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</si>
  <si>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</si>
  <si>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</si>
  <si>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</si>
  <si>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</si>
  <si>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</si>
  <si>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</si>
  <si>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</si>
  <si>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</si>
  <si>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</si>
  <si>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</si>
  <si>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</si>
  <si>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</si>
  <si>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</si>
  <si>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</si>
  <si>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</si>
  <si>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</si>
  <si>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</si>
  <si>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</si>
  <si>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</si>
  <si>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</si>
  <si>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</si>
  <si>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</si>
  <si>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</si>
  <si>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</si>
  <si>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</si>
  <si>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</si>
  <si>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</si>
  <si>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</si>
  <si>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</si>
  <si>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</si>
  <si>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</si>
  <si>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</si>
  <si>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</si>
  <si>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</si>
  <si>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</si>
  <si>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</si>
  <si>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</si>
  <si>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</si>
  <si>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</si>
  <si>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</si>
  <si>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</si>
  <si>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</si>
  <si>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</si>
  <si>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</si>
  <si>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</si>
  <si>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</si>
  <si>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</si>
  <si>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</si>
  <si>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</si>
  <si>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</si>
  <si>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</si>
  <si>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</si>
  <si>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</si>
  <si>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</si>
  <si>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</si>
  <si>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</si>
  <si>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</si>
  <si>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</si>
  <si>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</si>
  <si>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</si>
  <si>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</si>
  <si>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</si>
  <si>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</si>
  <si>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</si>
  <si>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</si>
  <si>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</si>
  <si>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</si>
  <si>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</si>
  <si>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</si>
  <si>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</si>
  <si>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</si>
  <si>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</si>
  <si>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</si>
  <si>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</si>
  <si>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</si>
  <si>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</si>
  <si>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</si>
  <si>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</si>
  <si>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</si>
  <si>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</si>
  <si>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</si>
  <si>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</si>
  <si>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</si>
  <si>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</si>
  <si>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</si>
  <si>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</si>
  <si>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</si>
  <si>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</si>
  <si>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</si>
  <si>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</si>
  <si>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</si>
  <si>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</si>
  <si>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</si>
  <si>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</si>
  <si>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</si>
  <si>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</si>
  <si>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</si>
  <si>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</si>
  <si>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</si>
  <si>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</si>
  <si>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</si>
  <si>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</si>
  <si>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</si>
  <si>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</si>
  <si>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</si>
  <si>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</si>
  <si>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</si>
  <si>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</si>
  <si>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</si>
  <si>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</si>
  <si>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</si>
  <si>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</si>
  <si>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</si>
  <si>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</si>
  <si>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</si>
  <si>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</si>
  <si>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</si>
  <si>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</si>
  <si>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</si>
  <si>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</si>
  <si>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</si>
  <si>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</si>
  <si>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</si>
  <si>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</si>
  <si>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</si>
  <si>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</si>
  <si>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</si>
  <si>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</si>
  <si>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</si>
  <si>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</si>
  <si>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</si>
  <si>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</si>
  <si>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</si>
  <si>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</si>
  <si>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</si>
  <si>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</si>
  <si>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</si>
  <si>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</si>
  <si>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</si>
  <si>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</si>
  <si>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</si>
  <si>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</si>
  <si>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</si>
  <si>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</si>
  <si>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</si>
  <si>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</si>
  <si>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</si>
  <si>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</si>
  <si>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</si>
  <si>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</si>
  <si>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</si>
  <si>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</si>
  <si>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</si>
  <si>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</si>
  <si>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</si>
  <si>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</si>
  <si>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</si>
  <si>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</si>
  <si>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</si>
  <si>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</si>
  <si>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</si>
  <si>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</si>
  <si>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</si>
  <si>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</si>
  <si>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</si>
  <si>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</si>
  <si>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</si>
  <si>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</si>
  <si>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</si>
  <si>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</si>
  <si>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</si>
  <si>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</si>
  <si>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</si>
  <si>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</si>
  <si>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</si>
  <si>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</si>
  <si>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</si>
  <si>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</si>
  <si>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</si>
  <si>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</si>
  <si>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</si>
  <si>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</si>
  <si>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</si>
  <si>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</si>
  <si>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</si>
  <si>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</si>
  <si>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</si>
  <si>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</si>
  <si>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</si>
  <si>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</si>
  <si>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</si>
  <si>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</si>
  <si>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</si>
  <si>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</si>
  <si>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</si>
  <si>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</si>
  <si>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</si>
  <si>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</si>
  <si>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</si>
  <si>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</si>
  <si>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</si>
  <si>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</si>
  <si>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</si>
  <si>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</si>
  <si>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</si>
  <si>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</si>
  <si>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</si>
  <si>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</si>
  <si>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</si>
  <si>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</si>
  <si>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</si>
  <si>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</si>
  <si>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</si>
  <si>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</si>
  <si>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</si>
  <si>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</si>
  <si>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</si>
  <si>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</si>
  <si>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</si>
  <si>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</si>
  <si>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</si>
  <si>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</si>
  <si>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</si>
  <si>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</si>
  <si>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</si>
  <si>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</si>
  <si>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</si>
  <si>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</si>
  <si>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</si>
  <si>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</si>
  <si>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</si>
  <si>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</si>
  <si>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</si>
  <si>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</si>
  <si>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</si>
  <si>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</si>
  <si>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</si>
  <si>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</si>
  <si>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</si>
  <si>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</si>
  <si>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</si>
  <si>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</si>
  <si>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</si>
  <si>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</si>
  <si>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</si>
  <si>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</si>
  <si>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</si>
  <si>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</si>
  <si>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</si>
  <si>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</si>
  <si>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</si>
  <si>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</si>
  <si>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</si>
  <si>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</si>
  <si>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</si>
  <si>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</si>
  <si>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</si>
  <si>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</si>
  <si>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</si>
  <si>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</si>
  <si>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</si>
  <si>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</si>
  <si>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</si>
  <si>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</si>
  <si>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</si>
  <si>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</si>
  <si>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</si>
  <si>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</si>
  <si>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</si>
  <si>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</si>
  <si>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</si>
  <si>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</si>
  <si>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</si>
  <si>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</si>
  <si>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</si>
  <si>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</si>
  <si>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</si>
  <si>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</si>
  <si>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</si>
  <si>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</si>
  <si>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</si>
  <si>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</si>
  <si>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</si>
  <si>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</si>
  <si>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</si>
  <si>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</si>
  <si>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</si>
  <si>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</si>
  <si>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</si>
  <si>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</si>
  <si>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</si>
  <si>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</si>
  <si>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</si>
  <si>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</si>
  <si>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</si>
  <si>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</si>
  <si>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</si>
  <si>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</si>
  <si>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</si>
  <si>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</si>
  <si>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</si>
  <si>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</si>
  <si>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</si>
  <si>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</si>
  <si>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</si>
  <si>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</si>
  <si>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</si>
  <si>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</si>
  <si>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</si>
  <si>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</si>
  <si>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</si>
  <si>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</si>
  <si>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</si>
  <si>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</si>
  <si>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</si>
  <si>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</si>
  <si>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</si>
  <si>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</si>
  <si>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</si>
  <si>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</si>
  <si>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</si>
  <si>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</si>
  <si>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</si>
  <si>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</si>
  <si>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</si>
  <si>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</si>
  <si>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</si>
  <si>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</si>
  <si>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</si>
  <si>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</si>
  <si>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</si>
  <si>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</si>
  <si>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</si>
  <si>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</si>
  <si>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</si>
  <si>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</si>
  <si>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</si>
  <si>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</si>
  <si>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</si>
  <si>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</si>
  <si>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</si>
  <si>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</si>
  <si>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</si>
  <si>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</si>
  <si>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</si>
  <si>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</si>
  <si>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</si>
  <si>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</si>
  <si>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</si>
  <si>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</si>
  <si>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</si>
  <si>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</si>
  <si>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</si>
  <si>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</si>
  <si>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</si>
  <si>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</si>
  <si>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</si>
  <si>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</si>
  <si>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</si>
  <si>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</si>
  <si>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</si>
  <si>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</si>
  <si>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</si>
  <si>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</si>
  <si>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</si>
  <si>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</si>
  <si>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</si>
  <si>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</si>
  <si>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</si>
  <si>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</si>
  <si>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</si>
  <si>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</si>
  <si>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</si>
  <si>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</si>
  <si>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</si>
  <si>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</si>
  <si>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</si>
  <si>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</si>
  <si>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</si>
  <si>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</si>
  <si>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</si>
  <si>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</si>
  <si>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</si>
  <si>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</si>
  <si>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</si>
  <si>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</si>
  <si>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</si>
  <si>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</si>
  <si>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</si>
  <si>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</si>
  <si>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</si>
  <si>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</si>
  <si>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</si>
  <si>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</si>
  <si>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</si>
  <si>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</si>
  <si>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</si>
  <si>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</si>
  <si>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</si>
  <si>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</si>
  <si>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</si>
  <si>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</si>
  <si>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</si>
  <si>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</si>
  <si>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</si>
  <si>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</si>
  <si>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</si>
  <si>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</si>
  <si>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</si>
  <si>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</si>
  <si>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</si>
  <si>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</si>
  <si>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</si>
  <si>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</si>
  <si>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</si>
  <si>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</si>
  <si>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</si>
  <si>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</si>
  <si>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</si>
  <si>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</si>
  <si>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</si>
  <si>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</si>
  <si>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</si>
  <si>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</si>
  <si>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</si>
  <si>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</si>
  <si>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</si>
  <si>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</si>
  <si>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</si>
  <si>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</si>
  <si>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</si>
  <si>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</si>
  <si>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</si>
  <si>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</si>
  <si>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</si>
  <si>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</si>
  <si>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</si>
  <si>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</si>
  <si>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</si>
  <si>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</si>
  <si>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</si>
  <si>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</si>
  <si>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</si>
  <si>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</si>
  <si>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</si>
  <si>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</si>
  <si>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</si>
  <si>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</si>
  <si>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</si>
  <si>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</si>
  <si>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</si>
  <si>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</si>
  <si>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</si>
  <si>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</si>
  <si>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</si>
  <si>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</si>
  <si>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</si>
  <si>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</si>
  <si>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</si>
  <si>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</si>
  <si>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</si>
  <si>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</si>
  <si>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</si>
  <si>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</si>
  <si>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</si>
  <si>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</si>
  <si>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</si>
  <si>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</si>
  <si>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</si>
  <si>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</si>
  <si>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</si>
  <si>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</si>
  <si>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</si>
  <si>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</si>
  <si>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</si>
  <si>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</si>
  <si>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</si>
  <si>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</si>
  <si>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</si>
  <si>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</si>
  <si>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</si>
  <si>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</si>
  <si>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</si>
  <si>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</si>
  <si>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</si>
  <si>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</si>
  <si>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</si>
  <si>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</si>
  <si>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</si>
  <si>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</si>
  <si>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</si>
  <si>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</si>
  <si>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</si>
  <si>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</si>
  <si>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</si>
  <si>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</si>
  <si>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</si>
  <si>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</si>
  <si>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</si>
  <si>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</si>
  <si>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</si>
  <si>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</si>
  <si>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</si>
  <si>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</si>
  <si>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</si>
  <si>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</si>
  <si>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</si>
  <si>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</si>
  <si>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</si>
  <si>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</si>
  <si>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</si>
  <si>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</si>
  <si>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</si>
  <si>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</si>
  <si>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</si>
  <si>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</si>
  <si>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</si>
  <si>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</si>
  <si>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</si>
  <si>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</si>
  <si>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</si>
  <si>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</si>
  <si>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</si>
  <si>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</si>
  <si>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</si>
  <si>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</si>
  <si>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</si>
  <si>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</si>
  <si>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</si>
  <si>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</si>
  <si>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</si>
  <si>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</si>
  <si>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</si>
  <si>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</si>
  <si>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</si>
  <si>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</si>
  <si>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</si>
  <si>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</si>
  <si>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</si>
  <si>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</si>
  <si>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</si>
  <si>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</si>
  <si>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</si>
  <si>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</si>
  <si>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</si>
  <si>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</si>
  <si>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</si>
  <si>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</si>
  <si>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</si>
  <si>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</si>
  <si>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</si>
  <si>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</si>
  <si>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</si>
  <si>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</si>
  <si>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</si>
  <si>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</si>
  <si>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</si>
  <si>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</si>
  <si>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</si>
  <si>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</si>
  <si>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</si>
  <si>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</si>
  <si>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</si>
  <si>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</si>
  <si>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</si>
  <si>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</si>
  <si>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</si>
  <si>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</si>
  <si>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</si>
  <si>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</si>
  <si>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</si>
  <si>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</si>
  <si>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</si>
  <si>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</si>
  <si>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</si>
  <si>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</si>
  <si>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</si>
  <si>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</si>
  <si>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</si>
  <si>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</si>
  <si>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</si>
  <si>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</si>
  <si>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</si>
  <si>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</si>
  <si>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</si>
  <si>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</si>
  <si>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</si>
  <si>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</si>
  <si>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</si>
  <si>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</si>
  <si>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</si>
  <si>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</si>
  <si>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</si>
  <si>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</si>
  <si>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</si>
  <si>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</si>
  <si>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</si>
  <si>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</si>
  <si>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</si>
  <si>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</si>
  <si>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</si>
  <si>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</si>
  <si>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</si>
  <si>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</si>
  <si>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</si>
  <si>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</si>
  <si>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</si>
  <si>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</si>
  <si>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</si>
  <si>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</si>
  <si>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</si>
  <si>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</si>
  <si>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</si>
  <si>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</si>
  <si>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</si>
  <si>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</si>
  <si>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</si>
  <si>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</si>
  <si>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</si>
  <si>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</si>
  <si>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</si>
  <si>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</si>
  <si>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</si>
  <si>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</si>
  <si>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</si>
  <si>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</si>
  <si>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</si>
  <si>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</si>
  <si>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</si>
  <si>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</si>
  <si>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</si>
  <si>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</si>
  <si>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</si>
  <si>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</si>
  <si>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</si>
  <si>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</si>
  <si>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</si>
  <si>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</si>
  <si>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</si>
  <si>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</si>
  <si>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</si>
  <si>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</si>
  <si>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</si>
  <si>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</si>
  <si>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</si>
  <si>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</si>
  <si>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</si>
  <si>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</si>
  <si>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</si>
  <si>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</si>
  <si>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</si>
  <si>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</si>
  <si>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</si>
  <si>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</si>
  <si>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</si>
  <si>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</si>
  <si>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</si>
  <si>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</si>
  <si>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</si>
  <si>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</si>
  <si>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</si>
  <si>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</si>
  <si>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</si>
  <si>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</si>
  <si>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</si>
  <si>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</si>
  <si>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</si>
  <si>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</si>
  <si>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</si>
  <si>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</si>
  <si>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</si>
  <si>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</si>
  <si>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</si>
  <si>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</si>
  <si>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</si>
  <si>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</si>
  <si>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</si>
  <si>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</si>
  <si>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</si>
  <si>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</si>
  <si>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</si>
  <si>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</si>
  <si>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</si>
  <si>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</si>
  <si>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</si>
  <si>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</si>
  <si>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</si>
  <si>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</si>
  <si>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</si>
  <si>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</si>
  <si>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</si>
  <si>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</si>
  <si>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</si>
  <si>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</si>
  <si>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</si>
  <si>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</si>
  <si>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</si>
  <si>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</si>
  <si>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</si>
  <si>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</si>
  <si>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</si>
  <si>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</si>
  <si>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</si>
  <si>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</si>
  <si>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</si>
  <si>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</si>
  <si>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</si>
  <si>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</si>
  <si>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</si>
  <si>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</si>
  <si>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</si>
  <si>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</si>
  <si>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</si>
  <si>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</si>
  <si>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</si>
  <si>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</si>
  <si>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</si>
  <si>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</si>
  <si>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</si>
  <si>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</si>
  <si>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</si>
  <si>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</si>
  <si>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</si>
  <si>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</si>
  <si>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</si>
  <si>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</si>
  <si>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</si>
  <si>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</si>
  <si>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</si>
  <si>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</si>
  <si>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</si>
  <si>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</si>
  <si>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</si>
  <si>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</si>
  <si>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</si>
  <si>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</si>
  <si>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</si>
  <si>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</si>
  <si>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</si>
  <si>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</si>
  <si>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</si>
  <si>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</si>
  <si>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</si>
  <si>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</si>
  <si>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</si>
  <si>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</si>
  <si>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</si>
  <si>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</si>
  <si>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</si>
  <si>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</si>
  <si>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</si>
  <si>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</si>
  <si>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</si>
  <si>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</si>
  <si>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</si>
  <si>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</si>
  <si>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</si>
  <si>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</si>
  <si>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</si>
  <si>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</si>
  <si>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</si>
  <si>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</si>
  <si>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</si>
  <si>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</si>
  <si>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</si>
  <si>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</si>
  <si>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</si>
  <si>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</si>
  <si>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</si>
  <si>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</si>
  <si>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</si>
  <si>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</si>
  <si>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</si>
  <si>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</si>
  <si>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</si>
  <si>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</si>
  <si>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</si>
  <si>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</si>
  <si>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</si>
  <si>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</si>
  <si>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</si>
  <si>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</si>
  <si>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</si>
  <si>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</si>
  <si>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</si>
  <si>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</si>
  <si>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</si>
  <si>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</si>
  <si>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</si>
  <si>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</si>
  <si>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</si>
  <si>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</si>
  <si>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</si>
  <si>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</si>
  <si>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</si>
  <si>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</si>
  <si>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</si>
  <si>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</si>
  <si>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</si>
  <si>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</si>
  <si>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</si>
  <si>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</si>
  <si>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</si>
  <si>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</si>
  <si>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</si>
  <si>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</si>
  <si>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</si>
  <si>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</si>
  <si>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</si>
  <si>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</si>
  <si>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</si>
  <si>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</si>
  <si>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</si>
  <si>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</si>
  <si>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</si>
  <si>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</si>
  <si>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</si>
  <si>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</si>
  <si>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</si>
  <si>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</si>
  <si>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</si>
  <si>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</si>
  <si>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</si>
  <si>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</si>
  <si>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</si>
  <si>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</si>
  <si>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</si>
  <si>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</si>
  <si>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</si>
  <si>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</si>
  <si>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</si>
  <si>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</si>
  <si>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</si>
  <si>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</si>
  <si>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</si>
  <si>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</si>
  <si>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</si>
  <si>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</si>
  <si>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</si>
  <si>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</si>
  <si>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</si>
  <si>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</si>
  <si>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</si>
  <si>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</si>
  <si>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</si>
  <si>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</si>
  <si>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</si>
  <si>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</si>
  <si>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</si>
  <si>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</si>
  <si>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</si>
  <si>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</si>
  <si>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</si>
  <si>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</si>
  <si>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</si>
  <si>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</si>
  <si>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</si>
  <si>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</si>
  <si>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</si>
  <si>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</si>
  <si>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</si>
  <si>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</si>
  <si>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</si>
  <si>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</si>
  <si>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</si>
  <si>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</si>
  <si>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</si>
  <si>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</si>
  <si>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</si>
  <si>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</si>
  <si>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</si>
  <si>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</si>
  <si>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</si>
  <si>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</si>
  <si>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</si>
  <si>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</si>
  <si>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</si>
  <si>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</si>
  <si>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</si>
  <si>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</si>
  <si>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</si>
  <si>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</si>
  <si>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</si>
  <si>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</si>
  <si>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</si>
  <si>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</si>
  <si>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</si>
  <si>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</si>
  <si>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</si>
  <si>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</si>
  <si>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</si>
  <si>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</si>
  <si>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</si>
  <si>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</si>
  <si>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</si>
  <si>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</si>
  <si>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</si>
  <si>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</si>
  <si>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</si>
  <si>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</si>
  <si>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</si>
  <si>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</si>
  <si>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</si>
  <si>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</si>
  <si>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</si>
  <si>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</si>
  <si>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</si>
  <si>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</si>
  <si>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</si>
  <si>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</si>
  <si>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</si>
  <si>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</si>
  <si>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</si>
  <si>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</si>
  <si>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</si>
  <si>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</si>
  <si>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</si>
  <si>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</si>
  <si>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</si>
  <si>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</si>
  <si>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</si>
  <si>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</si>
  <si>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</si>
  <si>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</si>
  <si>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</si>
  <si>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</si>
  <si>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</si>
  <si>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</si>
  <si>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</si>
  <si>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</si>
  <si>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</si>
  <si>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</si>
  <si>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</si>
  <si>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</si>
  <si>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</si>
  <si>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</si>
  <si>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</si>
  <si>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</si>
  <si>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</si>
  <si>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</si>
  <si>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</si>
  <si>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</si>
  <si>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</si>
  <si>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</si>
  <si>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</si>
  <si>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</si>
  <si>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</si>
  <si>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</si>
  <si>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</si>
  <si>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</si>
  <si>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</si>
  <si>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</si>
  <si>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</si>
  <si>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</si>
  <si>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</si>
  <si>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</si>
  <si>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</si>
  <si>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</si>
  <si>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</si>
  <si>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</si>
  <si>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</si>
  <si>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</si>
  <si>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</si>
  <si>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</si>
  <si>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</si>
  <si>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</si>
  <si>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</si>
  <si>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</si>
  <si>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</si>
  <si>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</si>
  <si>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</si>
  <si>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</si>
  <si>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</si>
  <si>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</si>
  <si>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</si>
  <si>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</si>
  <si>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</si>
  <si>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</si>
  <si>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</si>
  <si>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</si>
  <si>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</si>
  <si>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</si>
  <si>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</si>
  <si>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</si>
  <si>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</si>
  <si>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</si>
  <si>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</si>
  <si>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</si>
  <si>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</si>
  <si>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</si>
  <si>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</si>
  <si>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</si>
  <si>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</si>
  <si>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</si>
  <si>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</si>
  <si>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</si>
  <si>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</si>
  <si>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</si>
  <si>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</si>
  <si>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</si>
  <si>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</si>
  <si>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</si>
  <si>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</si>
  <si>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</si>
  <si>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</si>
  <si>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</si>
  <si>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</si>
  <si>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</si>
  <si>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</si>
  <si>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</si>
  <si>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</si>
  <si>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</si>
  <si>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</si>
  <si>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</si>
  <si>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</si>
  <si>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</si>
  <si>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</si>
  <si>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</si>
  <si>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</si>
  <si>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</si>
  <si>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</si>
  <si>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</si>
  <si>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</si>
  <si>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</si>
  <si>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</si>
  <si>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</si>
  <si>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</si>
  <si>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</si>
  <si>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</si>
  <si>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</si>
  <si>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</si>
  <si>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</si>
  <si>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</si>
  <si>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</si>
  <si>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</si>
  <si>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</si>
  <si>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</si>
  <si>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</si>
  <si>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</si>
  <si>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</si>
  <si>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</si>
  <si>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</si>
  <si>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</si>
  <si>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</si>
  <si>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</si>
  <si>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</si>
  <si>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</si>
  <si>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</si>
  <si>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</si>
  <si>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</si>
  <si>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</si>
  <si>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</si>
  <si>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</si>
  <si>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</si>
  <si>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</si>
  <si>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</si>
  <si>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</si>
  <si>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</si>
  <si>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</si>
  <si>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</si>
  <si>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</si>
  <si>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</si>
  <si>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</si>
  <si>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</si>
  <si>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</si>
  <si>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</si>
  <si>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</si>
  <si>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</si>
  <si>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</si>
  <si>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</si>
  <si>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</si>
  <si>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</si>
  <si>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</si>
  <si>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</si>
  <si>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</si>
  <si>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</si>
  <si>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</si>
  <si>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</si>
  <si>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</si>
  <si>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</si>
  <si>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</si>
  <si>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</si>
  <si>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</si>
  <si>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</si>
  <si>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</si>
  <si>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</si>
  <si>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</si>
  <si>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</si>
  <si>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</si>
  <si>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</si>
  <si>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</si>
  <si>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</si>
  <si>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</si>
  <si>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</si>
  <si>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</si>
  <si>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</si>
  <si>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</si>
  <si>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</si>
  <si>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</si>
  <si>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</si>
  <si>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</si>
  <si>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</si>
  <si>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</si>
  <si>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</si>
  <si>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</si>
  <si>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</si>
  <si>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</si>
  <si>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</si>
  <si>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</si>
  <si>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</si>
  <si>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</si>
  <si>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</si>
  <si>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</si>
  <si>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</si>
  <si>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</si>
  <si>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</si>
  <si>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</si>
  <si>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</si>
  <si>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</si>
  <si>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</si>
  <si>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</si>
  <si>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</si>
  <si>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</si>
  <si>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</si>
  <si>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</si>
  <si>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</si>
  <si>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</si>
  <si>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</si>
  <si>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</si>
  <si>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</si>
  <si>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</si>
  <si>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</si>
  <si>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</si>
  <si>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</si>
  <si>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</si>
  <si>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</si>
  <si>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</si>
  <si>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</si>
  <si>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</si>
  <si>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</si>
  <si>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</si>
  <si>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</si>
  <si>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</si>
  <si>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</si>
  <si>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</si>
  <si>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</si>
  <si>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</si>
  <si>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</si>
  <si>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</si>
  <si>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</si>
  <si>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</si>
  <si>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</si>
  <si>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</si>
  <si>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</si>
  <si>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</si>
  <si>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</si>
  <si>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</si>
  <si>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</si>
  <si>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</si>
  <si>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</si>
  <si>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</si>
  <si>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</si>
  <si>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</si>
  <si>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</si>
  <si>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</si>
  <si>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</si>
  <si>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</si>
  <si>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</si>
  <si>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</si>
  <si>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</si>
  <si>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</si>
  <si>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</si>
  <si>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</si>
  <si>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</si>
  <si>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</si>
  <si>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</si>
  <si>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</si>
  <si>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</si>
  <si>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</si>
  <si>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</si>
  <si>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</si>
  <si>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</si>
  <si>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</si>
  <si>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</si>
  <si>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</si>
  <si>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</si>
  <si>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</si>
  <si>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</si>
  <si>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</si>
  <si>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</si>
  <si>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</si>
  <si>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</si>
  <si>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</si>
  <si>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</si>
  <si>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</si>
  <si>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</si>
  <si>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</si>
  <si>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</si>
  <si>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</si>
  <si>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</si>
  <si>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</si>
  <si>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</si>
  <si>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</si>
  <si>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</si>
  <si>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</si>
  <si>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</si>
  <si>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</si>
  <si>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</si>
  <si>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</si>
  <si>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</si>
  <si>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</si>
  <si>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</si>
  <si>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</si>
  <si>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</si>
  <si>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</si>
  <si>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</si>
  <si>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</si>
  <si>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</si>
  <si>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</si>
  <si>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</si>
  <si>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</si>
  <si>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</si>
  <si>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</si>
  <si>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</si>
  <si>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</si>
  <si>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</si>
  <si>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</si>
  <si>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</si>
  <si>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</si>
  <si>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</si>
  <si>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</si>
  <si>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</si>
  <si>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</si>
  <si>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</si>
  <si>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</si>
  <si>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</si>
  <si>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</si>
  <si>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</si>
  <si>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</si>
  <si>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</si>
  <si>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</si>
  <si>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</si>
  <si>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</si>
  <si>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</si>
  <si>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</si>
  <si>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</si>
  <si>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</si>
  <si>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</si>
  <si>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</si>
  <si>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</si>
  <si>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</si>
  <si>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</si>
  <si>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</si>
  <si>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</si>
  <si>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</si>
  <si>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</si>
  <si>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</si>
  <si>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</si>
  <si>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</si>
  <si>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</si>
  <si>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</si>
  <si>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</si>
  <si>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</si>
  <si>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</si>
  <si>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</si>
  <si>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</si>
  <si>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</si>
  <si>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</si>
  <si>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</si>
  <si>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</si>
  <si>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</si>
  <si>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</si>
  <si>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</si>
  <si>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</si>
  <si>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</si>
  <si>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</si>
  <si>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</si>
  <si>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</si>
  <si>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</si>
  <si>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</si>
  <si>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</si>
  <si>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</si>
  <si>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</si>
  <si>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</si>
  <si>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</si>
  <si>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</si>
  <si>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</si>
  <si>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</si>
  <si>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</si>
  <si>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</si>
  <si>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</si>
  <si>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</si>
  <si>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</si>
  <si>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</si>
  <si>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</si>
  <si>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</si>
  <si>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</si>
  <si>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</si>
  <si>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</si>
  <si>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</si>
  <si>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</si>
  <si>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</si>
  <si>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</si>
  <si>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</si>
  <si>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</si>
  <si>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</si>
  <si>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</si>
  <si>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</si>
  <si>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</si>
  <si>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</si>
  <si>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</si>
  <si>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</si>
  <si>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</si>
  <si>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</si>
  <si>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</si>
  <si>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</si>
  <si>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</si>
  <si>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</si>
  <si>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</si>
  <si>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</si>
  <si>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</si>
  <si>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</si>
  <si>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</si>
  <si>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</si>
  <si>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</si>
  <si>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</si>
  <si>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</si>
  <si>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</si>
  <si>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</si>
  <si>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</si>
  <si>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</si>
  <si>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</si>
  <si>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</si>
  <si>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</si>
  <si>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</si>
  <si>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</si>
  <si>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</si>
  <si>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</si>
  <si>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</si>
  <si>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</si>
  <si>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</si>
  <si>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</si>
  <si>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</si>
  <si>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</si>
  <si>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</si>
  <si>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</si>
  <si>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</si>
  <si>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</si>
  <si>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</si>
  <si>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</si>
  <si>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</si>
  <si>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</si>
  <si>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</si>
  <si>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</si>
  <si>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</si>
  <si>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</si>
  <si>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</si>
  <si>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</si>
  <si>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</si>
  <si>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</si>
  <si>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</si>
  <si>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</si>
  <si>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</si>
  <si>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</si>
  <si>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</si>
  <si>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</si>
  <si>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</si>
  <si>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</si>
  <si>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</si>
  <si>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</si>
  <si>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</si>
  <si>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</si>
  <si>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</si>
  <si>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</si>
  <si>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</si>
  <si>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</si>
  <si>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</si>
  <si>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</si>
  <si>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</si>
  <si>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</si>
  <si>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</si>
  <si>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</si>
  <si>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</si>
  <si>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</si>
  <si>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</si>
  <si>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</si>
  <si>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</si>
  <si>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</si>
  <si>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</si>
  <si>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</si>
  <si>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</si>
  <si>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</si>
  <si>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</si>
  <si>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</si>
  <si>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</si>
  <si>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</si>
  <si>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</si>
  <si>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</si>
  <si>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</si>
  <si>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</si>
  <si>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</si>
  <si>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</si>
  <si>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</si>
  <si>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</si>
  <si>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</si>
  <si>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</si>
  <si>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</si>
  <si>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</si>
  <si>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</si>
  <si>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</si>
  <si>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</si>
  <si>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</si>
  <si>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</si>
  <si>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</si>
  <si>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</si>
  <si>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</si>
  <si>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</si>
  <si>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</si>
  <si>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</si>
  <si>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</si>
  <si>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</si>
  <si>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</si>
  <si>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</si>
  <si>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</si>
  <si>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</si>
  <si>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</si>
  <si>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</si>
  <si>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</si>
  <si>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</si>
  <si>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</si>
  <si>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</si>
  <si>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</si>
  <si>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</si>
  <si>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</si>
  <si>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</si>
  <si>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</si>
  <si>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</si>
  <si>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</si>
  <si>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</si>
  <si>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</si>
  <si>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</si>
  <si>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</si>
  <si>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</si>
  <si>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</si>
  <si>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</si>
  <si>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</si>
  <si>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</si>
  <si>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</si>
  <si>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</si>
  <si>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</si>
  <si>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</si>
  <si>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</si>
  <si>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</si>
  <si>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</si>
  <si>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</si>
  <si>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</si>
  <si>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</si>
  <si>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</si>
  <si>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</si>
  <si>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</si>
  <si>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</si>
  <si>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</si>
  <si>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</si>
  <si>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</si>
  <si>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</si>
  <si>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</si>
  <si>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</si>
  <si>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</si>
  <si>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</si>
  <si>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</si>
  <si>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</si>
  <si>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</si>
  <si>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</si>
  <si>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</si>
  <si>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</si>
  <si>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</si>
  <si>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</si>
  <si>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</si>
  <si>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</si>
  <si>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</si>
  <si>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</si>
  <si>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</si>
  <si>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</si>
  <si>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</si>
  <si>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</si>
  <si>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</si>
  <si>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</si>
  <si>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</si>
  <si>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</si>
  <si>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</si>
  <si>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</si>
  <si>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</si>
  <si>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</si>
  <si>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</si>
  <si>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</si>
  <si>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</si>
  <si>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</si>
  <si>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</si>
  <si>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</si>
  <si>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</si>
  <si>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</si>
  <si>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</si>
  <si>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</si>
  <si>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</si>
  <si>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</si>
  <si>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</si>
  <si>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</si>
  <si>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</si>
  <si>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</si>
  <si>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</si>
  <si>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</si>
  <si>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</si>
  <si>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</si>
  <si>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</si>
  <si>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</si>
  <si>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</si>
  <si>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</si>
  <si>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</si>
  <si>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</si>
  <si>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</si>
  <si>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</si>
  <si>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</si>
  <si>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</si>
  <si>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</si>
  <si>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</si>
  <si>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</si>
  <si>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</si>
  <si>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</si>
  <si>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</si>
  <si>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</si>
  <si>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</si>
  <si>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</si>
  <si>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</si>
  <si>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</si>
  <si>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</si>
  <si>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</si>
  <si>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</si>
  <si>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</si>
  <si>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</si>
  <si>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</si>
  <si>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</si>
  <si>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</si>
  <si>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</si>
  <si>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</si>
  <si>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</si>
  <si>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</si>
  <si>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</si>
  <si>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</si>
  <si>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</si>
  <si>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</si>
  <si>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</si>
  <si>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</si>
  <si>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</si>
  <si>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</si>
  <si>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</si>
  <si>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</si>
  <si>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</si>
  <si>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</si>
  <si>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</si>
  <si>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</si>
  <si>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</si>
  <si>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</si>
  <si>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</si>
  <si>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</si>
  <si>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</si>
  <si>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</si>
  <si>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</si>
  <si>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</si>
  <si>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</si>
  <si>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</si>
  <si>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</si>
  <si>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</si>
  <si>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</si>
  <si>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</si>
  <si>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</si>
  <si>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</si>
  <si>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</si>
  <si>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</si>
  <si>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</si>
  <si>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</si>
  <si>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</si>
  <si>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</si>
  <si>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</si>
  <si>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</si>
  <si>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</si>
  <si>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</si>
  <si>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</si>
  <si>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</si>
  <si>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</si>
  <si>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</si>
  <si>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</si>
  <si>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</si>
  <si>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</si>
  <si>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</si>
  <si>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</si>
  <si>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</si>
  <si>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</si>
  <si>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</si>
  <si>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</si>
  <si>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</si>
  <si>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</si>
  <si>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</si>
  <si>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</si>
  <si>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</si>
  <si>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</si>
  <si>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</si>
  <si>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</si>
  <si>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</si>
  <si>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</si>
  <si>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</si>
  <si>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</si>
  <si>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</si>
  <si>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</si>
  <si>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</si>
  <si>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</si>
  <si>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</si>
  <si>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</si>
  <si>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</si>
  <si>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</si>
  <si>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</si>
  <si>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</si>
  <si>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</si>
  <si>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</si>
  <si>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</si>
  <si>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</si>
  <si>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</si>
  <si>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</si>
  <si>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</si>
  <si>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</si>
  <si>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</si>
  <si>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</si>
  <si>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</si>
  <si>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</si>
  <si>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</si>
  <si>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</si>
  <si>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</si>
  <si>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</si>
  <si>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</si>
  <si>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</si>
  <si>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</si>
  <si>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</si>
  <si>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</si>
  <si>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</si>
  <si>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</si>
  <si>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</si>
  <si>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</si>
  <si>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</si>
  <si>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</si>
  <si>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</si>
  <si>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</si>
  <si>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</si>
  <si>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</si>
  <si>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</si>
  <si>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</si>
  <si>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</si>
  <si>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</si>
  <si>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</si>
  <si>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</si>
  <si>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</si>
  <si>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</si>
  <si>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</si>
  <si>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</si>
  <si>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</si>
  <si>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</si>
  <si>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</si>
  <si>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</si>
  <si>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</si>
  <si>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</si>
  <si>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</si>
  <si>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</si>
  <si>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</si>
  <si>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</si>
  <si>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</si>
  <si>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</si>
  <si>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</si>
  <si>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</si>
  <si>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</si>
  <si>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</si>
  <si>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</si>
  <si>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</si>
  <si>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</si>
  <si>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</si>
  <si>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</si>
  <si>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</si>
  <si>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</si>
  <si>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</si>
  <si>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</si>
  <si>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</si>
  <si>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</si>
  <si>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</si>
  <si>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</si>
  <si>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</si>
  <si>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</si>
  <si>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</si>
  <si>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</si>
  <si>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</si>
  <si>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</si>
  <si>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</si>
  <si>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</si>
  <si>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</si>
  <si>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</si>
  <si>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</si>
  <si>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</si>
  <si>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</si>
  <si>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</si>
  <si>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</si>
  <si>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</si>
  <si>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</si>
  <si>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</si>
  <si>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</si>
  <si>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</si>
  <si>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</si>
  <si>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</si>
  <si>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</si>
  <si>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</si>
  <si>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</si>
  <si>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</si>
  <si>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</si>
  <si>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</si>
  <si>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</si>
  <si>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</si>
  <si>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</si>
  <si>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</si>
  <si>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</si>
  <si>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</si>
  <si>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</si>
  <si>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</si>
  <si>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</si>
  <si>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</si>
  <si>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</si>
  <si>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</si>
  <si>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</si>
  <si>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</si>
  <si>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</si>
  <si>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</si>
  <si>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</si>
  <si>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</si>
  <si>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</si>
  <si>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</si>
  <si>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</si>
  <si>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</si>
  <si>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</si>
  <si>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</si>
  <si>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</si>
  <si>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</si>
  <si>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</si>
  <si>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</si>
  <si>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</si>
  <si>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</si>
  <si>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</si>
  <si>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</si>
  <si>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</si>
  <si>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</si>
  <si>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</si>
  <si>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</si>
  <si>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</si>
  <si>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</si>
  <si>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</si>
  <si>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</si>
  <si>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</si>
  <si>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</si>
  <si>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</si>
  <si>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</si>
  <si>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</si>
  <si>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</si>
  <si>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</si>
  <si>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</si>
  <si>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</si>
  <si>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</si>
  <si>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</si>
  <si>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</si>
  <si>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</si>
  <si>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</si>
  <si>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</si>
  <si>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</si>
  <si>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</si>
  <si>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</si>
  <si>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</si>
  <si>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</si>
  <si>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</si>
  <si>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</si>
  <si>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</si>
  <si>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</si>
  <si>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</si>
  <si>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</si>
  <si>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</si>
  <si>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</si>
  <si>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</si>
  <si>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</si>
  <si>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</si>
  <si>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</si>
  <si>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</si>
  <si>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</si>
  <si>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</si>
  <si>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</si>
  <si>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</si>
  <si>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</si>
  <si>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</si>
  <si>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</si>
  <si>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</si>
  <si>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</si>
  <si>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</si>
  <si>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</si>
  <si>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</si>
  <si>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</si>
  <si>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</si>
  <si>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</si>
  <si>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</si>
  <si>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</si>
  <si>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</si>
  <si>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</si>
  <si>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</si>
  <si>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</si>
  <si>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</si>
  <si>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</si>
  <si>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</si>
  <si>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</si>
  <si>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</si>
  <si>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</si>
  <si>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</si>
  <si>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</si>
  <si>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</si>
  <si>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</si>
  <si>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</si>
  <si>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</si>
  <si>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</si>
  <si>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</si>
  <si>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</si>
  <si>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</si>
  <si>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</si>
  <si>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</si>
  <si>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</si>
  <si>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</si>
  <si>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</si>
  <si>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</si>
  <si>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</si>
  <si>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</si>
  <si>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</si>
  <si>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</si>
  <si>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</si>
  <si>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</si>
  <si>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</si>
  <si>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</si>
  <si>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</si>
  <si>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</si>
  <si>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</si>
  <si>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</si>
  <si>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</si>
  <si>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</si>
  <si>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</si>
  <si>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</si>
  <si>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</si>
  <si>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</si>
  <si>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</si>
  <si>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</si>
  <si>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</si>
  <si>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</si>
  <si>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</si>
  <si>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</si>
  <si>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</si>
  <si>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</si>
  <si>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</si>
  <si>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</si>
  <si>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</si>
  <si>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</si>
  <si>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</si>
  <si>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</si>
  <si>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</si>
  <si>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</si>
  <si>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</si>
  <si>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</si>
  <si>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</si>
  <si>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</si>
  <si>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</si>
  <si>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</si>
  <si>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</si>
  <si>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</si>
  <si>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</si>
  <si>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</si>
  <si>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</si>
  <si>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</si>
  <si>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</si>
  <si>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</si>
  <si>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</si>
  <si>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</si>
  <si>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</si>
  <si>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</si>
  <si>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</si>
  <si>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</si>
  <si>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</si>
  <si>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</si>
  <si>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</si>
  <si>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</si>
  <si>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</si>
  <si>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</si>
  <si>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</si>
  <si>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</si>
  <si>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</si>
  <si>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</si>
  <si>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</si>
  <si>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</si>
  <si>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</si>
  <si>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</si>
  <si>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</si>
  <si>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</si>
  <si>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</si>
  <si>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</si>
  <si>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</si>
  <si>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</si>
  <si>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</si>
  <si>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</si>
  <si>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</si>
  <si>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</si>
  <si>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</si>
  <si>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</si>
  <si>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</si>
  <si>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</si>
  <si>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</si>
  <si>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</si>
  <si>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</si>
  <si>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</si>
  <si>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</si>
  <si>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</si>
  <si>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</si>
  <si>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</si>
  <si>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</si>
  <si>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</si>
  <si>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</si>
  <si>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</si>
  <si>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</si>
  <si>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</si>
  <si>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</si>
  <si>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</si>
  <si>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</si>
  <si>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</si>
  <si>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</si>
  <si>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</si>
  <si>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</si>
  <si>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</si>
  <si>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</si>
  <si>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</si>
  <si>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</si>
  <si>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</si>
  <si>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</si>
  <si>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</si>
  <si>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</si>
  <si>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</si>
  <si>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</si>
  <si>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</si>
  <si>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</si>
  <si>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</si>
  <si>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</si>
  <si>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</si>
  <si>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</si>
  <si>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</si>
  <si>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</si>
  <si>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</si>
  <si>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</si>
  <si>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</si>
  <si>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</si>
  <si>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</si>
  <si>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</si>
  <si>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</si>
  <si>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</si>
  <si>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</si>
  <si>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</si>
  <si>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</si>
  <si>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</si>
  <si>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</si>
  <si>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</si>
  <si>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</si>
  <si>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</si>
  <si>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</si>
  <si>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</si>
  <si>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</si>
  <si>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</si>
  <si>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</si>
  <si>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</si>
  <si>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</si>
  <si>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</si>
  <si>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</si>
  <si>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</si>
  <si>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</si>
  <si>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</si>
  <si>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</si>
  <si>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</si>
  <si>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</si>
  <si>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</si>
  <si>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</si>
  <si>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</si>
  <si>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</si>
  <si>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</si>
  <si>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</si>
  <si>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</si>
  <si>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</si>
  <si>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</si>
  <si>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</si>
  <si>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</si>
  <si>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</si>
  <si>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</si>
  <si>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</si>
  <si>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</si>
  <si>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</si>
  <si>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</si>
  <si>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</si>
  <si>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</si>
  <si>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</si>
  <si>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</si>
  <si>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</si>
  <si>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</si>
  <si>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</si>
  <si>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</si>
  <si>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</si>
  <si>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</si>
  <si>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</si>
  <si>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</si>
  <si>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</si>
  <si>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</si>
  <si>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</si>
  <si>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</si>
  <si>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</si>
  <si>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</si>
  <si>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</si>
  <si>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</si>
  <si>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</si>
  <si>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</si>
  <si>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</si>
  <si>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</si>
  <si>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</si>
  <si>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</si>
  <si>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</si>
  <si>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</si>
  <si>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</si>
  <si>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</si>
  <si>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</si>
  <si>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</si>
  <si>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</si>
  <si>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</si>
  <si>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</si>
  <si>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</si>
  <si>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</si>
  <si>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</si>
  <si>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</si>
  <si>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</si>
  <si>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</si>
  <si>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</si>
  <si>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</si>
  <si>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</si>
  <si>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</si>
  <si>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</si>
  <si>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</si>
  <si>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</si>
  <si>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</si>
  <si>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</si>
  <si>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</si>
  <si>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</si>
  <si>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</si>
  <si>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</si>
  <si>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</si>
  <si>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</si>
  <si>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</si>
  <si>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</si>
  <si>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</si>
  <si>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</si>
  <si>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</si>
  <si>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</si>
  <si>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</si>
  <si>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</si>
  <si>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</si>
  <si>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</si>
  <si>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</si>
  <si>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</si>
  <si>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</si>
  <si>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</si>
  <si>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</si>
  <si>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</si>
  <si>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</si>
  <si>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</si>
  <si>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</si>
  <si>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</si>
  <si>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</si>
  <si>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</si>
  <si>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</si>
  <si>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</si>
  <si>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</si>
  <si>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</si>
  <si>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</si>
  <si>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</si>
  <si>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</si>
  <si>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</si>
  <si>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</si>
  <si>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</si>
  <si>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</si>
  <si>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</si>
  <si>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</si>
  <si>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</si>
  <si>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</si>
  <si>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</si>
  <si>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</si>
  <si>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</si>
  <si>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</si>
  <si>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</si>
  <si>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</si>
  <si>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</si>
  <si>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</si>
  <si>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</si>
  <si>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</si>
  <si>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</si>
  <si>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</si>
  <si>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</si>
  <si>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</si>
  <si>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</si>
  <si>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</si>
  <si>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</si>
  <si>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</si>
  <si>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</si>
  <si>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</si>
  <si>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</si>
  <si>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</si>
  <si>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</si>
  <si>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</si>
  <si>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</si>
  <si>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</si>
  <si>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</si>
  <si>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</si>
  <si>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</si>
  <si>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</si>
  <si>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</si>
  <si>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</si>
  <si>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</si>
  <si>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</si>
  <si>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</si>
  <si>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</si>
  <si>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</si>
  <si>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</si>
  <si>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</si>
  <si>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</si>
  <si>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</si>
  <si>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</si>
  <si>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</si>
  <si>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</si>
  <si>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</si>
  <si>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</si>
  <si>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</si>
  <si>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</si>
  <si>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</si>
  <si>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</si>
  <si>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</si>
  <si>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</si>
  <si>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</si>
  <si>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</si>
  <si>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</si>
  <si>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</si>
  <si>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</si>
  <si>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</si>
  <si>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</si>
  <si>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</si>
  <si>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</si>
  <si>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</si>
  <si>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</si>
  <si>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</si>
  <si>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</si>
  <si>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</si>
  <si>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</si>
  <si>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</si>
  <si>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</si>
  <si>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</si>
  <si>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</si>
  <si>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</si>
  <si>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</si>
  <si>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</si>
  <si>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</si>
  <si>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</si>
  <si>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</si>
  <si>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</si>
  <si>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</si>
  <si>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</si>
  <si>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</si>
  <si>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</si>
  <si>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</si>
  <si>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</si>
  <si>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</si>
  <si>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</si>
  <si>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</si>
  <si>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</si>
  <si>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</si>
  <si>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</si>
  <si>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</si>
  <si>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</si>
  <si>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</si>
  <si>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</si>
  <si>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</si>
  <si>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</si>
  <si>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</si>
  <si>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</si>
  <si>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</si>
  <si>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</si>
  <si>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</si>
  <si>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</si>
  <si>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</si>
  <si>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</si>
  <si>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</si>
  <si>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</si>
  <si>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</si>
  <si>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</si>
  <si>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</si>
  <si>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</si>
  <si>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</si>
  <si>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</si>
  <si>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</si>
  <si>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</si>
  <si>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</si>
  <si>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</si>
  <si>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</si>
  <si>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</si>
  <si>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</si>
  <si>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</si>
  <si>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</si>
  <si>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</si>
  <si>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</si>
  <si>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</si>
  <si>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</si>
  <si>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</si>
  <si>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</si>
  <si>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</si>
  <si>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</si>
  <si>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</si>
  <si>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</si>
  <si>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</si>
  <si>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</si>
  <si>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</si>
  <si>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</si>
  <si>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</si>
  <si>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</si>
  <si>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</si>
  <si>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</si>
  <si>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</si>
  <si>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</si>
  <si>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</si>
  <si>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</si>
  <si>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</si>
  <si>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</si>
  <si>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</si>
  <si>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</si>
  <si>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</si>
  <si>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</si>
  <si>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</si>
  <si>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</si>
  <si>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</si>
  <si>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</si>
  <si>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</si>
  <si>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</si>
  <si>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</si>
  <si>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</si>
  <si>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</si>
  <si>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</si>
  <si>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</si>
  <si>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</si>
  <si>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</si>
  <si>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</si>
  <si>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</si>
  <si>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</si>
  <si>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</si>
  <si>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</si>
  <si>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</si>
  <si>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</si>
  <si>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</si>
  <si>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</si>
  <si>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</si>
  <si>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</si>
  <si>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</si>
  <si>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</si>
  <si>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</si>
  <si>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</si>
  <si>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</si>
  <si>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</si>
  <si>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</si>
  <si>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</si>
  <si>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</si>
  <si>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</si>
  <si>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</si>
  <si>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</si>
  <si>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</si>
  <si>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</si>
  <si>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</si>
  <si>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</si>
  <si>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</si>
  <si>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</si>
  <si>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</si>
  <si>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</si>
  <si>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</si>
  <si>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</si>
  <si>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</si>
  <si>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</si>
  <si>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</si>
  <si>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</si>
  <si>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</si>
  <si>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</si>
  <si>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</si>
  <si>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</si>
  <si>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</si>
  <si>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</si>
  <si>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</si>
  <si>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</si>
  <si>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</si>
  <si>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</si>
  <si>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</si>
  <si>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</si>
  <si>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</si>
  <si>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</si>
  <si>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</si>
  <si>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</si>
  <si>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</si>
  <si>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</si>
  <si>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</si>
  <si>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</si>
  <si>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</si>
  <si>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</si>
  <si>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</si>
  <si>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</si>
  <si>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</si>
  <si>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</si>
  <si>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</si>
  <si>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</si>
  <si>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</si>
  <si>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</si>
  <si>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</si>
  <si>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</si>
  <si>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</si>
  <si>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</si>
  <si>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</si>
  <si>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</si>
  <si>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</si>
  <si>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</si>
  <si>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</si>
  <si>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</si>
  <si>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</si>
  <si>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</si>
  <si>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</si>
  <si>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</si>
  <si>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</si>
  <si>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</si>
  <si>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</si>
  <si>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</si>
  <si>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</si>
  <si>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</si>
  <si>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</si>
  <si>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</si>
  <si>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</si>
  <si>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</si>
  <si>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</si>
  <si>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</si>
  <si>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</si>
  <si>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</si>
  <si>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</si>
  <si>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</si>
  <si>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</si>
  <si>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</si>
  <si>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</si>
  <si>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</si>
  <si>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</si>
  <si>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</si>
  <si>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</si>
  <si>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</si>
  <si>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</si>
  <si>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</si>
  <si>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</si>
  <si>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</si>
  <si>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</si>
  <si>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</si>
  <si>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</si>
  <si>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</si>
  <si>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</si>
  <si>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</si>
  <si>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</si>
  <si>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</si>
  <si>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</si>
  <si>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</si>
  <si>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</si>
  <si>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</si>
  <si>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</si>
  <si>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</si>
  <si>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</si>
  <si>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</si>
  <si>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</si>
  <si>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</si>
  <si>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</si>
  <si>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</si>
  <si>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</si>
  <si>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</si>
  <si>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</si>
  <si>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</si>
  <si>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</si>
  <si>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</si>
  <si>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</si>
  <si>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</si>
  <si>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</si>
  <si>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</si>
  <si>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</si>
  <si>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</si>
  <si>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</si>
  <si>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</si>
  <si>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</si>
  <si>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</si>
  <si>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</si>
  <si>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</si>
  <si>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</si>
  <si>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</si>
  <si>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</si>
  <si>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</si>
  <si>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</si>
  <si>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</si>
  <si>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</si>
  <si>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</si>
  <si>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</si>
  <si>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</si>
  <si>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</si>
  <si>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</si>
  <si>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</si>
  <si>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</si>
  <si>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</si>
  <si>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</si>
  <si>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</si>
  <si>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</si>
  <si>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</si>
  <si>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</si>
  <si>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</si>
  <si>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</si>
  <si>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</si>
  <si>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</si>
  <si>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</si>
  <si>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</si>
  <si>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</si>
  <si>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</si>
  <si>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</si>
  <si>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</si>
  <si>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</si>
  <si>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</si>
  <si>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</si>
  <si>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</si>
  <si>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</si>
  <si>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</si>
  <si>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</si>
  <si>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</si>
  <si>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</si>
  <si>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</si>
  <si>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</si>
  <si>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</si>
  <si>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</si>
  <si>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</si>
  <si>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</si>
  <si>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</si>
  <si>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</si>
  <si>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</si>
  <si>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</si>
  <si>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</si>
  <si>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</si>
  <si>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</si>
  <si>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</si>
  <si>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</si>
  <si>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</si>
  <si>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</si>
  <si>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</si>
  <si>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</si>
  <si>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</si>
  <si>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</si>
  <si>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</si>
  <si>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</si>
  <si>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</si>
  <si>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</si>
  <si>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</si>
  <si>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</si>
  <si>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</si>
  <si>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</si>
  <si>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</si>
  <si>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</si>
  <si>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</si>
  <si>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</si>
  <si>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</si>
  <si>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</si>
  <si>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</si>
  <si>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</si>
  <si>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</si>
  <si>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</si>
  <si>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</si>
  <si>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</si>
  <si>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</si>
  <si>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</si>
  <si>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</si>
  <si>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</si>
  <si>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</si>
  <si>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</si>
  <si>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</si>
  <si>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</si>
  <si>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</si>
  <si>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</si>
  <si>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</si>
  <si>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</si>
  <si>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</si>
  <si>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</si>
  <si>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</si>
  <si>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</si>
  <si>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</si>
  <si>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</si>
  <si>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</si>
  <si>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</si>
  <si>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</si>
  <si>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</si>
  <si>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</si>
  <si>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</si>
  <si>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</si>
  <si>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</si>
  <si>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</si>
  <si>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</si>
  <si>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</si>
  <si>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</si>
  <si>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</si>
  <si>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</si>
  <si>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</si>
  <si>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</si>
  <si>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</si>
  <si>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</si>
  <si>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</si>
  <si>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</si>
  <si>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</si>
  <si>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</si>
  <si>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</si>
  <si>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</si>
  <si>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</si>
  <si>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</si>
  <si>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</si>
  <si>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</si>
  <si>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</si>
  <si>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</si>
  <si>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</si>
  <si>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</si>
  <si>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</si>
  <si>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</si>
  <si>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</si>
  <si>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</si>
  <si>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</si>
  <si>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</si>
  <si>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</si>
  <si>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</si>
  <si>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</si>
  <si>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</si>
  <si>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</si>
  <si>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</si>
  <si>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</si>
  <si>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</si>
  <si>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</si>
  <si>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</si>
  <si>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</si>
  <si>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</si>
  <si>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</si>
  <si>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</si>
  <si>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</si>
  <si>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</si>
  <si>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</si>
  <si>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</si>
  <si>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</si>
  <si>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</si>
  <si>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</si>
  <si>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</si>
  <si>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</si>
  <si>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</si>
  <si>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</si>
  <si>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</si>
  <si>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</si>
  <si>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</si>
  <si>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</si>
  <si>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</si>
  <si>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</si>
  <si>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</si>
  <si>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</si>
  <si>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</si>
  <si>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</si>
  <si>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</si>
  <si>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</si>
  <si>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</si>
  <si>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</si>
  <si>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</si>
  <si>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</si>
  <si>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</si>
  <si>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</si>
  <si>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</si>
  <si>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</si>
  <si>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</si>
  <si>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</si>
  <si>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</si>
  <si>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</si>
  <si>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</si>
  <si>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</si>
  <si>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</si>
  <si>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</si>
  <si>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</si>
  <si>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</si>
  <si>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</si>
  <si>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</si>
  <si>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</si>
  <si>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</si>
  <si>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</si>
  <si>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</si>
  <si>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</si>
  <si>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</si>
  <si>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</si>
  <si>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</si>
  <si>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</si>
  <si>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</si>
  <si>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</si>
  <si>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</si>
  <si>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</si>
  <si>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</si>
  <si>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</si>
  <si>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</si>
  <si>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</si>
  <si>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</si>
  <si>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</si>
  <si>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</si>
  <si>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</si>
  <si>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</si>
  <si>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</si>
  <si>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</si>
  <si>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</si>
  <si>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</si>
  <si>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</si>
  <si>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</si>
  <si>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</si>
  <si>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</si>
  <si>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</si>
  <si>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</si>
  <si>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</si>
  <si>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</si>
  <si>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</si>
  <si>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</si>
  <si>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</si>
  <si>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</si>
  <si>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</si>
  <si>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</si>
  <si>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</si>
  <si>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</si>
  <si>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</si>
  <si>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</si>
  <si>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</si>
  <si>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</si>
  <si>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</si>
  <si>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</si>
  <si>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</si>
  <si>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</si>
  <si>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</si>
  <si>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</si>
  <si>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</si>
  <si>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</si>
  <si>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</si>
  <si>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</si>
  <si>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</si>
  <si>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</si>
  <si>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</si>
  <si>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</si>
  <si>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</si>
  <si>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</si>
  <si>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</si>
  <si>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</si>
  <si>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</si>
  <si>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</si>
  <si>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</si>
  <si>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</si>
  <si>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</si>
  <si>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</si>
  <si>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</si>
  <si>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</si>
  <si>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</si>
  <si>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</si>
  <si>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</si>
  <si>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</si>
  <si>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</si>
  <si>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</si>
  <si>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</si>
  <si>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</si>
  <si>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</si>
  <si>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</si>
  <si>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</si>
  <si>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</si>
  <si>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</si>
  <si>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</si>
  <si>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</si>
  <si>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</si>
  <si>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</si>
  <si>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</si>
  <si>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</si>
  <si>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</si>
  <si>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</si>
  <si>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</si>
  <si>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</si>
  <si>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</si>
  <si>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</si>
  <si>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</si>
  <si>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</si>
  <si>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</si>
  <si>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</si>
  <si>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</si>
  <si>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</si>
  <si>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</si>
  <si>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</si>
  <si>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</si>
  <si>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</si>
  <si>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</si>
  <si>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</si>
  <si>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</si>
  <si>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</si>
  <si>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</si>
  <si>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</si>
  <si>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</si>
  <si>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</si>
  <si>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</si>
  <si>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</si>
  <si>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</si>
  <si>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</si>
  <si>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</si>
  <si>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</si>
  <si>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</si>
  <si>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</si>
  <si>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</si>
  <si>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</si>
  <si>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</si>
  <si>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</si>
  <si>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</si>
  <si>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</si>
  <si>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</si>
  <si>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</si>
  <si>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</si>
  <si>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</si>
  <si>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</si>
  <si>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</si>
  <si>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</si>
  <si>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</si>
  <si>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</si>
  <si>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</si>
  <si>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</si>
  <si>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</si>
  <si>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</si>
  <si>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</si>
  <si>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</si>
  <si>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</si>
  <si>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</si>
  <si>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</si>
  <si>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</si>
  <si>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</si>
  <si>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</si>
  <si>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</si>
  <si>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</si>
  <si>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</si>
  <si>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</si>
  <si>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</si>
  <si>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</si>
  <si>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</si>
  <si>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</si>
  <si>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</si>
  <si>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</si>
  <si>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</si>
  <si>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</si>
  <si>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</si>
  <si>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</si>
  <si>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</si>
  <si>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</si>
  <si>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</si>
  <si>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</si>
  <si>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</si>
  <si>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</si>
  <si>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</si>
  <si>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</si>
  <si>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</si>
  <si>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</si>
  <si>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</si>
  <si>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</si>
  <si>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</si>
  <si>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</si>
  <si>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</si>
  <si>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</si>
  <si>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</si>
  <si>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</si>
  <si>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</si>
  <si>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</si>
  <si>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</si>
  <si>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</si>
  <si>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</si>
  <si>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</si>
  <si>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</si>
  <si>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</si>
  <si>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</si>
  <si>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</si>
  <si>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</si>
  <si>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</si>
  <si>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</si>
  <si>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</si>
  <si>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</si>
  <si>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</si>
  <si>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</si>
  <si>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</si>
  <si>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</si>
  <si>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</si>
  <si>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</si>
  <si>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</si>
  <si>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</si>
  <si>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</si>
  <si>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</si>
  <si>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</si>
  <si>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</si>
  <si>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</si>
  <si>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</si>
  <si>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</si>
  <si>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</si>
  <si>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</si>
  <si>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</si>
  <si>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</si>
  <si>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</si>
  <si>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</si>
  <si>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</si>
  <si>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</si>
  <si>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</si>
  <si>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</si>
  <si>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</si>
  <si>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</si>
  <si>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</si>
  <si>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</si>
  <si>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</si>
  <si>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</si>
  <si>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</si>
  <si>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</si>
  <si>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</si>
  <si>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</si>
  <si>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</si>
  <si>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</si>
  <si>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</si>
  <si>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</si>
  <si>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</si>
  <si>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</si>
  <si>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</si>
  <si>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</si>
  <si>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</si>
  <si>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</si>
  <si>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</si>
  <si>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</si>
  <si>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</si>
  <si>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</si>
  <si>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</si>
  <si>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</si>
  <si>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</si>
  <si>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</si>
  <si>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</si>
  <si>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</si>
  <si>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</si>
  <si>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</si>
  <si>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</si>
  <si>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</si>
  <si>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</si>
  <si>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</si>
  <si>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</si>
  <si>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</si>
  <si>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</si>
  <si>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</si>
  <si>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</si>
  <si>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</si>
  <si>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</si>
  <si>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</si>
  <si>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</si>
  <si>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</si>
  <si>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</si>
  <si>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</si>
  <si>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</si>
  <si>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</si>
  <si>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</si>
  <si>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</si>
  <si>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</si>
  <si>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</si>
  <si>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</si>
  <si>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</si>
  <si>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</si>
  <si>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</si>
  <si>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</si>
  <si>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</si>
  <si>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</si>
  <si>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</si>
  <si>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</si>
  <si>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</si>
  <si>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</si>
  <si>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</si>
  <si>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</si>
  <si>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</si>
  <si>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</si>
  <si>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</si>
  <si>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</si>
  <si>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</si>
  <si>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</si>
  <si>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</si>
  <si>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</si>
  <si>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</si>
  <si>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</si>
  <si>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</si>
  <si>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</si>
  <si>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</si>
  <si>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</si>
  <si>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</si>
  <si>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</si>
  <si>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</si>
  <si>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</si>
  <si>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</si>
  <si>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</si>
  <si>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</si>
  <si>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</si>
  <si>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</si>
  <si>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</si>
  <si>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</si>
  <si>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</si>
  <si>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</si>
  <si>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</si>
  <si>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</si>
  <si>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</si>
  <si>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</si>
  <si>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</si>
  <si>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</si>
  <si>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</si>
  <si>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</si>
  <si>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</si>
  <si>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</si>
  <si>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</si>
  <si>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</si>
  <si>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</si>
  <si>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</si>
  <si>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</si>
  <si>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</si>
  <si>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</si>
  <si>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</si>
  <si>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</si>
  <si>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</si>
  <si>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</si>
  <si>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</si>
  <si>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</si>
  <si>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</si>
  <si>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</si>
  <si>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</si>
  <si>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</si>
  <si>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</si>
  <si>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</si>
  <si>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</si>
  <si>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</si>
  <si>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</si>
  <si>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</si>
  <si>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</si>
  <si>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</si>
  <si>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</si>
  <si>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</si>
  <si>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</si>
  <si>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</si>
  <si>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</si>
  <si>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</si>
  <si>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</si>
  <si>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</si>
  <si>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</si>
  <si>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</si>
  <si>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</si>
  <si>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</si>
  <si>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</si>
  <si>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</si>
  <si>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</si>
  <si>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</si>
  <si>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</si>
  <si>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</si>
  <si>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</si>
  <si>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</si>
  <si>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</si>
  <si>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</si>
  <si>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</si>
  <si>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</si>
  <si>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</si>
  <si>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</si>
  <si>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</si>
  <si>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</si>
  <si>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</si>
  <si>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</si>
  <si>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</si>
  <si>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</si>
  <si>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</si>
  <si>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</si>
  <si>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</si>
  <si>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</si>
  <si>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</si>
  <si>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</si>
  <si>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</si>
  <si>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</si>
  <si>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</si>
  <si>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</si>
  <si>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</si>
  <si>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</si>
  <si>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</si>
  <si>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</si>
  <si>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</si>
  <si>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</si>
  <si>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</si>
  <si>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</si>
  <si>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</si>
  <si>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</si>
  <si>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</si>
  <si>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</si>
  <si>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</si>
  <si>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</si>
  <si>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</si>
  <si>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</si>
  <si>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</si>
  <si>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</si>
  <si>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</si>
  <si>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</si>
  <si>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</si>
  <si>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</si>
  <si>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</si>
  <si>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</si>
  <si>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</si>
  <si>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</si>
  <si>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</si>
  <si>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</si>
  <si>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</si>
  <si>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</si>
  <si>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</si>
  <si>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</si>
  <si>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</si>
  <si>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</si>
  <si>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</si>
  <si>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</si>
  <si>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</si>
  <si>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</si>
  <si>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</si>
  <si>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</si>
  <si>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</si>
  <si>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</si>
  <si>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</si>
  <si>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</si>
  <si>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</si>
  <si>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</si>
  <si>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</si>
  <si>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</si>
  <si>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</si>
  <si>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</si>
  <si>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</si>
  <si>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</si>
  <si>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</si>
  <si>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</si>
  <si>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</si>
  <si>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</si>
  <si>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</si>
  <si>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</si>
  <si>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</si>
  <si>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</si>
  <si>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</si>
  <si>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</si>
  <si>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</si>
  <si>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</si>
  <si>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</si>
  <si>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</si>
  <si>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</si>
  <si>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</si>
  <si>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</si>
  <si>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</si>
  <si>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</si>
  <si>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</si>
  <si>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</si>
  <si>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</si>
  <si>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</si>
  <si>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</si>
  <si>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</si>
  <si>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</si>
  <si>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</si>
  <si>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</si>
  <si>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</si>
  <si>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</si>
  <si>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</si>
  <si>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</si>
  <si>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</si>
  <si>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</si>
  <si>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</si>
  <si>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</si>
  <si>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</si>
  <si>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</si>
  <si>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</si>
  <si>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</si>
  <si>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</si>
  <si>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</si>
  <si>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</si>
  <si>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</si>
  <si>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</si>
  <si>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</si>
  <si>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</si>
  <si>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</si>
  <si>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</si>
  <si>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</si>
  <si>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</si>
  <si>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</si>
  <si>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</si>
  <si>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</si>
  <si>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</si>
  <si>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</si>
  <si>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</si>
  <si>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</si>
  <si>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</si>
  <si>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</si>
  <si>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</si>
  <si>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</si>
  <si>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</si>
  <si>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</si>
  <si>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</si>
  <si>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</si>
  <si>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</si>
  <si>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</si>
  <si>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</si>
  <si>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</si>
  <si>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</si>
  <si>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</si>
  <si>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</si>
  <si>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</si>
  <si>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</si>
  <si>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</si>
  <si>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</si>
  <si>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</si>
  <si>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</si>
  <si>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</si>
  <si>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</si>
  <si>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</si>
  <si>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</si>
  <si>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</si>
  <si>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</si>
  <si>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</si>
  <si>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</si>
  <si>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</si>
  <si>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</si>
  <si>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</si>
  <si>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</si>
  <si>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</si>
  <si>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</si>
  <si>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</si>
  <si>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</si>
  <si>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</si>
  <si>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</si>
  <si>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</si>
  <si>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</si>
  <si>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</si>
  <si>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</si>
  <si>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</si>
  <si>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</si>
  <si>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</si>
  <si>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</si>
  <si>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</si>
  <si>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</si>
  <si>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</si>
  <si>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</si>
  <si>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</si>
  <si>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</si>
  <si>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</si>
  <si>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</si>
  <si>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</si>
  <si>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</si>
  <si>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</si>
  <si>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</si>
  <si>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</si>
  <si>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</si>
  <si>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</si>
  <si>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</si>
  <si>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</si>
  <si>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</si>
  <si>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</si>
  <si>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</si>
  <si>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</si>
  <si>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</si>
  <si>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</si>
  <si>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</si>
  <si>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</si>
  <si>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</si>
  <si>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</si>
  <si>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</si>
  <si>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</si>
  <si>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</si>
  <si>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</si>
  <si>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</si>
  <si>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</si>
  <si>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</si>
  <si>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</si>
  <si>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</si>
  <si>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</si>
  <si>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</si>
  <si>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</si>
  <si>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</si>
  <si>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</si>
  <si>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</si>
  <si>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</si>
  <si>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</si>
  <si>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</si>
  <si>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</si>
  <si>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</si>
  <si>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</si>
  <si>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</si>
  <si>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</si>
  <si>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</si>
  <si>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</si>
  <si>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</si>
  <si>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</si>
  <si>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</si>
  <si>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</si>
  <si>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</si>
  <si>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</si>
  <si>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</si>
  <si>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</si>
  <si>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</si>
  <si>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</si>
  <si>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</si>
  <si>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</si>
  <si>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</si>
  <si>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</si>
  <si>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</si>
  <si>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</si>
  <si>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</si>
  <si>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</si>
  <si>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</si>
  <si>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</si>
  <si>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</si>
  <si>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</si>
  <si>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</si>
  <si>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</si>
  <si>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</si>
  <si>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</si>
  <si>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</si>
  <si>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</si>
  <si>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</si>
  <si>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</si>
  <si>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</si>
  <si>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</si>
  <si>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</si>
  <si>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</si>
  <si>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</si>
  <si>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</si>
  <si>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</si>
  <si>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</si>
  <si>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</si>
  <si>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</si>
  <si>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</si>
  <si>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</si>
  <si>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</si>
  <si>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</si>
  <si>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</si>
  <si>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</si>
  <si>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</si>
  <si>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</si>
  <si>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</si>
  <si>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</si>
  <si>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</si>
  <si>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</si>
  <si>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</si>
  <si>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</si>
  <si>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</si>
  <si>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</si>
  <si>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</si>
  <si>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</si>
  <si>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</si>
  <si>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</si>
  <si>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</si>
  <si>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</si>
  <si>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</si>
  <si>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</si>
  <si>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</si>
  <si>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</si>
  <si>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</si>
  <si>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</si>
  <si>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</si>
  <si>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</si>
  <si>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</si>
  <si>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</si>
  <si>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</si>
  <si>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</si>
  <si>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</si>
  <si>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</si>
  <si>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</si>
  <si>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</si>
  <si>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</si>
  <si>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</si>
  <si>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</si>
  <si>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</si>
  <si>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</si>
  <si>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</si>
  <si>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</si>
  <si>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</si>
  <si>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</si>
  <si>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</si>
  <si>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</si>
  <si>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</si>
  <si>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</si>
  <si>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</si>
  <si>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</si>
  <si>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</si>
  <si>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</si>
  <si>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</si>
  <si>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</si>
  <si>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</si>
  <si>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</si>
  <si>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</si>
  <si>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</si>
  <si>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</si>
  <si>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</si>
  <si>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</si>
  <si>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</si>
  <si>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</si>
  <si>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</si>
  <si>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</si>
  <si>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</si>
  <si>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</si>
  <si>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</si>
  <si>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</si>
  <si>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</si>
  <si>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</si>
  <si>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</si>
  <si>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</si>
  <si>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</si>
  <si>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</si>
  <si>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</si>
  <si>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</si>
  <si>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</si>
  <si>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</si>
  <si>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</si>
  <si>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</si>
  <si>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</si>
  <si>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</si>
  <si>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</si>
  <si>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</si>
  <si>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</si>
  <si>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</si>
  <si>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</si>
  <si>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</si>
  <si>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</si>
  <si>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</si>
  <si>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</si>
  <si>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</si>
  <si>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</si>
  <si>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</si>
  <si>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</si>
  <si>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</si>
  <si>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</si>
  <si>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</si>
  <si>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</si>
  <si>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</si>
  <si>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</si>
  <si>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</si>
  <si>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</si>
  <si>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</si>
  <si>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</si>
  <si>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</si>
  <si>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</si>
  <si>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</si>
  <si>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</si>
  <si>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</si>
  <si>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</si>
  <si>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</si>
  <si>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</si>
  <si>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</si>
  <si>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</si>
  <si>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</si>
  <si>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</si>
  <si>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</si>
  <si>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</si>
  <si>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</si>
  <si>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</si>
  <si>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</si>
  <si>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</si>
  <si>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</si>
  <si>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</si>
  <si>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</si>
  <si>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</si>
  <si>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</si>
  <si>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</si>
  <si>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</si>
  <si>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</si>
  <si>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</si>
  <si>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</si>
  <si>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</si>
  <si>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</si>
  <si>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</si>
  <si>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</si>
  <si>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</si>
  <si>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</si>
  <si>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</si>
  <si>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</si>
  <si>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</si>
  <si>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</si>
  <si>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</si>
  <si>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</si>
  <si>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</si>
  <si>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</si>
  <si>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</si>
  <si>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</si>
  <si>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</si>
  <si>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</si>
  <si>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</si>
  <si>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</si>
  <si>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</si>
  <si>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</si>
  <si>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</si>
  <si>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</si>
  <si>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</si>
  <si>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</si>
  <si>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</si>
  <si>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</si>
  <si>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</si>
  <si>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</si>
  <si>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</si>
  <si>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</si>
  <si>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</si>
  <si>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</si>
  <si>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</si>
  <si>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</si>
  <si>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</si>
  <si>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</si>
  <si>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</si>
  <si>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</si>
  <si>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</si>
  <si>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</si>
  <si>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</si>
  <si>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</si>
  <si>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</si>
  <si>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</si>
  <si>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</si>
  <si>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</si>
  <si>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</si>
  <si>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</si>
  <si>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</si>
  <si>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</si>
  <si>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</si>
  <si>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</si>
  <si>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</si>
  <si>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</si>
  <si>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</si>
  <si>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</si>
  <si>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</si>
  <si>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</si>
  <si>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</si>
  <si>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</si>
  <si>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</si>
  <si>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</si>
  <si>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</si>
  <si>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</si>
  <si>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</si>
  <si>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</si>
  <si>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</si>
  <si>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</si>
  <si>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</si>
  <si>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</si>
  <si>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</si>
  <si>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</si>
  <si>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</si>
  <si>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</si>
  <si>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</si>
  <si>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</si>
  <si>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</si>
  <si>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</si>
  <si>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</si>
  <si>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</si>
  <si>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</si>
  <si>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</si>
  <si>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</si>
  <si>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</si>
  <si>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</si>
  <si>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</si>
  <si>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</si>
  <si>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</si>
  <si>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</si>
  <si>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</si>
  <si>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</si>
  <si>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</si>
  <si>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</si>
  <si>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</si>
  <si>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</si>
  <si>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</si>
  <si>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</si>
  <si>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</si>
  <si>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</si>
  <si>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</si>
  <si>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</si>
  <si>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</si>
  <si>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</si>
  <si>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</si>
  <si>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</si>
  <si>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</si>
  <si>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</si>
  <si>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</si>
  <si>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</si>
  <si>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</si>
  <si>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</si>
  <si>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</si>
  <si>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</si>
  <si>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</si>
  <si>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</si>
  <si>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</si>
  <si>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</si>
  <si>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</si>
  <si>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</si>
  <si>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</si>
  <si>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</si>
  <si>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</si>
  <si>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</si>
  <si>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</si>
  <si>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</si>
  <si>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</si>
  <si>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</si>
  <si>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</si>
  <si>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</si>
  <si>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</si>
  <si>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</si>
  <si>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</si>
  <si>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</si>
  <si>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</si>
  <si>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</si>
  <si>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</si>
  <si>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</si>
  <si>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</si>
  <si>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</si>
  <si>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</si>
  <si>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</si>
  <si>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</si>
  <si>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</si>
  <si>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</si>
  <si>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</si>
  <si>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</si>
  <si>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</si>
  <si>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</si>
  <si>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</si>
  <si>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</si>
  <si>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</si>
  <si>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</si>
  <si>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</si>
  <si>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</si>
  <si>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</si>
  <si>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</si>
  <si>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</si>
  <si>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</si>
  <si>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</si>
  <si>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</si>
  <si>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</si>
  <si>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</si>
  <si>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</si>
  <si>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</si>
  <si>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</si>
  <si>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</si>
  <si>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</si>
  <si>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</si>
  <si>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</si>
  <si>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</si>
  <si>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</si>
  <si>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</si>
  <si>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</si>
  <si>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</si>
  <si>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</si>
  <si>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</si>
  <si>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</si>
  <si>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</si>
  <si>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</si>
  <si>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</si>
  <si>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</si>
  <si>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</si>
  <si>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</si>
  <si>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</si>
  <si>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</si>
  <si>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</si>
  <si>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</si>
  <si>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</si>
  <si>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</si>
  <si>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</si>
  <si>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</si>
  <si>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</si>
  <si>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</si>
  <si>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</si>
  <si>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</si>
  <si>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</si>
  <si>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</si>
  <si>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</si>
  <si>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</si>
  <si>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</si>
  <si>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</si>
  <si>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</si>
  <si>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</si>
  <si>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</si>
  <si>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</si>
  <si>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</si>
  <si>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</si>
  <si>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</si>
  <si>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</si>
  <si>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</si>
  <si>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</si>
  <si>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</si>
  <si>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</si>
  <si>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</si>
  <si>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</si>
  <si>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</si>
  <si>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</si>
  <si>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</si>
  <si>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</si>
  <si>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</si>
  <si>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</si>
  <si>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</si>
  <si>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</si>
  <si>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</si>
  <si>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</si>
  <si>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</si>
  <si>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</si>
  <si>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</si>
  <si>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</si>
  <si>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</si>
  <si>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</si>
  <si>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</si>
  <si>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</si>
  <si>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</si>
  <si>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</si>
  <si>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</si>
  <si>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</si>
  <si>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</si>
  <si>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</si>
  <si>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</si>
  <si>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</si>
  <si>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</si>
  <si>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</si>
  <si>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</si>
  <si>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</si>
  <si>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</si>
  <si>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</si>
  <si>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</si>
  <si>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</si>
  <si>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</si>
  <si>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</si>
  <si>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</si>
  <si>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</si>
  <si>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</si>
  <si>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</si>
  <si>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</si>
  <si>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</si>
  <si>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</si>
  <si>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</si>
  <si>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</si>
  <si>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</si>
  <si>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</si>
  <si>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</si>
  <si>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</si>
  <si>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</si>
  <si>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</si>
  <si>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</si>
  <si>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</si>
  <si>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</si>
  <si>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</si>
  <si>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</si>
  <si>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</si>
  <si>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</si>
  <si>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</si>
  <si>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</si>
  <si>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</si>
  <si>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</si>
  <si>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</si>
  <si>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</si>
  <si>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</si>
  <si>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</si>
  <si>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</si>
  <si>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</si>
  <si>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</si>
  <si>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</si>
  <si>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</si>
  <si>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</si>
  <si>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</si>
  <si>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</si>
  <si>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</si>
  <si>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</si>
  <si>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</si>
  <si>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</si>
  <si>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</si>
  <si>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</si>
  <si>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</si>
  <si>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</si>
  <si>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</si>
  <si>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</si>
  <si>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</si>
  <si>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</si>
  <si>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</si>
  <si>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</si>
  <si>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</si>
  <si>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</si>
  <si>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</si>
  <si>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</si>
  <si>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</si>
  <si>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</si>
  <si>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</si>
  <si>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</si>
  <si>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</si>
  <si>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</si>
  <si>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</si>
  <si>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</si>
  <si>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</si>
  <si>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</si>
  <si>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</si>
  <si>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</si>
  <si>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</si>
  <si>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</si>
  <si>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</si>
  <si>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</si>
  <si>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</si>
  <si>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</si>
  <si>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</si>
  <si>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</si>
  <si>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</si>
  <si>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</si>
  <si>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</si>
  <si>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</si>
  <si>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</si>
  <si>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</si>
  <si>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</si>
  <si>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</si>
  <si>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</si>
  <si>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</si>
  <si>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</si>
  <si>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</si>
  <si>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</si>
  <si>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</si>
  <si>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</si>
  <si>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</si>
  <si>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</si>
  <si>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</si>
  <si>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</si>
  <si>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</si>
  <si>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</si>
  <si>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</si>
  <si>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</si>
  <si>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</si>
  <si>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</si>
  <si>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</si>
  <si>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</si>
  <si>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</si>
  <si>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</si>
  <si>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</si>
  <si>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</si>
  <si>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</si>
  <si>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</si>
  <si>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</si>
  <si>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</si>
  <si>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</si>
  <si>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</si>
  <si>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</si>
  <si>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</si>
  <si>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</si>
  <si>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</si>
  <si>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</si>
  <si>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</si>
  <si>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</si>
  <si>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</si>
  <si>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</si>
  <si>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</si>
  <si>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</si>
  <si>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</si>
  <si>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</si>
  <si>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</si>
  <si>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</si>
  <si>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</si>
  <si>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</si>
  <si>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</si>
  <si>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</si>
  <si>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</si>
  <si>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</si>
  <si>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</si>
  <si>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</si>
  <si>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</si>
  <si>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</si>
  <si>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</si>
  <si>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</si>
  <si>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</si>
  <si>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</si>
  <si>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</si>
  <si>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</si>
  <si>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</si>
  <si>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</si>
  <si>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</si>
  <si>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</si>
  <si>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</si>
  <si>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</si>
  <si>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</si>
  <si>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</si>
  <si>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</si>
  <si>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</si>
  <si>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</si>
  <si>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</si>
  <si>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</si>
  <si>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</si>
  <si>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</si>
  <si>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</si>
  <si>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</si>
  <si>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</si>
  <si>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</si>
  <si>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</si>
  <si>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</si>
  <si>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</si>
  <si>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</si>
  <si>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</si>
  <si>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</si>
  <si>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</si>
  <si>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</si>
  <si>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</si>
  <si>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</si>
  <si>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</si>
  <si>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</si>
  <si>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</si>
  <si>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</si>
  <si>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</si>
  <si>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</si>
  <si>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</si>
  <si>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</si>
  <si>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</si>
  <si>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</si>
  <si>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</si>
  <si>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</si>
  <si>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</si>
  <si>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</si>
  <si>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</si>
  <si>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</si>
  <si>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</si>
  <si>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</si>
  <si>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</si>
  <si>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</si>
  <si>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</si>
  <si>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</si>
  <si>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</si>
  <si>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</si>
  <si>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</si>
  <si>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</si>
  <si>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</si>
  <si>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</si>
  <si>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</si>
  <si>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</si>
  <si>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</si>
  <si>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</si>
  <si>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</si>
  <si>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</si>
  <si>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</si>
  <si>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</si>
  <si>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</si>
  <si>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</si>
  <si>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</si>
  <si>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</si>
  <si>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</si>
  <si>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</si>
  <si>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</si>
  <si>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</si>
  <si>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</si>
  <si>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</si>
  <si>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</si>
  <si>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</si>
  <si>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</si>
  <si>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</si>
  <si>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</si>
  <si>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</si>
  <si>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</si>
  <si>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</si>
  <si>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</si>
  <si>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</si>
  <si>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</si>
  <si>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</si>
  <si>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</si>
  <si>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</si>
  <si>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</si>
  <si>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</si>
  <si>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</si>
  <si>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</si>
  <si>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</si>
  <si>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</si>
  <si>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</si>
  <si>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</si>
  <si>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</si>
  <si>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</si>
  <si>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</si>
  <si>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</si>
  <si>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</si>
  <si>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</si>
  <si>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</si>
  <si>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</si>
  <si>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</si>
  <si>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</si>
  <si>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</si>
  <si>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</si>
  <si>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</si>
  <si>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</si>
  <si>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</si>
  <si>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</si>
  <si>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</si>
  <si>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</si>
  <si>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</si>
  <si>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</si>
  <si>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</si>
  <si>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</si>
  <si>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</si>
  <si>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</si>
  <si>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</si>
  <si>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</si>
  <si>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</si>
  <si>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</si>
  <si>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</si>
  <si>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</si>
  <si>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</si>
  <si>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</si>
  <si>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</si>
  <si>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</si>
  <si>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</si>
  <si>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</si>
  <si>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</si>
  <si>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</si>
  <si>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</si>
  <si>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</si>
  <si>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</si>
  <si>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</si>
  <si>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</si>
  <si>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</si>
  <si>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</si>
  <si>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</si>
  <si>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</si>
  <si>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</si>
  <si>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</si>
  <si>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</si>
  <si>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</si>
  <si>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</si>
  <si>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</si>
  <si>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</si>
  <si>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</si>
  <si>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</si>
  <si>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</si>
  <si>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</si>
  <si>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</si>
  <si>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</si>
  <si>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</si>
  <si>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</si>
  <si>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</si>
  <si>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</si>
  <si>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</si>
  <si>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</si>
  <si>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</si>
  <si>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</si>
  <si>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</si>
  <si>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</si>
  <si>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</si>
  <si>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</si>
  <si>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</si>
  <si>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</si>
  <si>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</si>
  <si>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</si>
  <si>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</si>
  <si>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</si>
  <si>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</si>
  <si>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</si>
  <si>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</si>
  <si>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</si>
  <si>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</si>
  <si>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</si>
  <si>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</si>
  <si>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</si>
  <si>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</si>
  <si>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</si>
  <si>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</si>
  <si>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</si>
  <si>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</si>
  <si>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</si>
  <si>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</si>
  <si>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</si>
  <si>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</si>
  <si>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</si>
  <si>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</si>
  <si>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</si>
  <si>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</si>
  <si>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</si>
  <si>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</si>
  <si>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</si>
  <si>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</si>
  <si>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</si>
  <si>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</si>
  <si>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</si>
  <si>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</si>
  <si>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</si>
  <si>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</si>
  <si>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</si>
  <si>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</si>
  <si>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</si>
  <si>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</si>
  <si>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</si>
  <si>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</si>
  <si>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</si>
  <si>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</si>
  <si>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</si>
  <si>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</si>
  <si>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</si>
  <si>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</si>
  <si>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</si>
  <si>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</si>
  <si>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</si>
  <si>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</si>
  <si>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</si>
  <si>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</si>
  <si>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</si>
  <si>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</si>
  <si>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</si>
  <si>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</si>
  <si>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</si>
  <si>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</si>
  <si>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</si>
  <si>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</si>
  <si>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</si>
  <si>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</si>
  <si>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</si>
  <si>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</si>
  <si>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</si>
  <si>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</si>
  <si>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</si>
  <si>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</si>
  <si>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</si>
  <si>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</si>
  <si>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</si>
  <si>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</si>
  <si>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</si>
  <si>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</si>
  <si>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</si>
  <si>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</si>
  <si>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</si>
  <si>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</si>
  <si>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</si>
  <si>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</si>
  <si>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</si>
  <si>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</si>
  <si>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</si>
  <si>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</si>
  <si>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</si>
  <si>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</si>
  <si>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</si>
  <si>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</si>
  <si>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</si>
  <si>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</si>
  <si>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</si>
  <si>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</si>
  <si>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</si>
  <si>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</si>
  <si>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</si>
  <si>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</si>
  <si>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</si>
  <si>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</si>
  <si>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</si>
  <si>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</si>
  <si>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</si>
  <si>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</si>
  <si>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</si>
  <si>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</si>
  <si>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</si>
  <si>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</si>
  <si>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</si>
  <si>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</si>
  <si>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</si>
  <si>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</si>
  <si>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</si>
  <si>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</si>
  <si>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</si>
  <si>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</si>
  <si>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</si>
  <si>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</si>
  <si>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</si>
  <si>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</si>
  <si>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</si>
  <si>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</si>
  <si>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</si>
  <si>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</si>
  <si>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</si>
  <si>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</si>
  <si>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</si>
  <si>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</si>
  <si>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</si>
  <si>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</si>
  <si>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</si>
  <si>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</si>
  <si>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</si>
  <si>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</si>
  <si>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</si>
  <si>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</si>
  <si>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</si>
  <si>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</si>
  <si>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</si>
  <si>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</si>
  <si>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</si>
  <si>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</si>
  <si>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</si>
  <si>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</si>
  <si>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</si>
  <si>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</si>
  <si>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</si>
  <si>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</si>
  <si>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</si>
  <si>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</si>
  <si>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</si>
  <si>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</si>
  <si>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</si>
  <si>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</si>
  <si>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</si>
  <si>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</si>
  <si>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</si>
  <si>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</si>
  <si>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</si>
  <si>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https://www.youtube.com/@%E7%86%B1%E8%A1%80%E6%B1%9F%E6%B9%96%E7%A6%8F%E5%88%A9%E5%8A%A0%E5%BC%B7%E7%89%88</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</si>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</sst>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1">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10" Type="http://schemas.openxmlformats.org/officeDocument/2006/relationships/hyperlink" Target="mailto:&#39340;&#19978;&#21839;&#21839;Line@&#23458;&#26381;" TargetMode="External"/><Relationship Id="rId1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F285" activePane="bottomRight" state="frozen"/>
      <selection pane="topRight" activeCell="B1" sqref="B1"/>
      <selection pane="bottomLeft" activeCell="A2" sqref="A2"/>
      <selection pane="bottomRight" activeCell="K290" sqref="J290:K29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2"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5444</v>
      </c>
      <c r="C290" s="37" t="s">
        <v>5391</v>
      </c>
      <c r="D290" s="38" t="s">
        <v>5390</v>
      </c>
      <c r="E290" s="38" t="s">
        <v>5389</v>
      </c>
      <c r="F290" s="37" t="str">
        <f t="shared" si="12"/>
        <v>gift-codes.html?game=勇者前線Versus</v>
      </c>
      <c r="G290" s="38" t="s">
        <v>5415</v>
      </c>
      <c r="H290" s="38" t="str">
        <f t="shared" si="13"/>
        <v>https://www.ssbuy.tw/game-detail.html?game=勇者前線Versus</v>
      </c>
      <c r="I290" s="39" t="s">
        <v>5451</v>
      </c>
      <c r="J290" s="2" t="s">
        <v>5428</v>
      </c>
      <c r="K290" s="88" t="s">
        <v>5258</v>
      </c>
    </row>
    <row r="291" spans="1:31" ht="22.5" customHeight="1" thickBot="1">
      <c r="A291" s="83" t="s">
        <v>5445</v>
      </c>
      <c r="C291" s="37" t="s">
        <v>5392</v>
      </c>
      <c r="D291" s="38" t="s">
        <v>5393</v>
      </c>
      <c r="E291" s="38" t="s">
        <v>5394</v>
      </c>
      <c r="F291" s="37" t="str">
        <f t="shared" si="12"/>
        <v>gift-codes.html?game=幻域方舟</v>
      </c>
      <c r="G291" s="38" t="s">
        <v>5395</v>
      </c>
      <c r="H291" s="38" t="str">
        <f t="shared" si="13"/>
        <v>https://www.ssbuy.tw/game-detail.html?game=幻域方舟</v>
      </c>
      <c r="I291" s="39" t="s">
        <v>5452</v>
      </c>
      <c r="J291" s="2" t="s">
        <v>5428</v>
      </c>
      <c r="K291" s="88" t="s">
        <v>5258</v>
      </c>
    </row>
    <row r="292" spans="1:31" ht="22.5" customHeight="1" thickBot="1">
      <c r="A292" s="83" t="s">
        <v>5446</v>
      </c>
      <c r="C292" s="37" t="s">
        <v>5396</v>
      </c>
      <c r="D292" s="38" t="s">
        <v>5397</v>
      </c>
      <c r="E292" s="38" t="s">
        <v>5398</v>
      </c>
      <c r="F292" s="37" t="str">
        <f t="shared" si="12"/>
        <v>gift-codes.html?game=開天</v>
      </c>
      <c r="G292" s="38" t="s">
        <v>5399</v>
      </c>
      <c r="H292" s="38" t="str">
        <f t="shared" si="13"/>
        <v>https://www.ssbuy.tw/game-detail.html?game=開天</v>
      </c>
      <c r="I292" s="39" t="s">
        <v>5453</v>
      </c>
      <c r="J292" s="2" t="s">
        <v>5428</v>
      </c>
      <c r="K292" s="88" t="s">
        <v>5258</v>
      </c>
      <c r="L292" s="1" t="s">
        <v>1514</v>
      </c>
      <c r="M292" s="59">
        <v>2717</v>
      </c>
      <c r="N292" s="1" t="s">
        <v>5416</v>
      </c>
      <c r="O292" s="59">
        <v>2095</v>
      </c>
      <c r="P292" s="1" t="s">
        <v>1515</v>
      </c>
      <c r="Q292" s="59">
        <v>1388</v>
      </c>
      <c r="R292" s="1" t="s">
        <v>5417</v>
      </c>
      <c r="S292" s="59">
        <v>1194</v>
      </c>
      <c r="T292" s="1" t="s">
        <v>5418</v>
      </c>
      <c r="U292" s="59">
        <v>840</v>
      </c>
      <c r="V292" s="1" t="s">
        <v>5419</v>
      </c>
      <c r="W292" s="59">
        <v>815</v>
      </c>
      <c r="X292" s="1" t="s">
        <v>5420</v>
      </c>
      <c r="Y292" s="59">
        <v>756</v>
      </c>
      <c r="Z292" s="1" t="s">
        <v>1630</v>
      </c>
      <c r="AA292" s="59">
        <v>280</v>
      </c>
      <c r="AB292" s="1" t="s">
        <v>318</v>
      </c>
      <c r="AC292" s="59">
        <v>146</v>
      </c>
    </row>
    <row r="293" spans="1:31" ht="22.5" customHeight="1" thickBot="1">
      <c r="A293" s="83" t="s">
        <v>5447</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5454</v>
      </c>
      <c r="J293" s="2" t="s">
        <v>5428</v>
      </c>
      <c r="K293" s="88" t="s">
        <v>5258</v>
      </c>
      <c r="L293" s="1" t="s">
        <v>5421</v>
      </c>
      <c r="M293" s="59">
        <v>2717</v>
      </c>
      <c r="N293" s="1" t="s">
        <v>5422</v>
      </c>
      <c r="O293" s="59">
        <v>1422</v>
      </c>
      <c r="P293" s="1" t="s">
        <v>5423</v>
      </c>
      <c r="Q293" s="59">
        <v>840</v>
      </c>
      <c r="R293" s="1" t="s">
        <v>5424</v>
      </c>
      <c r="S293" s="59">
        <v>620</v>
      </c>
      <c r="T293" s="1" t="s">
        <v>5425</v>
      </c>
      <c r="U293" s="59">
        <v>318</v>
      </c>
      <c r="V293" s="1" t="s">
        <v>5426</v>
      </c>
      <c r="W293" s="59">
        <v>151</v>
      </c>
      <c r="X293" s="1" t="s">
        <v>5427</v>
      </c>
      <c r="Y293" s="59">
        <v>30</v>
      </c>
    </row>
    <row r="294" spans="1:31" ht="22.5" customHeight="1" thickBot="1">
      <c r="A294" s="83" t="s">
        <v>5448</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5455</v>
      </c>
      <c r="J294" s="2" t="s">
        <v>5428</v>
      </c>
      <c r="K294" s="88" t="s">
        <v>5258</v>
      </c>
      <c r="L294" s="1" t="s">
        <v>5429</v>
      </c>
      <c r="M294" s="59">
        <v>2469</v>
      </c>
      <c r="N294" s="1" t="s">
        <v>5430</v>
      </c>
      <c r="O294" s="59">
        <v>1253</v>
      </c>
      <c r="P294" s="1" t="s">
        <v>5431</v>
      </c>
      <c r="Q294" s="59">
        <v>1085</v>
      </c>
      <c r="R294" s="1" t="s">
        <v>5432</v>
      </c>
      <c r="S294" s="59">
        <v>840</v>
      </c>
      <c r="T294" s="1" t="s">
        <v>5433</v>
      </c>
      <c r="U294" s="59">
        <v>569</v>
      </c>
      <c r="V294" s="1" t="s">
        <v>5434</v>
      </c>
      <c r="W294" s="59">
        <v>272</v>
      </c>
      <c r="X294" s="1" t="s">
        <v>5435</v>
      </c>
      <c r="Y294" s="59">
        <v>195</v>
      </c>
      <c r="Z294" s="1" t="s">
        <v>5436</v>
      </c>
      <c r="AA294" s="59">
        <v>106</v>
      </c>
    </row>
    <row r="295" spans="1:31" ht="22.5" customHeight="1" thickBot="1">
      <c r="A295" s="59" t="s">
        <v>5449</v>
      </c>
      <c r="C295" s="37" t="s">
        <v>5414</v>
      </c>
      <c r="D295" s="38" t="s">
        <v>5413</v>
      </c>
      <c r="E295" s="38" t="s">
        <v>5408</v>
      </c>
      <c r="F295" s="37" t="str">
        <f t="shared" si="12"/>
        <v>gift-codes.html?game=Shiba Wars：Goddess Link TD</v>
      </c>
      <c r="G295" s="38" t="s">
        <v>5407</v>
      </c>
      <c r="H295" s="38" t="str">
        <f t="shared" si="13"/>
        <v>https://www.ssbuy.tw/game-detail.html?game=Shiba Wars：Goddess Link TD</v>
      </c>
      <c r="I295" s="39" t="s">
        <v>5456</v>
      </c>
      <c r="J295" s="2" t="s">
        <v>5428</v>
      </c>
      <c r="K295" s="88" t="s">
        <v>5258</v>
      </c>
      <c r="L295" s="1" t="s">
        <v>5437</v>
      </c>
      <c r="M295" s="59">
        <v>1926</v>
      </c>
      <c r="N295" s="1" t="s">
        <v>5438</v>
      </c>
      <c r="O295" s="59">
        <v>1253</v>
      </c>
      <c r="P295" s="1" t="s">
        <v>5439</v>
      </c>
      <c r="Q295" s="59">
        <v>586</v>
      </c>
      <c r="R295" s="1" t="s">
        <v>5440</v>
      </c>
      <c r="S295" s="59">
        <v>272</v>
      </c>
      <c r="T295" s="1" t="s">
        <v>5441</v>
      </c>
      <c r="U295" s="59">
        <v>195</v>
      </c>
      <c r="V295" s="1" t="s">
        <v>5442</v>
      </c>
      <c r="W295" s="59">
        <v>82</v>
      </c>
      <c r="X295" s="1" t="s">
        <v>5443</v>
      </c>
      <c r="Y295" s="59">
        <v>55</v>
      </c>
      <c r="Z295" s="1" t="s">
        <v>3730</v>
      </c>
      <c r="AA295" s="59">
        <v>331</v>
      </c>
    </row>
    <row r="296" spans="1:31" ht="22.5" customHeight="1" thickBot="1">
      <c r="A296" s="83" t="s">
        <v>5450</v>
      </c>
      <c r="C296" s="37" t="s">
        <v>5409</v>
      </c>
      <c r="D296" s="38" t="s">
        <v>5410</v>
      </c>
      <c r="E296" s="38" t="s">
        <v>5411</v>
      </c>
      <c r="F296" s="37" t="str">
        <f t="shared" si="12"/>
        <v>gift-codes.html?game=熱血江湖：福利加強版</v>
      </c>
      <c r="G296" s="38" t="s">
        <v>5412</v>
      </c>
      <c r="H296" s="38" t="str">
        <f t="shared" si="13"/>
        <v>https://www.ssbuy.tw/game-detail.html?game=熱血江湖：福利加強版</v>
      </c>
      <c r="I296" s="39" t="s">
        <v>5457</v>
      </c>
      <c r="J296" s="2" t="s">
        <v>5428</v>
      </c>
      <c r="K296" s="88" t="s">
        <v>5258</v>
      </c>
    </row>
    <row r="297" spans="1:31" ht="22.5" customHeight="1">
      <c r="F297" s="37" t="str">
        <f t="shared" si="12"/>
        <v/>
      </c>
      <c r="H297" s="38" t="str">
        <f t="shared" si="13"/>
        <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F278" activePane="bottomRight" state="frozen"/>
      <selection pane="topRight" activeCell="B1" sqref="B1"/>
      <selection pane="bottomLeft" activeCell="A2" sqref="A2"/>
      <selection pane="bottomRight" activeCell="H289" sqref="H28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2" si="12">IF(A269="","", "giftcodesbanner/" &amp; A269 &amp; "-禮包碼.jpg")</f>
        <v>giftcodesbanner/Awakenloop-禮包碼.jpg</v>
      </c>
      <c r="D269" s="10" t="str">
        <f t="shared" ref="D269:D312"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0">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0">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row>
    <row r="275" spans="1:40">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row>
    <row r="276" spans="1:40">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row>
    <row r="277" spans="1:40">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14" t="s">
        <v>4811</v>
      </c>
      <c r="L277" s="10" t="s">
        <v>4810</v>
      </c>
    </row>
    <row r="278" spans="1:40">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row>
    <row r="279" spans="1:40">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row>
    <row r="280" spans="1:40">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5459</v>
      </c>
      <c r="L280" s="10" t="s">
        <v>5460</v>
      </c>
    </row>
    <row r="281" spans="1:40">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5459</v>
      </c>
      <c r="L281" s="10" t="s">
        <v>5460</v>
      </c>
    </row>
    <row r="282" spans="1:40">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5459</v>
      </c>
      <c r="L282" s="10" t="s">
        <v>5460</v>
      </c>
    </row>
    <row r="283" spans="1:40">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row>
    <row r="284" spans="1:40">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row>
    <row r="285" spans="1:40">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78" t="s">
        <v>5459</v>
      </c>
      <c r="L285" s="10" t="s">
        <v>5460</v>
      </c>
    </row>
    <row r="286" spans="1:40">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78" t="s">
        <v>5459</v>
      </c>
      <c r="L286" s="10" t="s">
        <v>5460</v>
      </c>
    </row>
    <row r="287" spans="1:40">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row>
    <row r="288" spans="1:40">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5464</v>
      </c>
      <c r="L288" s="10" t="s">
        <v>5458</v>
      </c>
    </row>
    <row r="289" spans="1:27">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5464</v>
      </c>
      <c r="L289" s="10" t="s">
        <v>5458</v>
      </c>
    </row>
    <row r="290" spans="1:27">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5464</v>
      </c>
      <c r="L290" s="10" t="s">
        <v>5458</v>
      </c>
    </row>
    <row r="291" spans="1:27">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5462</v>
      </c>
      <c r="G291" s="10" t="s">
        <v>5461</v>
      </c>
      <c r="H291" s="10" t="s">
        <v>5463</v>
      </c>
      <c r="K291" s="78" t="s">
        <v>5465</v>
      </c>
      <c r="L291" s="10" t="s">
        <v>5466</v>
      </c>
      <c r="M291" s="89" t="s">
        <v>5464</v>
      </c>
      <c r="N291" s="10" t="s">
        <v>5458</v>
      </c>
    </row>
    <row r="292" spans="1:27">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5475</v>
      </c>
      <c r="G292" s="10" t="s">
        <v>5476</v>
      </c>
      <c r="H292" s="10" t="s">
        <v>2625</v>
      </c>
      <c r="K292" s="89" t="s">
        <v>5467</v>
      </c>
      <c r="M292" s="15" t="s">
        <v>5468</v>
      </c>
      <c r="N292" s="90"/>
      <c r="O292" s="15" t="s">
        <v>5469</v>
      </c>
      <c r="Q292" s="15" t="s">
        <v>5470</v>
      </c>
      <c r="S292" s="15" t="s">
        <v>5471</v>
      </c>
      <c r="U292" s="15" t="s">
        <v>1933</v>
      </c>
      <c r="W292" s="15" t="s">
        <v>5472</v>
      </c>
      <c r="Y292" s="15" t="s">
        <v>5473</v>
      </c>
      <c r="AA292" s="15" t="s">
        <v>5474</v>
      </c>
    </row>
    <row r="293" spans="1:27">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5475</v>
      </c>
      <c r="G293" s="10" t="s">
        <v>5476</v>
      </c>
      <c r="H293" s="10" t="s">
        <v>2625</v>
      </c>
      <c r="K293" s="89" t="s">
        <v>5477</v>
      </c>
      <c r="M293" s="15" t="s">
        <v>5478</v>
      </c>
      <c r="O293" s="15" t="s">
        <v>5479</v>
      </c>
      <c r="Q293" s="15" t="s">
        <v>5480</v>
      </c>
    </row>
    <row r="294" spans="1:27">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5464</v>
      </c>
      <c r="L294" s="10" t="s">
        <v>5458</v>
      </c>
    </row>
    <row r="295" spans="1:27">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5464</v>
      </c>
      <c r="L295" s="10" t="s">
        <v>5458</v>
      </c>
    </row>
    <row r="296" spans="1:27">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5241</v>
      </c>
      <c r="K296" s="89" t="s">
        <v>5464</v>
      </c>
      <c r="L296" s="10" t="s">
        <v>5458</v>
      </c>
    </row>
    <row r="297" spans="1:27">
      <c r="A297" s="10" t="str">
        <f>IF(games!A297="", "", games!A297)</f>
        <v/>
      </c>
      <c r="C297" s="10" t="str">
        <f t="shared" si="12"/>
        <v/>
      </c>
      <c r="D297" s="10" t="str">
        <f t="shared" si="13"/>
        <v/>
      </c>
      <c r="E297" s="11" t="str">
        <f>IF(games!I297&lt;&gt;"", games!I297, "")</f>
        <v/>
      </c>
    </row>
    <row r="298" spans="1:27">
      <c r="A298" s="10" t="str">
        <f>IF(games!A298="", "", games!A298)</f>
        <v/>
      </c>
      <c r="C298" s="10" t="str">
        <f t="shared" si="12"/>
        <v/>
      </c>
      <c r="D298" s="10" t="str">
        <f t="shared" si="13"/>
        <v/>
      </c>
      <c r="E298" s="11" t="str">
        <f>IF(games!I298&lt;&gt;"", games!I298, "")</f>
        <v/>
      </c>
    </row>
    <row r="299" spans="1:27">
      <c r="A299" s="10" t="str">
        <f>IF(games!A299="", "", games!A299)</f>
        <v/>
      </c>
      <c r="C299" s="10" t="str">
        <f t="shared" si="12"/>
        <v/>
      </c>
      <c r="D299" s="10" t="str">
        <f t="shared" si="13"/>
        <v/>
      </c>
      <c r="E299" s="11" t="str">
        <f>IF(games!I299&lt;&gt;"", games!I299, "")</f>
        <v/>
      </c>
    </row>
    <row r="300" spans="1:27">
      <c r="A300" s="10" t="str">
        <f>IF(games!A300="", "", games!A300)</f>
        <v/>
      </c>
      <c r="C300" s="10" t="str">
        <f t="shared" si="12"/>
        <v/>
      </c>
      <c r="D300" s="10" t="str">
        <f t="shared" si="13"/>
        <v/>
      </c>
      <c r="E300" s="11" t="str">
        <f>IF(games!I300&lt;&gt;"", games!I300, "")</f>
        <v/>
      </c>
    </row>
    <row r="301" spans="1:27">
      <c r="A301" s="10" t="str">
        <f>IF(games!A301="", "", games!A301)</f>
        <v/>
      </c>
      <c r="C301" s="10" t="str">
        <f t="shared" si="12"/>
        <v/>
      </c>
      <c r="D301" s="10" t="str">
        <f t="shared" si="13"/>
        <v/>
      </c>
      <c r="E301" s="11" t="str">
        <f>IF(games!I301&lt;&gt;"", games!I301, "")</f>
        <v/>
      </c>
    </row>
    <row r="302" spans="1:27">
      <c r="A302" s="10" t="str">
        <f>IF(games!A302="", "", games!A302)</f>
        <v/>
      </c>
      <c r="C302" s="10" t="str">
        <f t="shared" si="12"/>
        <v/>
      </c>
      <c r="D302" s="10" t="str">
        <f t="shared" si="13"/>
        <v/>
      </c>
      <c r="E302" s="11" t="str">
        <f>IF(games!I302&lt;&gt;"", games!I302, "")</f>
        <v/>
      </c>
    </row>
    <row r="303" spans="1:27">
      <c r="A303" s="10" t="str">
        <f>IF(games!A303="", "", games!A303)</f>
        <v/>
      </c>
      <c r="C303" s="10" t="str">
        <f t="shared" si="12"/>
        <v/>
      </c>
      <c r="D303" s="10" t="str">
        <f t="shared" si="13"/>
        <v/>
      </c>
      <c r="E303" s="11" t="str">
        <f>IF(games!I303&lt;&gt;"", games!I303, "")</f>
        <v/>
      </c>
    </row>
    <row r="304" spans="1:27">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si="12"/>
        <v/>
      </c>
      <c r="D312" s="10" t="str">
        <f t="shared" si="13"/>
        <v/>
      </c>
      <c r="E312" s="11" t="str">
        <f>IF(games!I312&lt;&gt;"", games!I312, "")</f>
        <v/>
      </c>
    </row>
    <row r="313" spans="3:5">
      <c r="C313" s="10" t="str">
        <f t="shared" ref="C313:C376" si="14">IF(A313="","", "giftcodesbanner/" &amp; A313 &amp; "-禮包碼.jpg")</f>
        <v/>
      </c>
      <c r="D313" s="10" t="str">
        <f t="shared" ref="D313:D376" si="15">IF(A313="","", "https://www.ssbuy.tw/gift-codes.html?game="&amp;A313)</f>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si="14"/>
        <v/>
      </c>
      <c r="D376" s="10" t="str">
        <f t="shared" si="15"/>
        <v/>
      </c>
      <c r="E376" s="11" t="str">
        <f>IF(games!I376&lt;&gt;"", games!I376, "")</f>
        <v/>
      </c>
    </row>
    <row r="377" spans="3:5">
      <c r="C377" s="10" t="str">
        <f t="shared" ref="C377:C435" si="16">IF(A377="","", "giftcodesbanner/" &amp; A377 &amp; "-禮包碼.jpg")</f>
        <v/>
      </c>
      <c r="D377" s="10" t="str">
        <f t="shared" ref="D377:D435" si="17">IF(A377="","", "https://www.ssbuy.tw/gift-codes.html?game="&amp;A377)</f>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c r="E399" s="11" t="str">
        <f>IF(games!I399&lt;&gt;"", games!I399, "")</f>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row r="435" spans="3:4">
      <c r="C435" s="10" t="str">
        <f t="shared" si="16"/>
        <v/>
      </c>
      <c r="D435"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K285" r:id="rId10"/>
    <hyperlink ref="K286" r:id="rId11"/>
    <hyperlink ref="M291" r:id="rId12"/>
    <hyperlink ref="K288" r:id="rId13"/>
    <hyperlink ref="K289" r:id="rId14"/>
    <hyperlink ref="K290" r:id="rId15"/>
    <hyperlink ref="K294" r:id="rId16"/>
    <hyperlink ref="K295" r:id="rId17"/>
    <hyperlink ref="K296" r:id="rId18"/>
  </hyperlinks>
  <pageMargins left="0.7" right="0.7" top="0.75" bottom="0.75" header="0.3" footer="0.3"/>
  <pageSetup paperSize="9" orientation="portrait" r:id="rId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2025-11-02T08:29:23Z</dcterms:modified>
</cp:coreProperties>
</file>