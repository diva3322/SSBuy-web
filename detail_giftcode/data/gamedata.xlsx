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<sst xmlns="http://schemas.openxmlformats.org/spreadsheetml/2006/main" count="10368" uniqueCount="7019">
  <si>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</si>
  <si>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</si>
  <si>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</si>
  <si>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</si>
  <si>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</si>
  <si>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</si>
  <si>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</si>
  <si>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</si>
  <si>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</si>
  <si>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</si>
  <si>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</si>
  <si>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</si>
  <si>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</si>
  <si>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</si>
  <si>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</si>
  <si>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</si>
  <si>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</si>
  <si>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</si>
  <si>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</si>
  <si>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</si>
  <si>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</si>
  <si>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</si>
  <si>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</si>
  <si>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</si>
  <si>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</si>
  <si>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</si>
  <si>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</si>
  <si>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</si>
  <si>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</si>
  <si>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</si>
  <si>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</si>
  <si>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</si>
  <si>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</si>
  <si>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</si>
  <si>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</si>
  <si>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</si>
  <si>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</si>
  <si>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</si>
  <si>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</si>
  <si>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</si>
  <si>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</si>
  <si>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</si>
  <si>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</si>
  <si>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</si>
  <si>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</si>
  <si>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</si>
  <si>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</si>
  <si>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</si>
  <si>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</si>
  <si>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</si>
  <si>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</si>
  <si>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</si>
  <si>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</si>
  <si>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</si>
  <si>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</si>
  <si>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</si>
  <si>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</si>
  <si>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</si>
  <si>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</si>
  <si>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</si>
  <si>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</si>
  <si>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</si>
  <si>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</si>
  <si>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</si>
  <si>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</si>
  <si>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</si>
  <si>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</si>
  <si>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</si>
  <si>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</si>
  <si>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</si>
  <si>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</si>
  <si>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</si>
  <si>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</si>
  <si>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</si>
  <si>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</si>
  <si>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</si>
  <si>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</si>
  <si>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</si>
  <si>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</si>
  <si>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</si>
  <si>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</si>
  <si>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</si>
  <si>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</si>
  <si>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</si>
  <si>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</si>
  <si>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</si>
  <si>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</si>
  <si>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</si>
  <si>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</si>
  <si>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</si>
  <si>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</si>
  <si>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</si>
  <si>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</si>
  <si>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</si>
  <si>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</si>
  <si>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</si>
  <si>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</si>
  <si>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</si>
  <si>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</si>
  <si>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</si>
  <si>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</si>
  <si>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</si>
  <si>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</si>
  <si>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</si>
  <si>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</si>
  <si>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</si>
  <si>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</si>
  <si>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</si>
  <si>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</si>
  <si>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</si>
  <si>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</si>
  <si>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</si>
  <si>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</si>
  <si>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</si>
  <si>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</si>
  <si>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</si>
  <si>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</si>
  <si>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</si>
  <si>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</si>
  <si>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</si>
  <si>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</si>
  <si>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</si>
  <si>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</si>
  <si>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</si>
  <si>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</si>
  <si>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</si>
  <si>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</si>
  <si>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</si>
  <si>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</si>
  <si>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</si>
  <si>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</si>
  <si>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</si>
  <si>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</si>
  <si>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</si>
  <si>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</si>
  <si>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</si>
  <si>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</si>
  <si>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</si>
  <si>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</si>
  <si>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</si>
  <si>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</si>
  <si>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</si>
  <si>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</si>
  <si>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</si>
  <si>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</si>
  <si>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</si>
  <si>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</si>
  <si>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</si>
  <si>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</si>
  <si>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</si>
  <si>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</si>
  <si>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</si>
  <si>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</si>
  <si>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</si>
  <si>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</si>
  <si>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</si>
  <si>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</si>
  <si>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</si>
  <si>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</si>
  <si>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</si>
  <si>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</si>
  <si>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</si>
  <si>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</si>
  <si>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</si>
  <si>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</si>
  <si>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</si>
  <si>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</si>
  <si>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</si>
  <si>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</si>
  <si>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</si>
  <si>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</si>
  <si>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</si>
  <si>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</si>
  <si>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</si>
  <si>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</si>
  <si>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</si>
  <si>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</si>
  <si>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</si>
  <si>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</si>
  <si>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</si>
  <si>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</si>
  <si>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</si>
  <si>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</si>
  <si>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</si>
  <si>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</si>
  <si>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</si>
  <si>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</si>
  <si>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</si>
  <si>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</si>
  <si>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</si>
  <si>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</si>
  <si>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</si>
  <si>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</si>
  <si>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</si>
  <si>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</si>
  <si>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</si>
  <si>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</si>
  <si>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</si>
  <si>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</si>
  <si>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</si>
  <si>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</si>
  <si>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</si>
  <si>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</si>
  <si>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</si>
  <si>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</si>
  <si>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</si>
  <si>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</si>
  <si>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</si>
  <si>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</si>
  <si>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</si>
  <si>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</si>
  <si>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</si>
  <si>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</si>
  <si>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</si>
  <si>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</si>
  <si>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</si>
  <si>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</si>
  <si>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</si>
  <si>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</si>
  <si>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</si>
  <si>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</si>
  <si>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</si>
  <si>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</si>
  <si>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</si>
  <si>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</si>
  <si>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</si>
  <si>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</si>
  <si>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</si>
  <si>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</si>
  <si>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</si>
  <si>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</si>
  <si>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</si>
  <si>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</si>
  <si>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</si>
  <si>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</si>
  <si>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</si>
  <si>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</si>
  <si>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</si>
  <si>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</si>
  <si>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</si>
  <si>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</si>
  <si>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</si>
  <si>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</si>
  <si>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</si>
  <si>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</si>
  <si>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</si>
  <si>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</si>
  <si>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</si>
  <si>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</si>
  <si>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</si>
  <si>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</si>
  <si>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</si>
  <si>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</si>
  <si>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</si>
  <si>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</si>
  <si>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</si>
  <si>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</si>
  <si>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</si>
  <si>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</si>
  <si>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</si>
  <si>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</si>
  <si>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</si>
  <si>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</si>
  <si>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</si>
  <si>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</si>
  <si>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</si>
  <si>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</si>
  <si>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</si>
  <si>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</si>
  <si>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</si>
  <si>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</si>
  <si>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</si>
  <si>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</si>
  <si>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</si>
  <si>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</si>
  <si>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</si>
  <si>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</si>
  <si>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</si>
  <si>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</si>
  <si>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</si>
  <si>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</si>
  <si>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</si>
  <si>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</si>
  <si>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</si>
  <si>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</si>
  <si>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</si>
  <si>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</si>
  <si>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</si>
  <si>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</si>
  <si>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</si>
  <si>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</si>
  <si>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</si>
  <si>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</si>
  <si>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</si>
  <si>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</si>
  <si>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</si>
  <si>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</si>
  <si>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</si>
  <si>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</si>
  <si>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</si>
  <si>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</si>
  <si>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</si>
  <si>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</si>
  <si>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</si>
  <si>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</si>
  <si>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</si>
  <si>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</si>
  <si>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</si>
  <si>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</si>
  <si>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</si>
  <si>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</si>
  <si>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</si>
  <si>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</si>
  <si>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</si>
  <si>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</si>
  <si>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</si>
  <si>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</si>
  <si>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</si>
  <si>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</si>
  <si>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</si>
  <si>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</si>
  <si>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</si>
  <si>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</si>
  <si>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</si>
  <si>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</si>
  <si>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</si>
  <si>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</si>
  <si>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</si>
  <si>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</si>
  <si>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</si>
  <si>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</si>
  <si>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</si>
  <si>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</si>
  <si>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</si>
  <si>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</si>
  <si>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</si>
  <si>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</si>
  <si>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</si>
  <si>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</si>
  <si>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</si>
  <si>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</si>
  <si>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</si>
  <si>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</si>
  <si>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</si>
  <si>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</si>
  <si>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</si>
  <si>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</si>
  <si>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</si>
  <si>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</si>
  <si>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</si>
  <si>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</si>
  <si>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</si>
  <si>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</si>
  <si>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</si>
  <si>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</si>
  <si>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</si>
  <si>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</si>
  <si>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</si>
  <si>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</si>
  <si>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</si>
  <si>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</si>
  <si>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</si>
  <si>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</si>
  <si>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</si>
  <si>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</si>
  <si>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</si>
  <si>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</si>
  <si>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</si>
  <si>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</si>
  <si>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</si>
  <si>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</si>
  <si>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</si>
  <si>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</si>
  <si>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</si>
  <si>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</si>
  <si>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</si>
  <si>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</si>
  <si>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</si>
  <si>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</si>
  <si>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</si>
  <si>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</si>
  <si>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</si>
  <si>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</si>
  <si>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</si>
  <si>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</si>
  <si>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</si>
  <si>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</si>
  <si>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</si>
  <si>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</si>
  <si>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</si>
  <si>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</si>
  <si>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</si>
  <si>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</si>
  <si>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</si>
  <si>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</si>
  <si>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</si>
  <si>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</si>
  <si>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</si>
  <si>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</si>
  <si>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</si>
  <si>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</si>
  <si>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</si>
  <si>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</si>
  <si>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</si>
  <si>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</si>
  <si>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</si>
  <si>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</si>
  <si>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</si>
  <si>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</si>
  <si>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</si>
  <si>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</si>
  <si>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</si>
  <si>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</si>
  <si>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</si>
  <si>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</si>
  <si>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</si>
  <si>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</si>
  <si>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</si>
  <si>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</si>
  <si>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</si>
  <si>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</si>
  <si>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</si>
  <si>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</si>
  <si>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</si>
  <si>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</si>
  <si>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</si>
  <si>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</si>
  <si>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</si>
  <si>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</si>
  <si>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</si>
  <si>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</si>
  <si>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</si>
  <si>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</si>
  <si>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</si>
  <si>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</si>
  <si>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</si>
  <si>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</si>
  <si>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</si>
  <si>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</si>
  <si>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</si>
  <si>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</si>
  <si>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</si>
  <si>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</si>
  <si>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</si>
  <si>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</si>
  <si>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</si>
  <si>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</si>
  <si>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</si>
  <si>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</si>
  <si>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</si>
  <si>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</si>
  <si>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</si>
  <si>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</si>
  <si>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</si>
  <si>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</si>
  <si>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</si>
  <si>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</si>
  <si>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</si>
  <si>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</si>
  <si>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</si>
  <si>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</si>
  <si>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</si>
  <si>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</si>
  <si>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</si>
  <si>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</si>
  <si>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</si>
  <si>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</si>
  <si>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</si>
  <si>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</si>
  <si>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</si>
  <si>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</si>
  <si>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</si>
  <si>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</si>
  <si>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</si>
  <si>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</si>
  <si>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</si>
  <si>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</si>
  <si>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</si>
  <si>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</si>
  <si>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</si>
  <si>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</si>
  <si>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</si>
  <si>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</si>
  <si>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</si>
  <si>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</si>
  <si>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</si>
  <si>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</si>
  <si>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</si>
  <si>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</si>
  <si>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</si>
  <si>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</si>
  <si>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</si>
  <si>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</si>
  <si>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</si>
  <si>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</si>
  <si>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</si>
  <si>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</si>
  <si>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</si>
  <si>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</si>
  <si>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</si>
  <si>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</si>
  <si>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</si>
  <si>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</si>
  <si>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</si>
  <si>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</si>
  <si>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</si>
  <si>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</si>
  <si>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</si>
  <si>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</si>
  <si>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</si>
  <si>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</si>
  <si>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</si>
  <si>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</si>
  <si>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</si>
  <si>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</si>
  <si>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</si>
  <si>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</si>
  <si>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</si>
  <si>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</si>
  <si>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</si>
  <si>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</si>
  <si>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</si>
  <si>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</si>
  <si>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</si>
  <si>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</si>
  <si>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</si>
  <si>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</si>
  <si>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</si>
  <si>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</si>
  <si>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</si>
  <si>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</si>
  <si>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</si>
  <si>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</si>
  <si>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</si>
  <si>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</si>
  <si>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</si>
  <si>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</si>
  <si>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</si>
  <si>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</si>
  <si>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</si>
  <si>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</si>
  <si>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</si>
  <si>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</si>
  <si>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</si>
  <si>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</si>
  <si>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</si>
  <si>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</si>
  <si>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</si>
  <si>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</si>
  <si>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</si>
  <si>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</si>
  <si>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</si>
  <si>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</si>
  <si>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</si>
  <si>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</si>
  <si>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</si>
  <si>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</si>
  <si>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</si>
  <si>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</si>
  <si>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</si>
  <si>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</si>
  <si>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</si>
  <si>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</si>
  <si>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</si>
  <si>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</si>
  <si>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</si>
  <si>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</si>
  <si>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</si>
  <si>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</si>
  <si>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</si>
  <si>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</si>
  <si>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</si>
  <si>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</si>
  <si>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</si>
  <si>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</si>
  <si>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</si>
  <si>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</si>
  <si>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</si>
  <si>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</si>
  <si>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</si>
  <si>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</si>
  <si>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</si>
  <si>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</si>
  <si>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</si>
  <si>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</si>
  <si>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</si>
  <si>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</si>
  <si>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</si>
  <si>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</si>
  <si>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</si>
  <si>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</si>
  <si>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</si>
  <si>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</si>
  <si>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</si>
  <si>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</si>
  <si>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</si>
  <si>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</si>
  <si>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</si>
  <si>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</si>
  <si>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</si>
  <si>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</si>
  <si>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</si>
  <si>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</si>
  <si>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</si>
  <si>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</si>
  <si>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</si>
  <si>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</si>
  <si>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</si>
  <si>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</si>
  <si>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</si>
  <si>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</si>
  <si>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</si>
  <si>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</si>
  <si>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</si>
  <si>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</si>
  <si>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</si>
  <si>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</si>
  <si>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</si>
  <si>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</si>
  <si>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</si>
  <si>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</si>
  <si>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</si>
  <si>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</si>
  <si>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</si>
  <si>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</si>
  <si>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</si>
  <si>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</si>
  <si>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</si>
  <si>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</si>
  <si>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</si>
  <si>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</si>
  <si>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</si>
  <si>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</si>
  <si>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</si>
  <si>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</si>
  <si>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</si>
  <si>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</si>
  <si>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</si>
  <si>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</si>
  <si>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</si>
  <si>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</si>
  <si>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</si>
  <si>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</si>
  <si>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</si>
  <si>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</si>
  <si>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</si>
  <si>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</si>
  <si>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</si>
  <si>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</si>
  <si>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</si>
  <si>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</si>
  <si>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</si>
  <si>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</si>
  <si>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</si>
  <si>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</si>
  <si>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</si>
  <si>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</si>
  <si>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</si>
  <si>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</si>
  <si>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</si>
  <si>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</si>
  <si>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</si>
  <si>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</si>
  <si>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</si>
  <si>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</si>
  <si>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</si>
  <si>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</si>
  <si>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</si>
  <si>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</si>
  <si>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</si>
  <si>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</si>
  <si>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</si>
  <si>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</si>
  <si>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</si>
  <si>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</si>
  <si>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</si>
  <si>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</si>
  <si>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</si>
  <si>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</si>
  <si>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</si>
  <si>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</si>
  <si>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</si>
  <si>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</si>
  <si>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</si>
  <si>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</si>
  <si>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</si>
  <si>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</si>
  <si>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</si>
  <si>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</si>
  <si>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</si>
  <si>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</si>
  <si>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</si>
  <si>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</si>
  <si>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</si>
  <si>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</si>
  <si>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</si>
  <si>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</si>
  <si>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</si>
  <si>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</si>
  <si>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</si>
  <si>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</si>
  <si>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</si>
  <si>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</si>
  <si>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</si>
  <si>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</si>
  <si>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</si>
  <si>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</si>
  <si>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</si>
  <si>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</si>
  <si>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</si>
  <si>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</si>
  <si>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</si>
  <si>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</si>
  <si>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</si>
  <si>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</si>
  <si>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</si>
  <si>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</si>
  <si>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</si>
  <si>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</si>
  <si>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</si>
  <si>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</si>
  <si>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</si>
  <si>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</si>
  <si>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</si>
  <si>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</si>
  <si>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</si>
  <si>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</si>
  <si>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</si>
  <si>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</si>
  <si>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</si>
  <si>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</si>
  <si>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</si>
  <si>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</si>
  <si>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</si>
  <si>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</si>
  <si>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</si>
  <si>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</si>
  <si>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</si>
  <si>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</si>
  <si>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</si>
  <si>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</si>
  <si>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</si>
  <si>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</si>
  <si>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</si>
  <si>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</si>
  <si>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</si>
  <si>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</si>
  <si>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</si>
  <si>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</si>
  <si>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</si>
  <si>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</si>
  <si>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</si>
  <si>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</si>
  <si>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</si>
  <si>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</si>
  <si>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</si>
  <si>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</si>
  <si>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</si>
  <si>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</si>
  <si>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</si>
  <si>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</si>
  <si>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</si>
  <si>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</si>
  <si>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</si>
  <si>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</si>
  <si>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</si>
  <si>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</si>
  <si>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</si>
  <si>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</si>
  <si>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</si>
  <si>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</si>
  <si>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</si>
  <si>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</si>
  <si>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</si>
  <si>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</si>
  <si>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</si>
  <si>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</si>
  <si>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</si>
  <si>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</si>
  <si>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</si>
  <si>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</si>
  <si>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</si>
  <si>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</si>
  <si>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</si>
  <si>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</si>
  <si>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</si>
  <si>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</si>
  <si>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</si>
  <si>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</si>
  <si>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</si>
  <si>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</si>
  <si>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</si>
  <si>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</si>
  <si>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</si>
  <si>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</si>
  <si>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</si>
  <si>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</si>
  <si>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</si>
  <si>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</si>
  <si>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</si>
  <si>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</si>
  <si>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</si>
  <si>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</si>
  <si>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</si>
  <si>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</si>
  <si>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</si>
  <si>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</si>
  <si>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</si>
  <si>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</si>
  <si>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</si>
  <si>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</si>
  <si>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</si>
  <si>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</si>
  <si>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</si>
  <si>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</si>
  <si>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</si>
  <si>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</si>
  <si>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</si>
  <si>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</si>
  <si>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</si>
  <si>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</si>
  <si>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</si>
  <si>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</si>
  <si>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</si>
  <si>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</si>
  <si>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</si>
  <si>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</si>
  <si>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</si>
  <si>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</si>
  <si>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</si>
  <si>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</si>
  <si>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</si>
  <si>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</si>
  <si>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</si>
  <si>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</si>
  <si>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</si>
  <si>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</si>
  <si>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</si>
  <si>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</si>
  <si>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</si>
  <si>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</si>
  <si>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</si>
  <si>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</si>
  <si>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</si>
  <si>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</si>
  <si>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</si>
  <si>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</si>
  <si>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</si>
  <si>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</si>
  <si>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</si>
  <si>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</si>
  <si>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</si>
  <si>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</si>
  <si>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</si>
  <si>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</si>
  <si>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</si>
  <si>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</si>
  <si>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</si>
  <si>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</si>
  <si>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</si>
  <si>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</si>
  <si>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</si>
  <si>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</si>
  <si>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</si>
  <si>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</si>
  <si>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</si>
  <si>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</si>
  <si>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</si>
  <si>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</si>
  <si>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</si>
  <si>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</si>
  <si>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</si>
  <si>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</si>
  <si>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</si>
  <si>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</si>
  <si>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</si>
  <si>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</si>
  <si>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</si>
  <si>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</si>
  <si>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</si>
  <si>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</si>
  <si>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</si>
  <si>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</si>
  <si>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</si>
  <si>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</si>
  <si>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</si>
  <si>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</si>
  <si>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</si>
  <si>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</si>
  <si>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</si>
  <si>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</si>
  <si>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</si>
  <si>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</si>
  <si>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</si>
  <si>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</si>
  <si>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</si>
  <si>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</si>
  <si>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</si>
  <si>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</si>
  <si>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</si>
  <si>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</si>
  <si>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</si>
  <si>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</si>
  <si>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</si>
  <si>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</si>
  <si>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</si>
  <si>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</si>
  <si>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</si>
  <si>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</si>
  <si>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</si>
  <si>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</si>
  <si>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</si>
  <si>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</si>
  <si>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</si>
  <si>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</si>
  <si>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</si>
  <si>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</si>
  <si>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</si>
  <si>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</si>
  <si>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</si>
  <si>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</si>
  <si>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</si>
  <si>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</si>
  <si>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</si>
  <si>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</si>
  <si>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</si>
  <si>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</si>
  <si>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</si>
  <si>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</si>
  <si>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</si>
  <si>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</si>
  <si>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</si>
  <si>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</si>
  <si>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</si>
  <si>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</si>
  <si>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</si>
  <si>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</si>
  <si>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</si>
  <si>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</si>
  <si>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</si>
  <si>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</si>
  <si>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</si>
  <si>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</si>
  <si>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</si>
  <si>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</si>
  <si>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</si>
  <si>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</si>
  <si>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</si>
  <si>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</si>
  <si>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</si>
  <si>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</si>
  <si>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</si>
  <si>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</si>
  <si>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</si>
  <si>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</si>
  <si>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</si>
  <si>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</si>
  <si>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</si>
  <si>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</si>
  <si>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</si>
  <si>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</si>
  <si>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</si>
  <si>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</si>
  <si>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</si>
  <si>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</si>
  <si>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</si>
  <si>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</si>
  <si>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</si>
  <si>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</si>
  <si>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</si>
  <si>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</si>
  <si>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</si>
  <si>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</si>
  <si>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</si>
  <si>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</si>
  <si>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</si>
  <si>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</si>
  <si>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</si>
  <si>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</si>
  <si>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</si>
  <si>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</si>
  <si>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</si>
  <si>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</si>
  <si>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</si>
  <si>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</si>
  <si>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</si>
  <si>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</si>
  <si>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</si>
  <si>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</si>
  <si>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</si>
  <si>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</si>
  <si>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</si>
  <si>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</si>
  <si>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</si>
  <si>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</si>
  <si>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</si>
  <si>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</si>
  <si>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</si>
  <si>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</si>
  <si>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</si>
  <si>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</si>
  <si>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</si>
  <si>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</si>
  <si>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</si>
  <si>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</si>
  <si>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</si>
  <si>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</si>
  <si>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</si>
  <si>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</si>
  <si>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</si>
  <si>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</si>
  <si>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</si>
  <si>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</si>
  <si>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</si>
  <si>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</si>
  <si>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</si>
  <si>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</si>
  <si>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</si>
  <si>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</si>
  <si>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</si>
  <si>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</si>
  <si>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</si>
  <si>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</si>
  <si>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</si>
  <si>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</si>
  <si>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</si>
  <si>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</si>
  <si>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</si>
  <si>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</si>
  <si>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</si>
  <si>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</si>
  <si>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</si>
  <si>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</si>
  <si>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</si>
  <si>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</si>
  <si>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</si>
  <si>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</si>
  <si>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</si>
  <si>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</si>
  <si>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</si>
  <si>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</si>
  <si>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</si>
  <si>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</si>
  <si>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</si>
  <si>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</si>
  <si>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</si>
  <si>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</si>
  <si>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</si>
  <si>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</si>
  <si>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</si>
  <si>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</si>
  <si>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</si>
  <si>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</si>
  <si>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</si>
  <si>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</si>
  <si>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</si>
  <si>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</si>
  <si>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</si>
  <si>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</si>
  <si>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</si>
  <si>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</si>
  <si>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</si>
  <si>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</si>
  <si>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</si>
  <si>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</si>
  <si>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</si>
  <si>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</si>
  <si>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</si>
  <si>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</si>
  <si>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</si>
  <si>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</si>
  <si>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</si>
  <si>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</si>
  <si>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</si>
  <si>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</si>
  <si>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</si>
  <si>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</si>
  <si>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</si>
  <si>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</si>
  <si>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</si>
  <si>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</si>
  <si>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</si>
  <si>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</si>
  <si>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</si>
  <si>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</si>
  <si>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</si>
  <si>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</si>
  <si>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</si>
  <si>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</si>
  <si>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</si>
  <si>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</si>
  <si>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</si>
  <si>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</si>
  <si>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</si>
  <si>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</si>
  <si>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</si>
  <si>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</si>
  <si>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</si>
  <si>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</si>
  <si>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</si>
  <si>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</si>
  <si>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</si>
  <si>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</si>
  <si>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</si>
  <si>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</si>
  <si>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</si>
  <si>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</si>
  <si>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</si>
  <si>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</si>
  <si>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</si>
  <si>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</si>
  <si>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</si>
  <si>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</si>
  <si>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</si>
  <si>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</si>
  <si>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</si>
  <si>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</si>
  <si>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</si>
  <si>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</si>
  <si>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</si>
  <si>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</si>
  <si>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</si>
  <si>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</si>
  <si>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</si>
  <si>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</si>
  <si>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</si>
  <si>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</si>
  <si>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</si>
  <si>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</si>
  <si>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</si>
  <si>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</si>
  <si>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</si>
  <si>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</si>
  <si>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</si>
  <si>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</si>
  <si>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</si>
  <si>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</si>
  <si>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</si>
  <si>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</si>
  <si>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</si>
  <si>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</si>
  <si>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</si>
  <si>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</si>
  <si>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</si>
  <si>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</si>
  <si>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</si>
  <si>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</si>
  <si>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</si>
  <si>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</si>
  <si>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</si>
  <si>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</si>
  <si>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</si>
  <si>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</si>
  <si>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</si>
  <si>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</si>
  <si>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</si>
  <si>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</si>
  <si>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</si>
  <si>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</si>
  <si>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</si>
  <si>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</si>
  <si>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</si>
  <si>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</si>
  <si>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</si>
  <si>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</si>
  <si>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</si>
  <si>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</si>
  <si>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</si>
  <si>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</si>
  <si>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</si>
  <si>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</si>
  <si>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</si>
  <si>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</si>
  <si>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</si>
  <si>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</si>
  <si>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</si>
  <si>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</si>
  <si>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</si>
  <si>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</si>
  <si>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</si>
  <si>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</si>
  <si>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</si>
  <si>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</si>
  <si>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</si>
  <si>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</si>
  <si>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</si>
  <si>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</si>
  <si>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</si>
  <si>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</si>
  <si>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</si>
  <si>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</si>
  <si>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</si>
  <si>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</si>
  <si>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</si>
  <si>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</si>
  <si>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</si>
  <si>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</si>
  <si>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</si>
  <si>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</si>
  <si>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</si>
  <si>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</si>
  <si>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</si>
  <si>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</si>
  <si>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</si>
  <si>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</si>
  <si>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</si>
  <si>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</si>
  <si>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</si>
  <si>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</si>
  <si>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</si>
  <si>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</si>
  <si>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</si>
  <si>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</si>
  <si>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</si>
  <si>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</si>
  <si>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</si>
  <si>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</si>
  <si>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</si>
  <si>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</si>
  <si>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</si>
  <si>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</si>
  <si>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</si>
  <si>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</si>
  <si>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</si>
  <si>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</si>
  <si>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</si>
  <si>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</si>
  <si>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</si>
  <si>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</si>
  <si>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</si>
  <si>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</si>
  <si>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</si>
  <si>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</si>
  <si>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</si>
  <si>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</si>
  <si>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</si>
  <si>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</si>
  <si>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</si>
  <si>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</si>
  <si>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</si>
  <si>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</si>
  <si>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</si>
  <si>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</si>
  <si>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</si>
  <si>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</si>
  <si>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</si>
  <si>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</si>
  <si>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</si>
  <si>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</si>
  <si>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</si>
  <si>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</si>
  <si>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</si>
  <si>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</si>
  <si>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</si>
  <si>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</si>
  <si>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</si>
  <si>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</si>
  <si>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</si>
  <si>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</si>
  <si>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</si>
  <si>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</si>
  <si>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</si>
  <si>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</si>
  <si>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</si>
  <si>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</si>
  <si>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</si>
  <si>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</si>
  <si>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</si>
  <si>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</si>
  <si>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</si>
  <si>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</si>
  <si>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</si>
  <si>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</si>
  <si>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</si>
  <si>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</si>
  <si>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</si>
  <si>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</si>
  <si>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</si>
  <si>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</si>
  <si>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</si>
  <si>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</si>
  <si>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</si>
  <si>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</si>
  <si>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</si>
  <si>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</si>
  <si>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</si>
  <si>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</si>
  <si>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</si>
  <si>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</si>
  <si>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</si>
  <si>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</si>
  <si>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</si>
  <si>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</si>
  <si>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</si>
  <si>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</si>
  <si>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</si>
  <si>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</si>
  <si>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</si>
  <si>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</si>
  <si>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</si>
  <si>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</si>
  <si>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</si>
  <si>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</si>
  <si>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</si>
  <si>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</si>
  <si>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</si>
  <si>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</si>
  <si>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</si>
  <si>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</si>
  <si>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</si>
  <si>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</si>
  <si>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</si>
  <si>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</si>
  <si>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</si>
  <si>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</si>
  <si>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</si>
  <si>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</si>
  <si>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</si>
  <si>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</si>
  <si>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</si>
  <si>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</si>
  <si>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</si>
  <si>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</si>
  <si>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</si>
  <si>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</si>
  <si>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</si>
  <si>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</si>
  <si>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</si>
  <si>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</si>
  <si>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</si>
  <si>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</si>
  <si>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</si>
  <si>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</si>
  <si>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</si>
  <si>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</si>
  <si>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</si>
  <si>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</si>
  <si>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</si>
  <si>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</si>
  <si>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</si>
  <si>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</si>
  <si>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</si>
  <si>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</si>
  <si>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</si>
  <si>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</si>
  <si>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</si>
  <si>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</si>
  <si>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</si>
  <si>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</si>
  <si>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</si>
  <si>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</si>
  <si>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</si>
  <si>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</si>
  <si>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</si>
  <si>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</si>
  <si>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</si>
  <si>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</si>
  <si>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</si>
  <si>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</si>
  <si>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</si>
  <si>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</si>
  <si>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</si>
  <si>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</si>
  <si>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</si>
  <si>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</si>
  <si>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</si>
  <si>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</si>
  <si>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</si>
  <si>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</si>
  <si>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</si>
  <si>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</si>
  <si>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</si>
  <si>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</si>
  <si>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</si>
  <si>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</si>
  <si>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</si>
  <si>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</si>
  <si>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</si>
  <si>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</si>
  <si>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</si>
  <si>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</si>
  <si>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</si>
  <si>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</si>
  <si>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</si>
  <si>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</si>
  <si>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</si>
  <si>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</si>
  <si>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</si>
  <si>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</si>
  <si>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</si>
  <si>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</si>
  <si>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</si>
  <si>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</si>
  <si>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</si>
  <si>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</si>
  <si>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</si>
  <si>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</si>
  <si>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</si>
  <si>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</si>
  <si>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</si>
  <si>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</si>
  <si>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</si>
  <si>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</si>
  <si>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</si>
  <si>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</si>
  <si>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</si>
  <si>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</si>
  <si>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</si>
  <si>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</si>
  <si>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</si>
  <si>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</si>
  <si>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</si>
  <si>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</si>
  <si>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</si>
  <si>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</si>
  <si>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</si>
  <si>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</si>
  <si>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</si>
  <si>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</si>
  <si>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</si>
  <si>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</si>
  <si>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</si>
  <si>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</si>
  <si>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</si>
  <si>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</si>
  <si>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</si>
  <si>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</si>
  <si>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</si>
  <si>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</si>
  <si>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</si>
  <si>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</si>
  <si>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</si>
  <si>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</si>
  <si>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</si>
  <si>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</si>
  <si>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</si>
  <si>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</si>
  <si>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</si>
  <si>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</si>
  <si>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</si>
  <si>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</si>
  <si>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</si>
  <si>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</si>
  <si>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</si>
  <si>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</si>
  <si>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</si>
  <si>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</si>
  <si>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</si>
  <si>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</si>
  <si>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</si>
  <si>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</si>
  <si>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</si>
  <si>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</si>
  <si>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</si>
  <si>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</si>
  <si>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</si>
  <si>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</si>
  <si>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</si>
  <si>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</si>
  <si>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</si>
  <si>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</si>
  <si>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</si>
  <si>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</si>
  <si>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</si>
  <si>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</si>
  <si>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</si>
  <si>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</si>
  <si>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</si>
  <si>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</si>
  <si>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</si>
  <si>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</si>
  <si>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</si>
  <si>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</si>
  <si>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</si>
  <si>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</si>
  <si>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</si>
  <si>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</si>
  <si>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</si>
  <si>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</si>
  <si>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</si>
  <si>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</si>
  <si>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</si>
  <si>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</si>
  <si>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</si>
  <si>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</si>
  <si>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</si>
  <si>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</si>
  <si>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</si>
  <si>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</si>
  <si>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</si>
  <si>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</si>
  <si>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</si>
  <si>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</si>
  <si>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</si>
  <si>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</si>
  <si>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</si>
  <si>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</si>
  <si>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</si>
  <si>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</si>
  <si>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</si>
  <si>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</si>
  <si>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</si>
  <si>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</si>
  <si>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</si>
  <si>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</si>
  <si>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</si>
  <si>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</si>
  <si>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</si>
  <si>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</si>
  <si>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</si>
  <si>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</si>
  <si>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</si>
  <si>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</si>
  <si>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</si>
  <si>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</si>
  <si>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</si>
  <si>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</si>
  <si>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</si>
  <si>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</si>
  <si>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</si>
  <si>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</si>
  <si>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</si>
  <si>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</si>
  <si>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</si>
  <si>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</si>
  <si>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</si>
  <si>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</si>
  <si>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</si>
  <si>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</si>
  <si>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</si>
  <si>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</si>
  <si>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</si>
  <si>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</si>
  <si>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</si>
  <si>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</si>
  <si>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</si>
  <si>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</si>
  <si>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</si>
  <si>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</si>
  <si>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</si>
  <si>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</si>
  <si>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</si>
  <si>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</si>
  <si>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</si>
  <si>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</si>
  <si>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</si>
  <si>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</si>
  <si>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</si>
  <si>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</si>
  <si>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</si>
  <si>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</si>
  <si>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</si>
  <si>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</si>
  <si>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</si>
  <si>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</si>
  <si>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</si>
  <si>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</si>
  <si>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</si>
  <si>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</si>
  <si>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</si>
  <si>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</si>
  <si>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</si>
  <si>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</si>
  <si>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</si>
  <si>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</si>
  <si>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</si>
  <si>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</si>
  <si>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</si>
  <si>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</si>
  <si>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</si>
  <si>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</si>
  <si>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</si>
  <si>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</si>
  <si>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</si>
  <si>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</si>
  <si>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</si>
  <si>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</si>
  <si>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</si>
  <si>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</si>
  <si>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</si>
  <si>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</si>
  <si>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</si>
  <si>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</si>
  <si>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</si>
  <si>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</si>
  <si>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</si>
  <si>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</si>
  <si>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</si>
  <si>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</si>
  <si>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</si>
  <si>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</si>
  <si>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</si>
  <si>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</si>
  <si>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</si>
  <si>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</si>
  <si>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</si>
  <si>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</si>
  <si>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</si>
  <si>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</si>
  <si>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</si>
  <si>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</si>
  <si>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</si>
  <si>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</si>
  <si>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</si>
  <si>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</si>
  <si>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</si>
  <si>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</si>
  <si>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</si>
  <si>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</si>
  <si>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</si>
  <si>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</si>
  <si>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</si>
  <si>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</si>
  <si>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</si>
  <si>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</si>
  <si>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</si>
  <si>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</si>
  <si>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</si>
  <si>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</si>
  <si>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</si>
  <si>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</si>
  <si>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</si>
  <si>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</si>
  <si>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</si>
  <si>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</si>
  <si>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</si>
  <si>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</si>
  <si>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</si>
  <si>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</si>
  <si>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</si>
  <si>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</si>
  <si>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</si>
  <si>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</si>
  <si>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</si>
  <si>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</si>
  <si>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</si>
  <si>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</si>
  <si>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</si>
  <si>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</si>
  <si>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</si>
  <si>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</si>
  <si>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</si>
  <si>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</si>
  <si>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</si>
  <si>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</si>
  <si>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</si>
  <si>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</si>
  <si>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</si>
  <si>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</si>
  <si>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</si>
  <si>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</si>
  <si>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</si>
  <si>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</si>
  <si>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</si>
  <si>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</si>
  <si>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</si>
  <si>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</si>
  <si>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</si>
  <si>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</si>
  <si>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</si>
  <si>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</si>
  <si>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</si>
  <si>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</si>
  <si>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</si>
  <si>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</si>
  <si>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</si>
  <si>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</si>
  <si>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</si>
  <si>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</si>
  <si>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</si>
  <si>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</si>
  <si>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</si>
  <si>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</si>
  <si>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</si>
  <si>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</si>
  <si>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</si>
  <si>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</si>
  <si>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</si>
  <si>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</si>
  <si>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</si>
  <si>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</si>
  <si>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</si>
  <si>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</si>
  <si>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</si>
  <si>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</si>
  <si>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</si>
  <si>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</si>
  <si>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</si>
  <si>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</si>
  <si>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</si>
  <si>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</si>
  <si>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</si>
  <si>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</si>
  <si>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</si>
  <si>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</si>
  <si>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</si>
  <si>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</si>
  <si>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</si>
  <si>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</si>
  <si>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</si>
  <si>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</si>
  <si>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</si>
  <si>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</si>
  <si>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</si>
  <si>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</si>
  <si>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</si>
  <si>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</si>
  <si>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</si>
  <si>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</si>
  <si>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</si>
  <si>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</si>
  <si>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</si>
  <si>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</si>
  <si>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</si>
  <si>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</si>
  <si>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</si>
  <si>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</si>
  <si>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</si>
  <si>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</si>
  <si>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</si>
  <si>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</si>
  <si>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</si>
  <si>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</si>
  <si>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</si>
  <si>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</si>
  <si>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</si>
  <si>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</si>
  <si>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</si>
  <si>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</si>
  <si>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</si>
  <si>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</si>
  <si>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</si>
  <si>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</si>
  <si>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</si>
  <si>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</si>
  <si>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</si>
  <si>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</si>
  <si>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</si>
  <si>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</si>
  <si>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</si>
  <si>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</si>
  <si>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</si>
  <si>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</si>
  <si>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</si>
  <si>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</si>
  <si>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</si>
  <si>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</si>
  <si>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</si>
  <si>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</si>
  <si>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</si>
  <si>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</si>
  <si>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</si>
  <si>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</si>
  <si>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</si>
  <si>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</si>
  <si>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</si>
  <si>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</si>
  <si>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</si>
  <si>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</si>
  <si>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</si>
  <si>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</si>
  <si>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</si>
  <si>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</si>
  <si>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</si>
  <si>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</si>
  <si>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</si>
  <si>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</si>
  <si>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</si>
  <si>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</si>
  <si>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</si>
  <si>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</si>
  <si>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</si>
  <si>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</si>
  <si>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</si>
  <si>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</si>
  <si>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</si>
  <si>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</si>
  <si>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</si>
  <si>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</si>
  <si>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</si>
  <si>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</si>
  <si>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</si>
  <si>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</si>
  <si>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</si>
  <si>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</si>
  <si>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</si>
  <si>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</si>
  <si>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</si>
  <si>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</si>
  <si>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</si>
  <si>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</si>
  <si>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</si>
  <si>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</si>
  <si>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</si>
  <si>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</si>
  <si>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</si>
  <si>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</si>
  <si>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</si>
  <si>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</si>
  <si>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</si>
  <si>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</si>
  <si>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</si>
  <si>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</si>
  <si>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</si>
  <si>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</si>
  <si>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</si>
  <si>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</si>
  <si>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</si>
  <si>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</si>
  <si>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</si>
  <si>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</si>
  <si>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</si>
  <si>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</si>
  <si>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</si>
  <si>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</si>
  <si>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</si>
  <si>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</si>
  <si>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</si>
  <si>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</si>
  <si>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</si>
  <si>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</si>
  <si>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</si>
  <si>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</si>
  <si>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</si>
  <si>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</si>
  <si>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</si>
  <si>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</si>
  <si>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</si>
  <si>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</si>
  <si>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</si>
  <si>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</si>
  <si>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</si>
  <si>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</si>
  <si>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</si>
  <si>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</si>
  <si>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</si>
  <si>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</si>
  <si>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</si>
  <si>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</si>
  <si>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</si>
  <si>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</si>
  <si>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</si>
  <si>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</si>
  <si>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</si>
  <si>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</si>
  <si>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</si>
  <si>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</si>
  <si>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</si>
  <si>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</si>
  <si>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</si>
  <si>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</si>
  <si>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</si>
  <si>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</si>
  <si>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</si>
  <si>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</si>
  <si>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</si>
  <si>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</si>
  <si>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</si>
  <si>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</si>
  <si>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</si>
  <si>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</si>
  <si>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</si>
  <si>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</si>
  <si>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</si>
  <si>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</si>
  <si>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</si>
  <si>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</si>
  <si>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</si>
  <si>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</si>
  <si>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</si>
  <si>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</si>
  <si>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</si>
  <si>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</si>
  <si>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</si>
  <si>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</si>
  <si>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</si>
  <si>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</si>
  <si>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</si>
  <si>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</si>
  <si>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</si>
  <si>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</si>
  <si>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</si>
  <si>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</si>
  <si>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</si>
  <si>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</si>
  <si>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</si>
  <si>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</si>
  <si>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</si>
  <si>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</si>
  <si>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</si>
  <si>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</si>
  <si>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</si>
  <si>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</si>
  <si>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</si>
  <si>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</si>
  <si>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</si>
  <si>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</si>
  <si>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</si>
  <si>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</si>
  <si>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</si>
  <si>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</si>
  <si>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</si>
  <si>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</si>
  <si>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</si>
  <si>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</si>
  <si>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</si>
  <si>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</si>
  <si>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</si>
  <si>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</si>
  <si>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</si>
  <si>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</si>
  <si>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</si>
  <si>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</si>
  <si>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</si>
  <si>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</si>
  <si>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</si>
  <si>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</si>
  <si>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</si>
  <si>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</si>
  <si>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</si>
  <si>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</si>
  <si>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</si>
  <si>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</si>
  <si>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</si>
  <si>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</si>
  <si>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</si>
  <si>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</si>
  <si>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</si>
  <si>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</si>
  <si>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</si>
  <si>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</si>
  <si>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</si>
  <si>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</si>
  <si>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</si>
  <si>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</si>
  <si>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</si>
  <si>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</si>
  <si>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</si>
  <si>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</si>
  <si>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</si>
  <si>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</si>
  <si>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</si>
  <si>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</si>
  <si>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</si>
  <si>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</si>
  <si>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</si>
  <si>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</si>
  <si>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</si>
  <si>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</si>
  <si>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</si>
  <si>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</si>
  <si>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</si>
  <si>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</si>
  <si>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</si>
  <si>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</si>
  <si>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</si>
  <si>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</si>
  <si>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</si>
  <si>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</si>
  <si>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</si>
  <si>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</si>
  <si>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</si>
  <si>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</si>
  <si>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</si>
  <si>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</si>
  <si>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</si>
  <si>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</si>
  <si>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</si>
  <si>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</si>
  <si>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</si>
  <si>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</si>
  <si>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</si>
  <si>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</si>
  <si>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</si>
  <si>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</si>
  <si>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</si>
  <si>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</si>
  <si>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</si>
  <si>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</si>
  <si>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</si>
  <si>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</si>
  <si>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</si>
  <si>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</si>
  <si>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</si>
  <si>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</si>
  <si>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</si>
  <si>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</si>
  <si>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</si>
  <si>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</si>
  <si>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</si>
  <si>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</si>
  <si>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</si>
  <si>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</si>
  <si>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</si>
  <si>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</si>
  <si>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</si>
  <si>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</si>
  <si>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</si>
  <si>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</si>
  <si>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</si>
  <si>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</si>
  <si>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</si>
  <si>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</si>
  <si>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</si>
  <si>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</si>
  <si>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</si>
  <si>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</si>
  <si>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</si>
  <si>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</si>
  <si>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</si>
  <si>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</si>
  <si>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</si>
  <si>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</si>
  <si>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</si>
  <si>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</si>
  <si>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</si>
  <si>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</si>
  <si>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</si>
  <si>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</si>
  <si>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</si>
  <si>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</si>
  <si>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</si>
  <si>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</si>
  <si>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</si>
  <si>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</si>
  <si>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</si>
  <si>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</si>
  <si>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</si>
  <si>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</si>
  <si>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</si>
  <si>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</si>
  <si>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</si>
  <si>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</si>
  <si>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</si>
  <si>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</si>
  <si>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</si>
  <si>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</si>
  <si>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</si>
  <si>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</si>
  <si>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</si>
  <si>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</si>
  <si>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</si>
  <si>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</si>
  <si>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</si>
  <si>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</si>
  <si>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</si>
  <si>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</si>
  <si>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</si>
  <si>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</si>
  <si>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</si>
  <si>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</si>
  <si>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</si>
  <si>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</si>
  <si>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</si>
  <si>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</si>
  <si>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</si>
  <si>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</si>
  <si>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</si>
  <si>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</si>
  <si>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</si>
  <si>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</si>
  <si>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</si>
  <si>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</si>
  <si>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</si>
  <si>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</si>
  <si>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</si>
  <si>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</si>
  <si>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</si>
  <si>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</si>
  <si>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</si>
  <si>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</si>
  <si>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</si>
  <si>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</si>
  <si>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</si>
  <si>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</si>
  <si>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</si>
  <si>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</si>
  <si>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</si>
  <si>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</si>
  <si>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</si>
  <si>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</si>
  <si>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</si>
  <si>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</si>
  <si>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</si>
  <si>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</si>
  <si>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</si>
  <si>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</si>
  <si>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</si>
  <si>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</si>
  <si>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</si>
  <si>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</si>
  <si>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</si>
  <si>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</si>
  <si>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</si>
  <si>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</si>
  <si>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</si>
  <si>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</si>
  <si>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</si>
  <si>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</si>
  <si>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</si>
  <si>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</si>
  <si>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</si>
  <si>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</si>
  <si>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</si>
  <si>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</si>
  <si>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</si>
  <si>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</si>
  <si>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</si>
  <si>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</si>
  <si>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</si>
  <si>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</si>
  <si>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</si>
  <si>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</si>
  <si>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</si>
  <si>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</si>
  <si>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</si>
  <si>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</si>
  <si>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</si>
  <si>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</si>
  <si>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</si>
  <si>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</si>
  <si>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</si>
  <si>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</si>
  <si>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</si>
  <si>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</si>
  <si>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</si>
  <si>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</si>
  <si>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</si>
  <si>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</si>
  <si>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</si>
  <si>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</si>
  <si>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</si>
  <si>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</si>
  <si>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</si>
  <si>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</si>
  <si>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</si>
  <si>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</si>
  <si>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</si>
  <si>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</si>
  <si>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</si>
  <si>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</si>
  <si>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</si>
  <si>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</si>
  <si>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</si>
  <si>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</si>
  <si>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</si>
  <si>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</si>
  <si>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</si>
  <si>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</si>
  <si>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</si>
  <si>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</si>
  <si>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</si>
  <si>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</si>
  <si>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</si>
  <si>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</si>
  <si>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</si>
  <si>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</si>
  <si>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</si>
  <si>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</si>
  <si>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</si>
  <si>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</si>
  <si>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</si>
  <si>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</si>
  <si>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</si>
  <si>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</si>
  <si>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</si>
  <si>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</si>
  <si>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</si>
  <si>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</si>
  <si>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</si>
  <si>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</si>
  <si>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</si>
  <si>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</si>
  <si>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</si>
  <si>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</si>
  <si>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</si>
  <si>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</si>
  <si>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</si>
  <si>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</si>
  <si>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</si>
  <si>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</si>
  <si>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</si>
  <si>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</si>
  <si>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</si>
  <si>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</si>
  <si>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</si>
  <si>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</si>
  <si>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</si>
  <si>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</si>
  <si>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</si>
  <si>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</si>
  <si>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</si>
  <si>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</si>
  <si>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</si>
  <si>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</si>
  <si>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</si>
  <si>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</si>
  <si>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</si>
  <si>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</si>
  <si>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</si>
  <si>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</si>
  <si>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</si>
  <si>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</si>
  <si>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</si>
  <si>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</si>
  <si>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</si>
  <si>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</si>
  <si>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</si>
  <si>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</si>
  <si>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</si>
  <si>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</si>
  <si>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</si>
  <si>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</si>
  <si>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</si>
  <si>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</si>
  <si>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</si>
  <si>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</si>
  <si>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</si>
  <si>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</si>
  <si>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</si>
  <si>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</si>
  <si>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</si>
  <si>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</si>
  <si>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</si>
  <si>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</si>
  <si>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</si>
  <si>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</si>
  <si>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</si>
  <si>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</si>
  <si>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</si>
  <si>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</si>
  <si>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</si>
  <si>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</si>
  <si>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</si>
  <si>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</si>
  <si>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</si>
  <si>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</si>
  <si>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</si>
  <si>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</si>
  <si>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</si>
  <si>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</si>
  <si>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</si>
  <si>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</si>
  <si>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</si>
  <si>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</si>
  <si>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</si>
  <si>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</si>
  <si>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</si>
  <si>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</si>
  <si>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</si>
  <si>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</si>
  <si>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</si>
  <si>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</si>
  <si>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</si>
  <si>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</si>
  <si>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</si>
  <si>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</si>
  <si>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</si>
  <si>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</si>
  <si>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</si>
  <si>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</si>
  <si>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</si>
  <si>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</si>
  <si>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</si>
  <si>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</si>
  <si>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</si>
  <si>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</si>
  <si>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</si>
  <si>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</si>
  <si>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</si>
  <si>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</si>
  <si>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</si>
  <si>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</si>
  <si>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</si>
  <si>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</si>
  <si>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</si>
  <si>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</si>
  <si>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</si>
  <si>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</si>
  <si>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</si>
  <si>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</si>
  <si>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</si>
  <si>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</si>
  <si>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</si>
  <si>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</si>
  <si>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</si>
  <si>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</si>
  <si>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</si>
  <si>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</si>
  <si>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</si>
  <si>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</si>
  <si>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</si>
  <si>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</si>
  <si>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</si>
  <si>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</si>
  <si>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</si>
  <si>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</si>
  <si>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</si>
  <si>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</si>
  <si>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</si>
  <si>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</si>
  <si>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</si>
  <si>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</si>
  <si>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</si>
  <si>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</si>
  <si>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</si>
  <si>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</si>
  <si>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</si>
  <si>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</si>
  <si>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</si>
  <si>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</si>
  <si>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</si>
  <si>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</si>
  <si>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</si>
  <si>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</si>
  <si>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</si>
  <si>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</si>
  <si>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</si>
  <si>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</si>
  <si>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</si>
  <si>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</si>
  <si>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</si>
  <si>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</si>
  <si>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</si>
  <si>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</si>
  <si>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</si>
  <si>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</si>
  <si>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</si>
  <si>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</si>
  <si>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</si>
  <si>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</si>
  <si>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</si>
  <si>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</si>
  <si>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</si>
  <si>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</si>
  <si>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</si>
  <si>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</si>
  <si>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</si>
  <si>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</si>
  <si>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</si>
  <si>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</si>
  <si>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</si>
  <si>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</si>
  <si>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</si>
  <si>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</si>
  <si>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</si>
  <si>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</si>
  <si>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</si>
  <si>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</si>
  <si>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</si>
  <si>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</si>
  <si>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</si>
  <si>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</si>
  <si>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</si>
  <si>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</si>
  <si>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</si>
  <si>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</si>
  <si>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</si>
  <si>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</si>
  <si>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</si>
  <si>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</si>
  <si>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</si>
  <si>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</si>
  <si>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</si>
  <si>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</si>
  <si>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</si>
  <si>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</si>
  <si>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</si>
  <si>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</si>
  <si>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</si>
  <si>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</si>
  <si>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</si>
  <si>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</si>
  <si>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</si>
  <si>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</si>
  <si>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</si>
  <si>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</si>
  <si>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</si>
  <si>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</si>
  <si>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</si>
  <si>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</si>
  <si>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</si>
  <si>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</si>
  <si>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</si>
  <si>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</si>
  <si>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</si>
  <si>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</si>
  <si>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</si>
  <si>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</si>
  <si>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</si>
  <si>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</si>
  <si>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</si>
  <si>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</si>
  <si>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</si>
  <si>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</si>
  <si>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</si>
  <si>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</si>
  <si>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</si>
  <si>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</si>
  <si>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</si>
  <si>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</si>
  <si>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</si>
  <si>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</si>
  <si>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</si>
  <si>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</si>
  <si>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</si>
  <si>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</si>
  <si>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</si>
  <si>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</si>
  <si>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</si>
  <si>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</si>
  <si>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</si>
  <si>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</si>
  <si>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</si>
  <si>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</si>
  <si>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</si>
  <si>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</si>
  <si>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</si>
  <si>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</si>
  <si>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</si>
  <si>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</si>
  <si>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</si>
  <si>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</si>
  <si>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</si>
  <si>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</si>
  <si>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</si>
  <si>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</si>
  <si>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</si>
  <si>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</si>
  <si>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</si>
  <si>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</si>
  <si>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</si>
  <si>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</si>
  <si>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</si>
  <si>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</si>
  <si>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</si>
  <si>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</si>
  <si>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</si>
  <si>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</si>
  <si>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</si>
  <si>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</si>
  <si>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</si>
  <si>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</si>
  <si>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</si>
  <si>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</si>
  <si>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</si>
  <si>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</si>
  <si>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</si>
  <si>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</si>
  <si>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</si>
  <si>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</si>
  <si>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</si>
  <si>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</si>
  <si>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</si>
  <si>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</si>
  <si>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</si>
  <si>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</si>
  <si>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</si>
  <si>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</si>
  <si>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</si>
  <si>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</si>
  <si>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</si>
  <si>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</si>
  <si>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</si>
  <si>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</si>
  <si>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</si>
  <si>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</si>
  <si>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</si>
  <si>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</si>
  <si>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</si>
  <si>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</si>
  <si>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</si>
  <si>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</si>
  <si>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</si>
  <si>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</si>
  <si>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</si>
  <si>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</si>
  <si>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</si>
  <si>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</si>
  <si>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</si>
  <si>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</si>
  <si>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</si>
  <si>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</si>
  <si>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</si>
  <si>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</si>
  <si>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</si>
  <si>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</si>
  <si>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</si>
  <si>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</si>
  <si>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</si>
  <si>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</si>
  <si>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</si>
  <si>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</si>
  <si>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</si>
  <si>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</si>
  <si>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</si>
  <si>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</si>
  <si>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</si>
  <si>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</si>
  <si>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</si>
  <si>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</si>
  <si>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</si>
  <si>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</si>
  <si>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</si>
  <si>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</si>
  <si>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</si>
  <si>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</si>
  <si>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</si>
  <si>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</si>
  <si>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</si>
  <si>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</si>
  <si>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</si>
  <si>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</si>
  <si>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</si>
  <si>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</si>
  <si>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</si>
  <si>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</si>
  <si>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</si>
  <si>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</si>
  <si>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</si>
  <si>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</si>
  <si>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</si>
  <si>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</si>
  <si>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</si>
  <si>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</si>
  <si>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</si>
  <si>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</si>
  <si>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</si>
  <si>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</si>
  <si>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</si>
  <si>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</si>
  <si>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</si>
  <si>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</si>
  <si>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</si>
  <si>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</si>
  <si>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</si>
  <si>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</si>
  <si>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</si>
  <si>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</si>
  <si>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</si>
  <si>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</si>
  <si>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</si>
  <si>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</si>
  <si>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</si>
  <si>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</si>
  <si>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</si>
  <si>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</si>
  <si>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</si>
  <si>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</si>
  <si>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</si>
  <si>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</si>
  <si>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</si>
  <si>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</si>
  <si>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</si>
  <si>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</si>
  <si>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</si>
  <si>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</si>
  <si>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</si>
  <si>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</si>
  <si>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</si>
  <si>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</si>
  <si>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</si>
  <si>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</si>
  <si>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</si>
  <si>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</si>
  <si>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</si>
  <si>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</si>
  <si>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</si>
  <si>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</si>
  <si>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</si>
  <si>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</si>
  <si>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</si>
  <si>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</si>
  <si>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</si>
  <si>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</si>
  <si>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</si>
  <si>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</si>
  <si>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</si>
  <si>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</si>
  <si>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</si>
  <si>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</si>
  <si>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</si>
  <si>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</si>
  <si>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</si>
  <si>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</si>
  <si>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</si>
  <si>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</si>
  <si>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</si>
  <si>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</si>
  <si>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</si>
  <si>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</si>
  <si>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</si>
  <si>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</si>
  <si>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</si>
  <si>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</si>
  <si>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</si>
  <si>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</si>
  <si>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</si>
  <si>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</si>
  <si>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</si>
  <si>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</si>
  <si>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</si>
  <si>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</si>
  <si>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</si>
  <si>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</si>
  <si>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</si>
  <si>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</si>
  <si>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</si>
  <si>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</si>
  <si>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</si>
  <si>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</si>
  <si>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</si>
  <si>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</si>
  <si>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</si>
  <si>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</si>
  <si>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</si>
  <si>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</si>
  <si>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</si>
  <si>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</si>
  <si>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</si>
  <si>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</si>
  <si>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</si>
  <si>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</si>
  <si>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</si>
  <si>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</si>
  <si>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</si>
  <si>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</si>
  <si>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</si>
  <si>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</si>
  <si>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</si>
  <si>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</si>
  <si>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</si>
  <si>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</si>
  <si>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</si>
  <si>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</si>
  <si>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</si>
  <si>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</si>
  <si>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</si>
  <si>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</si>
  <si>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</si>
  <si>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</si>
  <si>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</si>
  <si>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</si>
  <si>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</si>
  <si>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</si>
  <si>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</si>
  <si>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</si>
  <si>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</si>
  <si>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</si>
  <si>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</si>
  <si>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</si>
  <si>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</si>
  <si>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</si>
  <si>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</si>
  <si>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</si>
  <si>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</si>
  <si>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</si>
  <si>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</si>
  <si>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</si>
  <si>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</si>
  <si>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</si>
  <si>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</si>
  <si>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</si>
  <si>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</si>
  <si>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</si>
  <si>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</si>
  <si>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</si>
  <si>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</si>
  <si>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</si>
  <si>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</si>
  <si>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</si>
  <si>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</si>
  <si>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</si>
  <si>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</si>
  <si>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</si>
  <si>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</si>
  <si>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</si>
  <si>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</si>
  <si>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</si>
  <si>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</si>
  <si>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</si>
  <si>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</si>
  <si>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</si>
  <si>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</si>
  <si>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</si>
  <si>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</si>
  <si>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</si>
  <si>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</si>
  <si>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</si>
  <si>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</si>
  <si>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</si>
  <si>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</si>
  <si>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</si>
  <si>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</si>
  <si>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</si>
  <si>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</si>
  <si>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</si>
  <si>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</si>
  <si>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</si>
  <si>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</si>
  <si>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</si>
  <si>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</si>
  <si>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</si>
  <si>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</si>
  <si>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</si>
  <si>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</si>
  <si>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</si>
  <si>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</si>
  <si>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</si>
  <si>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</si>
  <si>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</si>
  <si>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</si>
  <si>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</si>
  <si>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</si>
  <si>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</si>
  <si>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</si>
  <si>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</si>
  <si>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</si>
  <si>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</si>
  <si>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</si>
  <si>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</si>
  <si>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</si>
  <si>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</si>
  <si>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</si>
  <si>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</si>
  <si>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</si>
  <si>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</si>
  <si>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</si>
  <si>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</si>
  <si>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</si>
  <si>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</si>
  <si>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</si>
  <si>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</si>
  <si>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</si>
  <si>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</si>
  <si>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</si>
  <si>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</si>
  <si>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</si>
  <si>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</si>
  <si>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</si>
  <si>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</si>
  <si>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</si>
  <si>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</si>
  <si>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</si>
  <si>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</si>
  <si>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</si>
  <si>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</si>
  <si>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</si>
  <si>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</si>
  <si>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</si>
  <si>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</si>
  <si>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</si>
  <si>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</si>
  <si>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</si>
  <si>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</si>
  <si>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</si>
  <si>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</si>
  <si>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</si>
  <si>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</si>
  <si>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</si>
  <si>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</si>
  <si>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</si>
  <si>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</si>
  <si>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</si>
  <si>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</si>
  <si>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</si>
  <si>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</si>
  <si>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</si>
  <si>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</si>
  <si>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</si>
  <si>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</si>
  <si>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</si>
  <si>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</si>
  <si>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</si>
  <si>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</si>
  <si>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</si>
  <si>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</si>
  <si>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</si>
  <si>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</si>
  <si>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</si>
  <si>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</si>
  <si>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</si>
  <si>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</si>
  <si>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</si>
  <si>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</si>
  <si>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</si>
  <si>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</si>
  <si>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</si>
  <si>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</si>
  <si>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</si>
  <si>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</si>
  <si>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</si>
  <si>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</si>
  <si>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</si>
  <si>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</si>
  <si>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</si>
  <si>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</si>
  <si>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</si>
  <si>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</si>
  <si>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</si>
  <si>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</si>
  <si>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</si>
  <si>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</si>
  <si>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</si>
  <si>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</si>
  <si>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</si>
  <si>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</si>
  <si>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</si>
  <si>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</si>
  <si>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</si>
  <si>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</si>
  <si>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</si>
  <si>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</si>
  <si>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</si>
  <si>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</si>
  <si>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</si>
  <si>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</si>
  <si>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</si>
  <si>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</si>
  <si>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</si>
  <si>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</si>
  <si>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</si>
  <si>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</si>
  <si>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</si>
  <si>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</si>
  <si>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</si>
  <si>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</si>
  <si>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</si>
  <si>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</si>
  <si>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</si>
  <si>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</si>
  <si>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</si>
  <si>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</si>
  <si>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</si>
  <si>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</si>
  <si>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</si>
  <si>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</si>
  <si>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</si>
  <si>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</si>
  <si>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</si>
  <si>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</si>
  <si>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</si>
  <si>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</si>
  <si>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</si>
  <si>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</si>
  <si>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</si>
  <si>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</si>
  <si>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</si>
  <si>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</si>
  <si>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</si>
  <si>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</si>
  <si>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</si>
  <si>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</si>
  <si>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</si>
  <si>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</si>
  <si>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</si>
  <si>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</si>
  <si>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</si>
  <si>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</si>
  <si>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</si>
  <si>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</si>
  <si>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</si>
  <si>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</si>
  <si>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</si>
  <si>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</si>
  <si>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</si>
  <si>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</si>
  <si>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</si>
  <si>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</si>
  <si>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</si>
  <si>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</si>
  <si>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</si>
  <si>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</si>
  <si>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</si>
  <si>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</si>
  <si>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</si>
  <si>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</si>
  <si>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</si>
  <si>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</si>
  <si>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</si>
  <si>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</si>
  <si>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</si>
  <si>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</si>
  <si>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</si>
  <si>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</si>
  <si>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</si>
  <si>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</si>
  <si>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</si>
  <si>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</si>
  <si>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</si>
  <si>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</si>
  <si>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</si>
  <si>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</si>
  <si>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</si>
  <si>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</si>
  <si>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</si>
  <si>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</si>
  <si>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</si>
  <si>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</si>
  <si>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</si>
  <si>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</si>
  <si>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</si>
  <si>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</si>
  <si>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</si>
  <si>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</si>
  <si>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</si>
  <si>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</si>
  <si>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</si>
  <si>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</si>
  <si>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</si>
  <si>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</si>
  <si>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</si>
  <si>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</si>
  <si>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</si>
  <si>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</si>
  <si>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</si>
  <si>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</si>
  <si>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</si>
  <si>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</si>
  <si>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</si>
  <si>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</si>
  <si>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</si>
  <si>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</si>
  <si>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</si>
  <si>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</si>
  <si>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</si>
  <si>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</si>
  <si>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</si>
  <si>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</si>
  <si>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</si>
  <si>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</si>
  <si>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</si>
  <si>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</si>
  <si>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</si>
  <si>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</si>
  <si>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</si>
  <si>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</si>
  <si>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</si>
  <si>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</si>
  <si>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</si>
  <si>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</si>
  <si>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</si>
  <si>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</si>
  <si>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</si>
  <si>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</si>
  <si>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</si>
  <si>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</si>
  <si>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</si>
  <si>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</si>
  <si>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</si>
  <si>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</si>
  <si>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</si>
  <si>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</si>
  <si>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</si>
  <si>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</si>
  <si>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</si>
  <si>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</si>
  <si>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</si>
  <si>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</si>
  <si>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</si>
  <si>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</si>
  <si>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</si>
  <si>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</si>
  <si>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</si>
  <si>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</si>
  <si>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</si>
  <si>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</si>
  <si>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</si>
  <si>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</si>
  <si>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</si>
  <si>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</si>
  <si>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</si>
  <si>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</si>
  <si>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</si>
  <si>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</si>
  <si>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</si>
  <si>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</si>
  <si>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</si>
  <si>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</si>
  <si>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</si>
  <si>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</si>
  <si>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</si>
  <si>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</si>
  <si>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</si>
  <si>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</si>
  <si>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</si>
  <si>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</si>
  <si>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</si>
  <si>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</si>
  <si>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</si>
  <si>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</si>
  <si>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</si>
  <si>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</si>
  <si>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</si>
  <si>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</si>
  <si>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</si>
  <si>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</si>
  <si>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</si>
  <si>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</si>
  <si>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</si>
  <si>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</si>
  <si>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</si>
  <si>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</si>
  <si>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</si>
  <si>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</si>
  <si>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</si>
  <si>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</si>
  <si>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</si>
  <si>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</si>
  <si>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</si>
  <si>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</si>
  <si>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</si>
  <si>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</si>
  <si>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</si>
  <si>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</si>
  <si>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</si>
  <si>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</si>
  <si>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</si>
  <si>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</si>
  <si>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</si>
  <si>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</si>
  <si>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</si>
  <si>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</si>
  <si>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</si>
  <si>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</si>
  <si>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</si>
  <si>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</si>
  <si>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</si>
  <si>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</si>
  <si>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</si>
  <si>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</si>
  <si>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</si>
  <si>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</si>
  <si>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</si>
  <si>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</si>
  <si>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</si>
  <si>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</si>
  <si>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</si>
  <si>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</si>
  <si>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</si>
  <si>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</si>
  <si>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</si>
  <si>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</si>
  <si>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</si>
  <si>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</si>
  <si>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</si>
  <si>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</si>
  <si>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</si>
  <si>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</si>
  <si>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</si>
  <si>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</si>
  <si>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</si>
  <si>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</si>
  <si>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</si>
  <si>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</si>
  <si>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</si>
  <si>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</si>
  <si>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</si>
  <si>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</si>
  <si>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</si>
  <si>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</si>
  <si>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</si>
  <si>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</si>
  <si>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</si>
  <si>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</si>
  <si>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</si>
  <si>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</si>
  <si>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</si>
  <si>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</si>
  <si>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</si>
  <si>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</si>
  <si>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</si>
  <si>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</si>
  <si>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</si>
  <si>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</si>
  <si>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</si>
  <si>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</si>
  <si>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</si>
  <si>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</si>
  <si>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</si>
  <si>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</si>
  <si>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</si>
  <si>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</si>
  <si>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</si>
  <si>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</si>
  <si>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</si>
  <si>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</si>
  <si>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</si>
  <si>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</si>
  <si>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</si>
  <si>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</si>
  <si>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</si>
  <si>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</si>
  <si>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</si>
  <si>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</si>
  <si>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</si>
  <si>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</si>
  <si>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</si>
  <si>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</si>
  <si>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</si>
  <si>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</si>
  <si>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</si>
  <si>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</si>
  <si>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</si>
  <si>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</si>
  <si>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</si>
  <si>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</si>
  <si>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</si>
  <si>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</si>
  <si>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</si>
  <si>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</si>
  <si>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</si>
  <si>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</si>
  <si>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</si>
  <si>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</si>
  <si>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</si>
  <si>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</si>
  <si>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</si>
  <si>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</si>
  <si>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</si>
  <si>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</si>
  <si>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</si>
  <si>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</si>
  <si>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</si>
  <si>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</si>
  <si>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</si>
  <si>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</si>
  <si>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</si>
  <si>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</si>
  <si>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</si>
  <si>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</si>
  <si>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</si>
  <si>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</si>
  <si>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</si>
  <si>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</si>
  <si>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</si>
  <si>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</si>
  <si>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</si>
  <si>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</si>
  <si>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</si>
  <si>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</si>
  <si>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</si>
  <si>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</si>
  <si>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</si>
  <si>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</si>
  <si>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</si>
  <si>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</si>
  <si>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</si>
  <si>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</si>
  <si>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</si>
  <si>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</si>
  <si>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</si>
  <si>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</si>
  <si>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</si>
  <si>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</si>
  <si>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</si>
  <si>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</si>
  <si>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</si>
  <si>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</si>
  <si>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</si>
  <si>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</si>
  <si>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</si>
  <si>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</si>
  <si>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</si>
  <si>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</si>
  <si>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</si>
  <si>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</si>
  <si>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</si>
  <si>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</si>
  <si>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</si>
  <si>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</si>
  <si>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</si>
  <si>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</si>
  <si>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</si>
  <si>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</si>
  <si>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</si>
  <si>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</si>
  <si>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</si>
  <si>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</si>
  <si>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</si>
  <si>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</si>
  <si>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</si>
  <si>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</si>
  <si>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</si>
  <si>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</si>
  <si>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</si>
  <si>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</si>
  <si>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</si>
  <si>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</si>
  <si>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</si>
  <si>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</si>
  <si>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</si>
  <si>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</si>
  <si>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</si>
  <si>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</si>
  <si>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</si>
  <si>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</si>
  <si>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</si>
  <si>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</si>
  <si>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</si>
  <si>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</si>
  <si>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</si>
  <si>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</si>
  <si>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</si>
  <si>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</si>
  <si>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</si>
  <si>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</si>
  <si>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</si>
  <si>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</si>
  <si>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</si>
  <si>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</si>
  <si>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</si>
  <si>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</si>
  <si>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</si>
  <si>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</si>
  <si>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</si>
  <si>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</si>
  <si>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</si>
  <si>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</si>
  <si>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</si>
  <si>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</si>
  <si>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</si>
  <si>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</si>
  <si>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</si>
  <si>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</si>
  <si>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</si>
  <si>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</si>
  <si>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</si>
  <si>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</si>
  <si>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</si>
  <si>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</si>
  <si>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</si>
  <si>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</si>
  <si>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</si>
  <si>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</si>
  <si>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</si>
  <si>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</si>
  <si>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</si>
  <si>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</si>
  <si>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</si>
  <si>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</si>
  <si>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</si>
  <si>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</si>
  <si>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</si>
  <si>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</si>
  <si>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</si>
  <si>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</si>
  <si>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</si>
  <si>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</si>
  <si>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</si>
  <si>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</si>
  <si>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</si>
  <si>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</si>
  <si>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</si>
  <si>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</si>
  <si>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</si>
  <si>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</si>
  <si>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</si>
  <si>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</si>
  <si>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</si>
  <si>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</si>
  <si>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</si>
  <si>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</si>
  <si>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</si>
  <si>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</si>
  <si>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</si>
  <si>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</si>
  <si>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</si>
  <si>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</si>
  <si>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</si>
  <si>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</si>
  <si>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</si>
  <si>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</si>
  <si>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</si>
  <si>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</si>
  <si>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</si>
  <si>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</si>
  <si>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</si>
  <si>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</si>
  <si>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</si>
  <si>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</si>
  <si>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</si>
  <si>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</si>
  <si>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</si>
  <si>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</si>
  <si>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</si>
  <si>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</si>
  <si>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</si>
  <si>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</si>
  <si>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</si>
  <si>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</si>
  <si>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</si>
  <si>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</si>
  <si>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</si>
  <si>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</si>
  <si>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</si>
  <si>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</si>
  <si>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</si>
  <si>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</si>
  <si>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</si>
  <si>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</si>
  <si>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</si>
  <si>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</si>
  <si>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</si>
  <si>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</si>
  <si>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</si>
  <si>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</si>
  <si>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</si>
  <si>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</si>
  <si>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</si>
  <si>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</si>
  <si>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</si>
  <si>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</si>
  <si>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</si>
  <si>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</si>
  <si>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</si>
  <si>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</si>
  <si>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</si>
  <si>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</si>
  <si>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</si>
  <si>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</si>
  <si>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</si>
  <si>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</si>
  <si>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</si>
  <si>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</si>
  <si>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</si>
  <si>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</si>
  <si>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</si>
  <si>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</si>
  <si>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</si>
  <si>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</si>
  <si>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</si>
  <si>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</si>
  <si>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</si>
  <si>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</si>
  <si>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</si>
  <si>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</si>
  <si>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</si>
  <si>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</si>
  <si>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</si>
  <si>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</si>
  <si>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</si>
  <si>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</si>
  <si>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</si>
  <si>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</si>
  <si>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</si>
  <si>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</si>
  <si>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</si>
  <si>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</si>
  <si>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</si>
  <si>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</si>
  <si>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</si>
  <si>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</si>
  <si>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</si>
  <si>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</si>
  <si>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</si>
  <si>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</si>
  <si>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</si>
  <si>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</si>
  <si>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</si>
  <si>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</si>
  <si>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</si>
  <si>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</si>
  <si>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</si>
  <si>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</si>
  <si>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</si>
  <si>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</si>
  <si>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</si>
  <si>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</si>
  <si>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</si>
  <si>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</si>
  <si>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</si>
  <si>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</si>
  <si>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</si>
  <si>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</si>
  <si>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</si>
  <si>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</si>
  <si>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</si>
  <si>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</si>
  <si>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</si>
  <si>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</si>
  <si>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</si>
  <si>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</si>
  <si>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</si>
  <si>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</si>
  <si>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</si>
  <si>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</si>
  <si>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</si>
  <si>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</si>
  <si>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</si>
  <si>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</si>
  <si>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</si>
  <si>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</si>
  <si>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</si>
  <si>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</si>
  <si>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</si>
  <si>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</si>
  <si>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</si>
  <si>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</si>
  <si>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</si>
  <si>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</si>
  <si>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</si>
  <si>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</si>
  <si>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</si>
  <si>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</si>
  <si>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</si>
  <si>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</si>
  <si>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</si>
  <si>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</si>
  <si>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</si>
  <si>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</si>
  <si>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</si>
  <si>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</si>
  <si>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</si>
  <si>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</si>
  <si>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</si>
  <si>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</si>
  <si>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</si>
  <si>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</si>
  <si>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</si>
  <si>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</si>
  <si>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</si>
  <si>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</si>
  <si>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</si>
  <si>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</si>
  <si>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</si>
  <si>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</si>
  <si>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</si>
  <si>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</si>
  <si>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</si>
  <si>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</si>
  <si>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</si>
  <si>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</si>
  <si>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</si>
  <si>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</si>
  <si>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</si>
  <si>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</si>
  <si>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</si>
  <si>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</si>
  <si>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</si>
  <si>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</si>
  <si>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</si>
  <si>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</si>
  <si>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</si>
  <si>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</si>
  <si>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</si>
  <si>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</si>
  <si>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</si>
  <si>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</si>
  <si>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</si>
  <si>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</si>
  <si>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</si>
  <si>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</si>
  <si>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</si>
  <si>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</si>
  <si>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</si>
  <si>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</si>
  <si>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</si>
  <si>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</si>
  <si>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</si>
  <si>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</si>
  <si>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</si>
  <si>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</si>
  <si>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</si>
  <si>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</si>
  <si>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</si>
  <si>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</si>
  <si>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</si>
  <si>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</si>
  <si>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</si>
  <si>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</si>
  <si>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</si>
  <si>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</si>
  <si>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</si>
  <si>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</si>
  <si>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</si>
  <si>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</si>
  <si>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</si>
  <si>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</si>
  <si>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</si>
  <si>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</si>
  <si>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</si>
  <si>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</si>
  <si>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</si>
  <si>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</si>
  <si>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</si>
  <si>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</si>
  <si>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</si>
  <si>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</si>
  <si>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</si>
  <si>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</si>
  <si>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</si>
  <si>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</si>
  <si>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</si>
  <si>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</si>
  <si>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</si>
  <si>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</si>
  <si>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</si>
  <si>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</si>
  <si>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</si>
  <si>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</si>
  <si>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</si>
  <si>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</si>
  <si>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</si>
  <si>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</si>
  <si>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</si>
  <si>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</si>
  <si>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</si>
  <si>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</si>
  <si>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</si>
  <si>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</si>
  <si>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</si>
  <si>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</si>
  <si>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</si>
  <si>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</si>
  <si>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</si>
  <si>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</si>
  <si>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</si>
  <si>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</si>
  <si>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</si>
  <si>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</si>
  <si>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</si>
  <si>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</si>
  <si>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</si>
  <si>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</si>
  <si>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</si>
  <si>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</si>
  <si>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</si>
  <si>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</si>
  <si>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</si>
  <si>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</si>
  <si>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</si>
  <si>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</si>
  <si>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</si>
  <si>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</si>
  <si>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</si>
  <si>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</si>
  <si>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</si>
  <si>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</si>
  <si>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</si>
  <si>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</si>
  <si>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</si>
  <si>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</si>
  <si>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</si>
  <si>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</si>
  <si>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</si>
  <si>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</si>
  <si>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</si>
  <si>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</si>
  <si>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</si>
  <si>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</si>
  <si>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</si>
  <si>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</si>
  <si>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</si>
  <si>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</si>
  <si>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</si>
  <si>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</si>
  <si>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</si>
  <si>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</si>
  <si>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</si>
  <si>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</si>
  <si>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</si>
  <si>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</si>
  <si>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</si>
  <si>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</si>
  <si>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</si>
  <si>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</si>
  <si>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</si>
  <si>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</si>
  <si>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</si>
  <si>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</si>
  <si>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</si>
  <si>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</si>
  <si>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</si>
  <si>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</si>
  <si>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</si>
  <si>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</si>
  <si>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</si>
  <si>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</si>
  <si>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</si>
  <si>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</si>
  <si>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</si>
  <si>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</si>
  <si>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</si>
  <si>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</si>
  <si>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</si>
  <si>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</si>
  <si>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</si>
  <si>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</si>
  <si>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</si>
  <si>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</si>
  <si>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</si>
  <si>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</si>
  <si>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</si>
  <si>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</si>
  <si>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</si>
  <si>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</si>
  <si>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</si>
  <si>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</si>
  <si>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</si>
  <si>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</si>
  <si>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</si>
  <si>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</si>
  <si>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</si>
  <si>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</si>
  <si>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</si>
  <si>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</si>
  <si>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</si>
  <si>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</si>
  <si>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</si>
  <si>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</si>
  <si>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</si>
  <si>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</si>
  <si>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</si>
  <si>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</si>
  <si>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</si>
  <si>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</si>
  <si>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</si>
  <si>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</si>
  <si>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</si>
  <si>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</si>
  <si>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</si>
  <si>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</si>
  <si>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</si>
  <si>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</si>
  <si>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</si>
  <si>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</si>
  <si>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</si>
  <si>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</si>
  <si>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</si>
  <si>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</si>
  <si>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</si>
  <si>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</si>
  <si>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</si>
  <si>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</si>
  <si>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</si>
  <si>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</si>
  <si>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</si>
  <si>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</si>
  <si>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</si>
  <si>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</si>
  <si>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</si>
  <si>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</si>
  <si>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</si>
  <si>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</si>
  <si>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</si>
  <si>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</si>
  <si>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</si>
  <si>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</si>
  <si>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</si>
  <si>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</si>
  <si>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</si>
  <si>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</si>
  <si>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</si>
  <si>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</si>
  <si>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</si>
  <si>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</si>
  <si>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</si>
  <si>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</si>
  <si>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</si>
  <si>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</si>
  <si>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</si>
  <si>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</si>
  <si>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</si>
  <si>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</si>
  <si>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</si>
  <si>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</si>
  <si>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</si>
  <si>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</si>
  <si>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</si>
  <si>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</si>
  <si>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</si>
  <si>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</si>
  <si>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</si>
  <si>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</si>
  <si>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</si>
  <si>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</si>
  <si>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</si>
  <si>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</si>
  <si>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</si>
  <si>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</si>
  <si>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</si>
  <si>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</si>
  <si>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</si>
  <si>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</si>
  <si>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</si>
  <si>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</si>
  <si>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</si>
  <si>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</si>
  <si>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</si>
  <si>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</si>
  <si>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</si>
  <si>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</si>
  <si>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</si>
  <si>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</si>
  <si>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</si>
  <si>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</si>
  <si>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</si>
  <si>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</si>
  <si>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</si>
  <si>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</si>
  <si>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</si>
  <si>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</si>
  <si>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</si>
  <si>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</si>
  <si>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</si>
  <si>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</si>
  <si>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</si>
  <si>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</si>
  <si>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</si>
  <si>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</si>
  <si>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</si>
  <si>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</si>
  <si>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</si>
  <si>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</si>
  <si>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</si>
  <si>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</si>
  <si>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</si>
  <si>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</si>
  <si>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</si>
  <si>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</si>
  <si>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</si>
  <si>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</si>
  <si>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</si>
  <si>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</si>
  <si>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</si>
  <si>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</si>
  <si>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</si>
  <si>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</si>
  <si>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</si>
  <si>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</si>
  <si>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</si>
  <si>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</si>
  <si>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</si>
  <si>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</si>
  <si>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</si>
  <si>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</si>
  <si>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</si>
  <si>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</si>
  <si>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</si>
  <si>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</si>
  <si>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</si>
  <si>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</si>
  <si>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</si>
  <si>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</si>
  <si>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</si>
  <si>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</si>
  <si>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</si>
  <si>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</si>
  <si>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</si>
  <si>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</si>
  <si>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</si>
  <si>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</si>
  <si>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</si>
  <si>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</si>
  <si>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</si>
  <si>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</si>
  <si>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</si>
  <si>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</si>
  <si>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</si>
  <si>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</si>
  <si>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</si>
  <si>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</si>
  <si>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</si>
  <si>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</si>
  <si>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</si>
  <si>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</si>
  <si>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</si>
  <si>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</si>
  <si>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</si>
  <si>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</si>
  <si>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</si>
  <si>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</si>
  <si>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</si>
  <si>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</si>
  <si>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</si>
  <si>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</si>
  <si>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</si>
  <si>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</si>
  <si>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</si>
  <si>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</si>
  <si>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</si>
  <si>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</si>
  <si>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</si>
  <si>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</si>
  <si>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</si>
  <si>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</si>
  <si>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</si>
  <si>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</si>
  <si>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</si>
  <si>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</si>
  <si>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</si>
  <si>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</si>
  <si>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</si>
  <si>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</si>
  <si>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</si>
  <si>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</si>
  <si>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</si>
  <si>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</si>
  <si>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</si>
  <si>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</si>
  <si>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</si>
  <si>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</si>
  <si>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</si>
  <si>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</si>
  <si>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</si>
  <si>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</si>
  <si>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</si>
  <si>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</si>
  <si>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</si>
  <si>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</si>
  <si>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</si>
  <si>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</si>
  <si>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</si>
  <si>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</si>
  <si>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</si>
  <si>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</si>
  <si>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</si>
  <si>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</si>
  <si>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</si>
  <si>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</si>
  <si>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</si>
  <si>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</si>
  <si>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</si>
  <si>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</si>
  <si>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</si>
  <si>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</si>
  <si>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</si>
  <si>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</si>
  <si>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</si>
  <si>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</si>
  <si>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</si>
  <si>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</si>
  <si>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</si>
  <si>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</si>
  <si>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</si>
  <si>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</si>
  <si>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</si>
  <si>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</si>
  <si>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</si>
  <si>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</si>
  <si>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</si>
  <si>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</si>
  <si>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</si>
  <si>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</si>
  <si>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</si>
  <si>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</si>
  <si>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</si>
  <si>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</si>
  <si>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</si>
  <si>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</si>
  <si>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</si>
  <si>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</si>
  <si>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</si>
  <si>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</si>
  <si>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</si>
  <si>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</si>
  <si>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</si>
  <si>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</si>
  <si>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</si>
  <si>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</si>
  <si>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</si>
  <si>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</si>
  <si>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</si>
  <si>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</si>
  <si>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</si>
  <si>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</si>
  <si>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</si>
  <si>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</si>
  <si>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</si>
  <si>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</si>
  <si>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</si>
  <si>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</si>
  <si>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</si>
  <si>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</si>
  <si>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</si>
  <si>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</si>
  <si>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</si>
  <si>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</si>
  <si>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</si>
  <si>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</si>
  <si>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</si>
  <si>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</si>
  <si>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</si>
  <si>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</si>
  <si>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</si>
  <si>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</si>
  <si>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</si>
  <si>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</si>
  <si>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</si>
  <si>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</si>
  <si>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</si>
  <si>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</si>
  <si>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</si>
  <si>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</si>
  <si>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</si>
  <si>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</si>
  <si>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</si>
  <si>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</si>
  <si>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</si>
  <si>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</si>
  <si>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</si>
  <si>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</si>
  <si>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</si>
  <si>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</si>
  <si>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</si>
  <si>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</si>
  <si>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</si>
  <si>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</si>
  <si>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</si>
  <si>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</si>
  <si>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</si>
  <si>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</si>
  <si>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</si>
  <si>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</si>
  <si>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</si>
  <si>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</si>
  <si>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</si>
  <si>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</si>
  <si>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</si>
  <si>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</si>
  <si>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</si>
  <si>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</si>
  <si>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</si>
  <si>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</si>
  <si>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</si>
  <si>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</si>
  <si>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</si>
  <si>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</si>
  <si>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</si>
  <si>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</si>
  <si>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</si>
  <si>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</si>
  <si>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</si>
  <si>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</si>
  <si>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</si>
  <si>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</si>
  <si>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</si>
  <si>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</si>
  <si>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</si>
  <si>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</si>
  <si>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</si>
  <si>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</si>
  <si>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</si>
  <si>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</si>
  <si>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</si>
  <si>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</si>
  <si>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</si>
  <si>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</si>
  <si>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</si>
  <si>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</si>
  <si>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</si>
  <si>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</si>
  <si>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</si>
  <si>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</si>
  <si>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</si>
  <si>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</si>
  <si>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</si>
  <si>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</si>
  <si>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</si>
  <si>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</si>
  <si>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</si>
  <si>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</si>
  <si>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</si>
  <si>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</si>
  <si>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</si>
  <si>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</si>
  <si>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</si>
  <si>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</si>
  <si>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</si>
  <si>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</si>
  <si>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</si>
  <si>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</si>
  <si>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</si>
  <si>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</si>
  <si>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</si>
  <si>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</si>
  <si>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</si>
  <si>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</si>
  <si>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</si>
  <si>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</si>
  <si>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</si>
  <si>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</si>
  <si>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</si>
  <si>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</si>
  <si>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</si>
  <si>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</si>
  <si>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</si>
  <si>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</si>
  <si>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</si>
  <si>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</si>
  <si>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</si>
  <si>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</si>
  <si>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</si>
  <si>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</si>
  <si>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</si>
  <si>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</si>
  <si>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</si>
  <si>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</si>
  <si>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</si>
  <si>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</si>
  <si>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</si>
  <si>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</si>
  <si>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</si>
  <si>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</si>
  <si>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</si>
  <si>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</si>
  <si>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</si>
  <si>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</si>
  <si>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</si>
  <si>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</si>
  <si>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</si>
  <si>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</si>
  <si>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</si>
  <si>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</si>
  <si>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</si>
  <si>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</si>
  <si>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</si>
  <si>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</si>
  <si>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</si>
  <si>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</si>
  <si>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</si>
  <si>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</si>
  <si>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</si>
  <si>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</si>
  <si>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</si>
  <si>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</si>
  <si>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</si>
  <si>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</si>
  <si>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</si>
  <si>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</si>
  <si>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</si>
  <si>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</si>
  <si>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</si>
  <si>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</si>
  <si>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</si>
  <si>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</si>
  <si>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</si>
  <si>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</si>
  <si>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</si>
  <si>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</si>
  <si>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</si>
  <si>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</si>
  <si>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</si>
  <si>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</si>
  <si>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</si>
  <si>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</si>
  <si>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</si>
  <si>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</si>
  <si>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</si>
  <si>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</si>
  <si>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</si>
  <si>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</si>
  <si>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</si>
  <si>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</si>
  <si>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</si>
  <si>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</si>
  <si>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</si>
  <si>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</si>
  <si>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</si>
  <si>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</si>
  <si>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</si>
  <si>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</si>
  <si>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</si>
  <si>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</si>
  <si>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</si>
  <si>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</si>
  <si>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</si>
  <si>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</si>
  <si>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</si>
  <si>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</si>
  <si>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</si>
  <si>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</si>
  <si>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</si>
  <si>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</si>
  <si>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</si>
  <si>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</si>
  <si>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</si>
  <si>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</si>
  <si>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</si>
  <si>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</si>
  <si>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</si>
  <si>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</si>
  <si>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</si>
  <si>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</si>
  <si>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</si>
  <si>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</si>
  <si>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</si>
  <si>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</si>
  <si>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</si>
  <si>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</si>
  <si>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</si>
  <si>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</si>
  <si>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</si>
  <si>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</si>
  <si>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</si>
  <si>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</si>
  <si>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</si>
  <si>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</si>
  <si>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</si>
  <si>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</si>
  <si>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</si>
  <si>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</si>
  <si>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</si>
  <si>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</si>
  <si>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</si>
  <si>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</si>
  <si>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</si>
  <si>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</si>
  <si>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</si>
  <si>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</si>
  <si>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</si>
  <si>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</si>
  <si>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</si>
  <si>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</si>
  <si>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</si>
  <si>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</si>
  <si>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</si>
  <si>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</si>
  <si>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</si>
  <si>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</si>
  <si>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</si>
  <si>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</si>
  <si>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</si>
  <si>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</si>
  <si>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</si>
  <si>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</si>
  <si>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</si>
  <si>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</si>
  <si>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</si>
  <si>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</si>
  <si>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</si>
  <si>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</si>
  <si>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</si>
  <si>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</si>
  <si>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</si>
  <si>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</si>
  <si>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</si>
  <si>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</si>
  <si>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</si>
  <si>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</si>
  <si>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</si>
  <si>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</si>
  <si>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</si>
  <si>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</si>
  <si>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</si>
  <si>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</si>
  <si>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</si>
  <si>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</si>
  <si>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</si>
  <si>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</si>
  <si>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</si>
  <si>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</si>
  <si>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</si>
  <si>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</si>
  <si>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</si>
  <si>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</si>
  <si>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</si>
  <si>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</si>
  <si>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</si>
  <si>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</si>
  <si>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</si>
  <si>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</si>
  <si>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</si>
  <si>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</si>
  <si>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</si>
  <si>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</si>
  <si>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</si>
  <si>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</si>
  <si>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</si>
  <si>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</si>
  <si>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</si>
  <si>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</si>
  <si>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</si>
  <si>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</si>
  <si>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</si>
  <si>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</si>
  <si>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</si>
  <si>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</si>
  <si>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</si>
  <si>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</si>
  <si>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</si>
  <si>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</si>
  <si>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</si>
  <si>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</si>
  <si>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</si>
  <si>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</si>
  <si>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</si>
  <si>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</si>
  <si>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</si>
  <si>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</si>
  <si>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</si>
  <si>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</si>
  <si>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</si>
  <si>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</si>
  <si>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</si>
  <si>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</si>
  <si>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</si>
  <si>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</si>
  <si>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</si>
  <si>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</si>
  <si>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</si>
  <si>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</si>
  <si>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</si>
  <si>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</si>
  <si>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</si>
  <si>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</si>
  <si>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</si>
  <si>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</si>
  <si>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</si>
  <si>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</si>
  <si>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</si>
  <si>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</si>
  <si>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</si>
  <si>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</si>
  <si>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</si>
  <si>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</si>
  <si>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</si>
  <si>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</si>
  <si>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</si>
  <si>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</si>
  <si>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</si>
  <si>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</si>
  <si>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</si>
  <si>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</si>
  <si>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</si>
  <si>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</si>
  <si>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</si>
  <si>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</si>
  <si>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</si>
  <si>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</si>
  <si>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</si>
  <si>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</si>
  <si>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</si>
  <si>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</si>
  <si>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</si>
  <si>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</si>
  <si>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</si>
  <si>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</si>
  <si>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</si>
  <si>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</si>
  <si>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</si>
  <si>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</si>
  <si>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</si>
  <si>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</si>
  <si>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</si>
  <si>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</si>
  <si>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</si>
  <si>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</si>
  <si>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</si>
  <si>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</si>
  <si>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</si>
  <si>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</si>
  <si>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</si>
  <si>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</si>
  <si>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</si>
  <si>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</si>
  <si>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</si>
  <si>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</si>
  <si>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</si>
  <si>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</si>
  <si>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</si>
  <si>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</si>
  <si>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</si>
  <si>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</si>
  <si>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</si>
  <si>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</si>
  <si>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</si>
  <si>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</si>
  <si>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</si>
  <si>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</si>
  <si>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</si>
  <si>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</si>
  <si>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</si>
  <si>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</si>
  <si>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</si>
  <si>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</si>
  <si>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</si>
  <si>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</si>
  <si>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</si>
  <si>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</si>
  <si>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</si>
  <si>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</si>
  <si>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</si>
  <si>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</si>
  <si>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</si>
  <si>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</si>
  <si>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</si>
  <si>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</si>
  <si>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</si>
  <si>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</si>
  <si>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</si>
  <si>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</si>
  <si>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</si>
  <si>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</si>
  <si>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</si>
  <si>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</si>
  <si>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</si>
  <si>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</si>
  <si>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</si>
  <si>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</si>
  <si>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</si>
  <si>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</si>
  <si>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</si>
  <si>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</si>
  <si>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</si>
  <si>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</si>
  <si>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</si>
  <si>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</si>
  <si>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</si>
  <si>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</si>
  <si>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</si>
  <si>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</si>
  <si>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</si>
  <si>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</si>
  <si>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</si>
  <si>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</si>
  <si>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</si>
  <si>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</si>
  <si>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</si>
  <si>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</si>
  <si>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</si>
  <si>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</si>
  <si>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</si>
  <si>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</si>
  <si>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</si>
  <si>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</si>
  <si>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</si>
  <si>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</si>
  <si>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</si>
  <si>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</si>
  <si>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</si>
  <si>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</si>
  <si>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</si>
  <si>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</si>
  <si>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</si>
  <si>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</si>
  <si>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</si>
  <si>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</si>
  <si>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</si>
  <si>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</si>
  <si>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</si>
  <si>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</si>
  <si>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</si>
  <si>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</si>
  <si>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</si>
  <si>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</si>
  <si>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</si>
  <si>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</si>
  <si>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</si>
  <si>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</si>
  <si>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</si>
  <si>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</si>
  <si>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</si>
  <si>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</si>
  <si>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</si>
  <si>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</si>
  <si>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</si>
  <si>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</si>
  <si>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</si>
  <si>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</si>
  <si>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</si>
  <si>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</si>
  <si>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</si>
  <si>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</si>
  <si>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</si>
  <si>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</si>
  <si>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</si>
  <si>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</si>
  <si>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</si>
  <si>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</si>
  <si>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</si>
  <si>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</si>
  <si>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</si>
  <si>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</si>
  <si>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</si>
  <si>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</si>
  <si>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</si>
  <si>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</si>
  <si>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</si>
  <si>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</si>
  <si>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</si>
  <si>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</si>
  <si>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</si>
  <si>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</si>
  <si>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</si>
  <si>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</si>
  <si>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</si>
  <si>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</si>
  <si>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</si>
  <si>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</si>
  <si>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</si>
  <si>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</si>
  <si>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</si>
  <si>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</si>
  <si>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</si>
  <si>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</si>
  <si>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</si>
  <si>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</si>
  <si>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</si>
  <si>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</si>
  <si>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</si>
  <si>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</si>
  <si>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</si>
  <si>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</si>
  <si>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</si>
  <si>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</si>
  <si>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</si>
  <si>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</si>
  <si>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</si>
  <si>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</si>
  <si>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</si>
  <si>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</si>
  <si>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</si>
  <si>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</si>
  <si>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</si>
  <si>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</si>
  <si>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</si>
  <si>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</si>
  <si>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</si>
  <si>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</si>
  <si>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</si>
  <si>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</si>
  <si>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</si>
  <si>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</si>
  <si>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</si>
  <si>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</si>
  <si>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</si>
  <si>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</si>
  <si>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</si>
  <si>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</si>
  <si>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</si>
  <si>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</si>
  <si>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</si>
  <si>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</si>
  <si>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</si>
  <si>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</si>
  <si>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</si>
  <si>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</si>
  <si>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</si>
  <si>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</si>
  <si>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</si>
  <si>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</si>
  <si>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</si>
  <si>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</si>
  <si>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</si>
  <si>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</si>
  <si>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</si>
  <si>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</si>
  <si>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</si>
  <si>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</si>
  <si>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</si>
  <si>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</si>
  <si>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</si>
  <si>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</si>
  <si>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</si>
  <si>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</si>
  <si>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</si>
  <si>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</si>
  <si>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</si>
  <si>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</si>
  <si>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</si>
  <si>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</si>
  <si>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</si>
  <si>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</si>
  <si>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</si>
  <si>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</si>
  <si>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</si>
  <si>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</si>
  <si>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</si>
  <si>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</si>
  <si>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</si>
  <si>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</si>
  <si>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</si>
  <si>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</si>
  <si>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</si>
  <si>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</si>
  <si>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</si>
  <si>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</si>
  <si>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</si>
  <si>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</si>
  <si>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</si>
  <si>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</si>
  <si>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</si>
  <si>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</si>
  <si>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</si>
  <si>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</si>
  <si>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</si>
  <si>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</si>
  <si>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</si>
  <si>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</si>
  <si>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</si>
  <si>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</si>
  <si>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</si>
  <si>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</si>
  <si>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</si>
  <si>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</si>
  <si>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</si>
  <si>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</si>
  <si>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</si>
  <si>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</si>
  <si>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</si>
  <si>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</si>
  <si>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</si>
  <si>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</si>
  <si>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</si>
  <si>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</si>
  <si>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</si>
  <si>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</si>
  <si>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</si>
  <si>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</si>
  <si>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</si>
  <si>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</si>
  <si>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</si>
  <si>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</si>
  <si>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</si>
  <si>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</si>
  <si>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</si>
  <si>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</si>
  <si>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</si>
  <si>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</si>
  <si>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</si>
  <si>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</si>
  <si>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</si>
  <si>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</si>
  <si>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</si>
  <si>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</si>
  <si>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</si>
  <si>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</si>
  <si>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</si>
  <si>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</si>
  <si>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</si>
  <si>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</si>
  <si>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</si>
  <si>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</si>
  <si>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</si>
  <si>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</si>
  <si>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</si>
  <si>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</si>
  <si>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</si>
  <si>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</si>
  <si>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</si>
  <si>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</si>
  <si>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</si>
  <si>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</si>
  <si>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</si>
  <si>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</si>
  <si>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</si>
  <si>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</si>
  <si>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</si>
  <si>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</si>
  <si>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</si>
  <si>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</si>
  <si>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</si>
  <si>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</si>
  <si>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</si>
  <si>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</si>
  <si>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</si>
  <si>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</si>
  <si>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</si>
  <si>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</si>
  <si>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</si>
  <si>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</si>
  <si>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</si>
  <si>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</si>
  <si>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</si>
  <si>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</si>
  <si>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</si>
  <si>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</si>
  <si>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</si>
  <si>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</si>
  <si>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</si>
  <si>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</si>
  <si>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</si>
  <si>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</si>
  <si>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</si>
  <si>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</si>
  <si>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</si>
  <si>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</si>
  <si>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</si>
  <si>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</si>
  <si>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</si>
  <si>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</si>
  <si>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</si>
  <si>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</si>
  <si>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</si>
  <si>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</si>
  <si>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</si>
  <si>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</si>
  <si>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</si>
  <si>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</si>
  <si>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</si>
  <si>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</si>
  <si>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</si>
  <si>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</si>
  <si>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</si>
  <si>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</si>
  <si>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</si>
  <si>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</si>
  <si>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</si>
  <si>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</si>
  <si>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</si>
  <si>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</si>
  <si>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</si>
  <si>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</si>
  <si>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</si>
  <si>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</si>
  <si>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</si>
  <si>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</si>
  <si>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</si>
  <si>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</si>
  <si>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</si>
  <si>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</si>
  <si>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</si>
  <si>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</si>
  <si>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</si>
  <si>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</si>
  <si>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</si>
  <si>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</si>
  <si>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</si>
  <si>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</si>
  <si>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</si>
  <si>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</si>
  <si>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</si>
  <si>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</si>
  <si>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</si>
  <si>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</si>
  <si>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</si>
  <si>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</si>
  <si>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</si>
  <si>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</si>
  <si>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</si>
  <si>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</si>
  <si>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</si>
  <si>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</si>
  <si>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</si>
  <si>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</si>
  <si>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</si>
  <si>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</si>
  <si>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</si>
  <si>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</si>
  <si>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</si>
  <si>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</si>
  <si>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</si>
  <si>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</si>
  <si>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</si>
  <si>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</si>
  <si>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</si>
  <si>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</si>
  <si>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</si>
  <si>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</si>
  <si>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</si>
  <si>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</si>
  <si>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</si>
  <si>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</si>
  <si>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</si>
  <si>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</si>
  <si>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</si>
  <si>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</si>
  <si>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</si>
  <si>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</si>
  <si>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</si>
  <si>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</si>
  <si>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</si>
  <si>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</si>
  <si>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</si>
  <si>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</si>
  <si>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</si>
  <si>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</si>
  <si>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</si>
  <si>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</si>
  <si>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</si>
  <si>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</si>
  <si>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</si>
  <si>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</si>
  <si>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</si>
  <si>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</si>
  <si>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</si>
  <si>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</si>
  <si>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</si>
  <si>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</si>
  <si>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</si>
  <si>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</si>
  <si>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</si>
  <si>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</si>
  <si>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</si>
  <si>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</si>
  <si>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</si>
  <si>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</si>
  <si>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</si>
  <si>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</si>
  <si>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</si>
  <si>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</si>
  <si>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</si>
  <si>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</si>
  <si>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</si>
  <si>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</si>
  <si>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</si>
  <si>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</si>
  <si>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</si>
  <si>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</si>
  <si>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</si>
  <si>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</si>
  <si>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</si>
  <si>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</si>
  <si>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</si>
  <si>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</si>
  <si>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</si>
  <si>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</si>
  <si>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</si>
  <si>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</si>
  <si>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</si>
  <si>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</si>
  <si>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</si>
  <si>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</si>
  <si>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</si>
  <si>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</si>
  <si>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</si>
  <si>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</si>
  <si>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</si>
  <si>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</si>
  <si>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</si>
  <si>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</si>
  <si>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</si>
  <si>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</si>
  <si>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</si>
  <si>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</si>
  <si>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</si>
  <si>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</si>
  <si>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</si>
  <si>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</si>
  <si>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</si>
  <si>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</si>
  <si>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</si>
  <si>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</si>
  <si>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</si>
  <si>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</si>
  <si>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</si>
  <si>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</si>
  <si>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</si>
  <si>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</si>
  <si>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</si>
  <si>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</si>
  <si>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</si>
  <si>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</si>
  <si>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</si>
  <si>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</si>
  <si>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</si>
  <si>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</si>
  <si>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</si>
  <si>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</si>
  <si>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</si>
  <si>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</si>
  <si>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</si>
  <si>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</si>
  <si>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</si>
  <si>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</si>
  <si>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</si>
  <si>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</si>
  <si>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</si>
  <si>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</si>
  <si>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</si>
  <si>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</si>
  <si>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</si>
  <si>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</si>
  <si>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</si>
  <si>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</si>
  <si>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</si>
  <si>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</si>
  <si>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</si>
  <si>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</si>
  <si>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</si>
  <si>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</si>
  <si>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</si>
  <si>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</si>
  <si>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</si>
  <si>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</si>
  <si>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</si>
  <si>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</si>
  <si>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</si>
  <si>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</si>
  <si>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</si>
  <si>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</si>
  <si>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</si>
  <si>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</si>
  <si>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</si>
  <si>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</si>
  <si>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</si>
  <si>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</si>
  <si>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</si>
  <si>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</si>
  <si>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</si>
  <si>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</si>
  <si>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</si>
  <si>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</si>
  <si>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</si>
  <si>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</si>
  <si>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</si>
  <si>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</si>
  <si>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</si>
  <si>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</si>
  <si>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</si>
  <si>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</si>
  <si>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</si>
  <si>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</si>
  <si>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</si>
  <si>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</si>
  <si>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</si>
  <si>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</si>
  <si>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</si>
  <si>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</si>
  <si>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</si>
  <si>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</si>
  <si>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</si>
  <si>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</si>
  <si>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</si>
  <si>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</si>
  <si>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</si>
  <si>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</si>
  <si>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</si>
  <si>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</si>
  <si>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</si>
  <si>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</si>
  <si>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</si>
  <si>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</si>
  <si>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</si>
  <si>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</si>
  <si>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</si>
  <si>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</si>
  <si>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</si>
  <si>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</si>
  <si>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</si>
  <si>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</si>
  <si>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</si>
  <si>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</si>
  <si>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</si>
  <si>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</si>
  <si>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</si>
  <si>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</si>
  <si>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</si>
  <si>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</si>
  <si>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</si>
  <si>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</si>
  <si>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</si>
  <si>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</si>
  <si>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</si>
  <si>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</si>
  <si>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</si>
  <si>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</si>
  <si>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</si>
  <si>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</si>
  <si>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</si>
  <si>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</si>
  <si>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</si>
  <si>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</si>
  <si>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</si>
  <si>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</si>
  <si>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</si>
  <si>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</si>
  <si>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</si>
  <si>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</si>
  <si>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</si>
  <si>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</si>
  <si>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</si>
  <si>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</si>
  <si>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</si>
  <si>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</si>
  <si>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</si>
  <si>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</si>
  <si>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</si>
  <si>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</si>
  <si>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</si>
  <si>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</si>
  <si>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</si>
  <si>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</si>
  <si>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</si>
  <si>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</si>
  <si>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</si>
  <si>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</si>
  <si>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</si>
  <si>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</si>
  <si>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</si>
  <si>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</si>
  <si>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</si>
  <si>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</si>
  <si>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</si>
  <si>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</si>
  <si>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</si>
  <si>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</si>
  <si>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</si>
  <si>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</si>
  <si>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</si>
  <si>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</si>
  <si>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</si>
  <si>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</si>
  <si>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</si>
  <si>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</si>
  <si>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</si>
  <si>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</si>
  <si>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</si>
  <si>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</si>
  <si>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</si>
  <si>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</si>
  <si>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</si>
  <si>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</si>
  <si>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</si>
  <si>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</si>
  <si>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</si>
  <si>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</si>
  <si>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</si>
  <si>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</si>
  <si>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</si>
  <si>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</si>
  <si>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</si>
  <si>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</si>
  <si>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</si>
  <si>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</si>
  <si>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</si>
  <si>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</si>
  <si>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</si>
  <si>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</si>
  <si>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</si>
  <si>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</si>
  <si>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</si>
  <si>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</si>
  <si>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</si>
  <si>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</si>
  <si>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</si>
  <si>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</si>
  <si>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</si>
  <si>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</si>
  <si>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</si>
  <si>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</si>
  <si>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</si>
  <si>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</si>
  <si>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</si>
  <si>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</si>
  <si>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</si>
  <si>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</si>
  <si>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</si>
  <si>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</si>
  <si>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</si>
  <si>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</si>
  <si>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</si>
  <si>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</si>
  <si>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</si>
  <si>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</si>
  <si>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</si>
  <si>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</si>
  <si>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</si>
  <si>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</si>
  <si>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</si>
  <si>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</si>
  <si>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</si>
  <si>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</si>
  <si>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</si>
  <si>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</si>
  <si>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</si>
  <si>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</si>
  <si>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</si>
  <si>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</si>
  <si>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</si>
  <si>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</si>
  <si>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</si>
  <si>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</si>
  <si>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</si>
  <si>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</si>
  <si>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</si>
  <si>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</si>
  <si>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</si>
  <si>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</si>
  <si>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</si>
  <si>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</si>
  <si>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</si>
  <si>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</si>
  <si>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</si>
  <si>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</si>
  <si>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</si>
  <si>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</si>
  <si>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</si>
  <si>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</si>
  <si>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</si>
  <si>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</si>
  <si>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</si>
  <si>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</si>
  <si>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</si>
  <si>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</si>
  <si>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</si>
  <si>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</si>
  <si>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</si>
  <si>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</si>
  <si>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</si>
  <si>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</si>
  <si>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</si>
  <si>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</si>
  <si>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</si>
  <si>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</si>
  <si>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</si>
  <si>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</si>
  <si>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</si>
  <si>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</si>
  <si>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</si>
  <si>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</si>
  <si>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</si>
  <si>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</si>
  <si>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</si>
  <si>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</si>
  <si>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</si>
  <si>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</si>
  <si>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</si>
  <si>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</si>
  <si>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</si>
  <si>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</si>
  <si>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</si>
  <si>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</si>
  <si>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</si>
  <si>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</si>
  <si>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</si>
  <si>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</si>
  <si>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</si>
  <si>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</si>
  <si>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</si>
  <si>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</si>
  <si>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</si>
  <si>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</si>
  <si>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</si>
  <si>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</si>
  <si>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</si>
  <si>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</si>
  <si>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</si>
  <si>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</si>
  <si>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</si>
  <si>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</si>
  <si>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</si>
  <si>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</si>
  <si>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</si>
  <si>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</si>
  <si>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</si>
  <si>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</si>
  <si>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</si>
  <si>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</si>
  <si>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</si>
  <si>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</si>
  <si>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</si>
  <si>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</si>
  <si>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</si>
  <si>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</si>
  <si>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</si>
  <si>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</si>
  <si>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</si>
  <si>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</si>
  <si>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</si>
  <si>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</si>
  <si>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</si>
  <si>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</si>
  <si>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</si>
  <si>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</si>
  <si>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</si>
  <si>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</si>
  <si>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</si>
  <si>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</si>
  <si>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</si>
  <si>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</si>
  <si>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</si>
  <si>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</si>
  <si>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</si>
  <si>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</si>
  <si>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</si>
  <si>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</si>
  <si>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</si>
  <si>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</si>
  <si>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</si>
  <si>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</si>
  <si>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</si>
  <si>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</si>
  <si>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</si>
  <si>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</si>
  <si>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</si>
  <si>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</si>
  <si>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</si>
  <si>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</si>
  <si>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</si>
  <si>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</si>
  <si>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</si>
  <si>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</si>
  <si>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</si>
  <si>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</si>
  <si>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</si>
  <si>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</si>
  <si>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</si>
  <si>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</si>
  <si>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</si>
  <si>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</si>
  <si>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</si>
  <si>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</si>
  <si>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</si>
  <si>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</si>
  <si>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</si>
  <si>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</si>
  <si>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</si>
  <si>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</si>
  <si>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</si>
  <si>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</si>
  <si>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</si>
  <si>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</si>
  <si>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</si>
  <si>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</si>
  <si>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</si>
  <si>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</si>
  <si>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</si>
  <si>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</si>
  <si>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</si>
  <si>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</si>
  <si>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</si>
  <si>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</si>
  <si>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</si>
  <si>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</si>
  <si>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</si>
  <si>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</si>
  <si>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</si>
  <si>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</si>
  <si>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</si>
  <si>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</si>
  <si>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</si>
  <si>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</si>
  <si>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</si>
  <si>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</si>
  <si>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</si>
  <si>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</si>
  <si>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</si>
  <si>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</si>
  <si>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</si>
  <si>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</si>
  <si>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</si>
  <si>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</si>
  <si>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</si>
  <si>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</si>
  <si>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</si>
  <si>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</si>
  <si>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</si>
  <si>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</si>
  <si>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</si>
  <si>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</si>
  <si>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</si>
  <si>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</si>
  <si>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</si>
  <si>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</si>
  <si>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</si>
  <si>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</si>
  <si>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</si>
  <si>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</si>
  <si>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</si>
  <si>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</si>
  <si>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</si>
  <si>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</si>
  <si>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</si>
  <si>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</si>
  <si>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</si>
  <si>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</si>
  <si>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</si>
  <si>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</si>
  <si>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</si>
  <si>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</si>
  <si>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</si>
  <si>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</si>
  <si>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</si>
  <si>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</si>
  <si>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</si>
  <si>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</si>
  <si>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</si>
  <si>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</si>
  <si>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</si>
  <si>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</si>
  <si>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</si>
  <si>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</si>
  <si>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</si>
  <si>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</si>
  <si>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</si>
  <si>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</si>
  <si>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</si>
  <si>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</si>
  <si>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</si>
  <si>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</si>
  <si>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</si>
  <si>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</si>
  <si>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</si>
  <si>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</si>
  <si>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</si>
  <si>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</si>
  <si>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</si>
  <si>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</si>
  <si>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</si>
  <si>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</si>
  <si>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</si>
  <si>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</si>
  <si>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</si>
  <si>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</si>
  <si>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</si>
  <si>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</si>
  <si>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</si>
  <si>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</si>
  <si>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</si>
  <si>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</si>
  <si>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</si>
  <si>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</si>
  <si>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</si>
  <si>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</si>
  <si>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</si>
  <si>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</si>
  <si>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</si>
  <si>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</si>
  <si>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</si>
  <si>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</si>
  <si>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</si>
  <si>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</si>
  <si>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</si>
  <si>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</si>
  <si>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</si>
  <si>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</si>
  <si>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</si>
  <si>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</si>
  <si>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</si>
  <si>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</si>
  <si>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</si>
  <si>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</si>
  <si>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</si>
  <si>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</si>
  <si>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</si>
  <si>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</si>
  <si>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</si>
  <si>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</si>
  <si>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</si>
  <si>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</si>
  <si>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</si>
  <si>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</si>
  <si>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</si>
  <si>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</si>
  <si>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</si>
  <si>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</si>
  <si>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</si>
  <si>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</si>
  <si>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</si>
  <si>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</si>
  <si>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</si>
  <si>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</si>
  <si>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</si>
  <si>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</si>
  <si>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</si>
  <si>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</si>
  <si>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</si>
  <si>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</si>
  <si>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</si>
  <si>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</si>
  <si>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</si>
  <si>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</si>
  <si>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</si>
  <si>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</si>
  <si>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</si>
  <si>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</si>
  <si>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</si>
  <si>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</si>
  <si>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</si>
  <si>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</si>
  <si>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</si>
  <si>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</si>
  <si>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</si>
  <si>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</si>
  <si>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</si>
  <si>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</si>
  <si>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</si>
  <si>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</si>
  <si>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</si>
  <si>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</si>
  <si>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</si>
  <si>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</si>
  <si>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</si>
  <si>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</si>
  <si>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</si>
  <si>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</si>
  <si>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</si>
  <si>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</si>
  <si>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</si>
  <si>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</si>
  <si>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</si>
  <si>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</si>
  <si>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</si>
  <si>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</si>
  <si>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</si>
  <si>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</si>
  <si>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</si>
  <si>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</si>
  <si>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</si>
  <si>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</si>
  <si>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</si>
  <si>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</si>
  <si>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</si>
  <si>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</si>
  <si>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</si>
  <si>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</si>
  <si>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</si>
  <si>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</si>
  <si>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</si>
  <si>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</si>
  <si>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</si>
  <si>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</si>
  <si>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</si>
  <si>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</si>
  <si>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</si>
  <si>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</si>
  <si>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</si>
  <si>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</si>
  <si>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</si>
  <si>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</si>
  <si>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</si>
  <si>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</si>
  <si>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</si>
  <si>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</si>
  <si>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</si>
  <si>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</si>
  <si>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</si>
  <si>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</si>
  <si>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</si>
  <si>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</si>
  <si>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</si>
  <si>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</si>
  <si>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</si>
  <si>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</si>
  <si>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</si>
  <si>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</si>
  <si>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</si>
  <si>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</si>
  <si>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</si>
  <si>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</si>
  <si>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</si>
  <si>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</si>
  <si>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</si>
  <si>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</si>
  <si>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</si>
  <si>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</si>
  <si>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</si>
  <si>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</si>
  <si>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</si>
  <si>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</si>
  <si>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</si>
  <si>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</si>
  <si>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</si>
  <si>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</si>
  <si>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</si>
  <si>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</si>
  <si>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</si>
  <si>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</si>
  <si>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</si>
  <si>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</si>
  <si>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</si>
  <si>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</si>
  <si>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</si>
  <si>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</si>
  <si>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</si>
  <si>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</si>
  <si>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</si>
  <si>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</si>
  <si>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</si>
  <si>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</si>
  <si>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</si>
  <si>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</si>
  <si>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</si>
  <si>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</si>
  <si>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</si>
  <si>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</si>
  <si>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</si>
  <si>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</si>
  <si>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</si>
  <si>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</si>
  <si>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</si>
  <si>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</si>
  <si>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</si>
  <si>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</si>
  <si>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</si>
  <si>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</si>
  <si>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</si>
  <si>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</si>
  <si>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</si>
  <si>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</si>
  <si>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</si>
  <si>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</si>
  <si>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</si>
  <si>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</si>
  <si>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</si>
  <si>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</si>
  <si>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</si>
  <si>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</si>
  <si>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</si>
  <si>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</si>
  <si>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</si>
  <si>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</si>
  <si>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</si>
  <si>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</si>
  <si>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</si>
  <si>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</si>
  <si>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</si>
  <si>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</si>
  <si>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</si>
  <si>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</si>
  <si>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</si>
  <si>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</si>
  <si>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</si>
  <si>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</si>
  <si>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</si>
  <si>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</si>
  <si>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</si>
  <si>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</si>
  <si>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</si>
  <si>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</si>
  <si>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</si>
  <si>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</si>
  <si>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</si>
  <si>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</si>
  <si>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</si>
  <si>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</si>
  <si>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</si>
  <si>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</si>
  <si>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</si>
  <si>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</si>
  <si>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</si>
  <si>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</si>
  <si>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</si>
  <si>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</si>
  <si>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</si>
  <si>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</si>
  <si>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</si>
  <si>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</si>
  <si>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</si>
  <si>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</si>
  <si>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</si>
  <si>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</si>
  <si>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</si>
  <si>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</si>
  <si>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</si>
  <si>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</si>
  <si>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</si>
  <si>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</si>
  <si>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</si>
  <si>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</si>
  <si>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</si>
  <si>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</si>
  <si>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</si>
  <si>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</si>
  <si>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</si>
  <si>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</si>
  <si>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</si>
  <si>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</si>
  <si>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</si>
  <si>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</si>
  <si>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</si>
  <si>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</si>
  <si>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</si>
  <si>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</si>
  <si>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</si>
  <si>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</si>
  <si>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</si>
  <si>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</si>
  <si>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</si>
  <si>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</si>
  <si>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</si>
  <si>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</si>
  <si>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</si>
  <si>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</si>
  <si>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</si>
  <si>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</si>
  <si>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</si>
  <si>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</si>
  <si>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</si>
  <si>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</si>
  <si>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</si>
  <si>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</si>
  <si>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</si>
  <si>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</si>
  <si>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</si>
  <si>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</si>
  <si>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</si>
  <si>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</si>
  <si>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</si>
  <si>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</si>
  <si>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</si>
  <si>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</si>
  <si>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</si>
  <si>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</si>
  <si>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</si>
  <si>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</si>
  <si>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</si>
  <si>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</si>
  <si>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</si>
  <si>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</si>
  <si>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</si>
  <si>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</si>
  <si>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</si>
  <si>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</si>
  <si>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</si>
  <si>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</si>
  <si>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</si>
  <si>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</si>
  <si>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</si>
  <si>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</si>
  <si>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</si>
  <si>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</si>
  <si>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</si>
  <si>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</si>
  <si>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</si>
  <si>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</si>
  <si>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</si>
  <si>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</si>
  <si>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</si>
  <si>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</si>
  <si>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</si>
  <si>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</si>
  <si>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</si>
  <si>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</si>
  <si>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</si>
  <si>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</si>
  <si>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</si>
  <si>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</si>
  <si>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</si>
  <si>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</si>
  <si>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</si>
  <si>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</si>
  <si>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</si>
  <si>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</si>
  <si>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</si>
  <si>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</si>
  <si>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</si>
  <si>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</si>
  <si>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</si>
  <si>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</si>
  <si>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</si>
  <si>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</si>
  <si>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</si>
  <si>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</si>
  <si>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</si>
  <si>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</si>
  <si>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</si>
  <si>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</si>
  <si>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</si>
  <si>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</si>
  <si>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</si>
  <si>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</si>
  <si>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</si>
  <si>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</si>
  <si>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</si>
  <si>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</si>
  <si>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</si>
  <si>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</si>
  <si>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</si>
  <si>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</si>
  <si>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</si>
  <si>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</si>
  <si>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</si>
  <si>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</si>
  <si>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</si>
  <si>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</si>
  <si>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</si>
  <si>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</si>
  <si>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</si>
  <si>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</si>
  <si>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</si>
  <si>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</si>
  <si>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</si>
  <si>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</si>
  <si>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</si>
  <si>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</si>
  <si>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</si>
  <si>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</si>
  <si>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</si>
  <si>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</si>
  <si>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</si>
  <si>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</si>
  <si>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</si>
  <si>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</si>
  <si>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</si>
  <si>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</si>
  <si>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</si>
  <si>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</si>
  <si>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</si>
  <si>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</si>
  <si>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</si>
  <si>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</si>
  <si>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</si>
  <si>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</si>
  <si>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</si>
  <si>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</si>
  <si>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</si>
  <si>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</si>
  <si>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</si>
  <si>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</si>
  <si>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</si>
  <si>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</si>
  <si>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</si>
  <si>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</si>
  <si>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</si>
  <si>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</si>
  <si>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</si>
  <si>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</si>
  <si>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</si>
  <si>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</si>
  <si>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</si>
  <si>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</si>
  <si>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</si>
  <si>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</si>
  <si>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</si>
  <si>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</si>
  <si>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</si>
  <si>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</si>
  <si>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</si>
  <si>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</si>
  <si>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</si>
  <si>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</si>
  <si>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</si>
  <si>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</si>
  <si>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</si>
  <si>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</si>
  <si>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</si>
  <si>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</si>
  <si>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</si>
  <si>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</si>
  <si>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</si>
  <si>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</si>
  <si>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</si>
  <si>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</si>
  <si>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</si>
  <si>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</si>
  <si>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</si>
  <si>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</si>
  <si>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</si>
  <si>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</si>
  <si>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</si>
  <si>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</si>
  <si>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</si>
  <si>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</si>
  <si>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</si>
  <si>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</si>
  <si>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</si>
  <si>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</si>
  <si>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</si>
  <si>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</si>
  <si>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</si>
  <si>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</si>
  <si>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</si>
  <si>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</si>
  <si>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</si>
  <si>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</si>
  <si>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</si>
  <si>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</si>
  <si>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</si>
  <si>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</si>
  <si>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</si>
  <si>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</si>
  <si>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</si>
  <si>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</si>
  <si>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</si>
  <si>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</si>
  <si>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</si>
  <si>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</si>
  <si>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</si>
  <si>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</si>
  <si>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</si>
  <si>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</si>
  <si>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</si>
  <si>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</si>
  <si>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</si>
  <si>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</si>
  <si>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</si>
  <si>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</si>
  <si>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</si>
  <si>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</si>
  <si>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</si>
  <si>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</si>
  <si>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</si>
  <si>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</si>
  <si>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</si>
  <si>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</si>
  <si>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</si>
  <si>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</si>
  <si>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</si>
  <si>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</si>
  <si>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</si>
  <si>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</si>
  <si>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</si>
  <si>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</si>
  <si>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</si>
  <si>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</si>
  <si>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</si>
  <si>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</si>
  <si>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</si>
  <si>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</si>
  <si>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</si>
  <si>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</si>
  <si>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</si>
  <si>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</si>
  <si>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</si>
  <si>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</si>
  <si>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</si>
  <si>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</si>
  <si>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</si>
  <si>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</si>
  <si>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</si>
  <si>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</si>
  <si>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</si>
  <si>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</si>
  <si>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</si>
  <si>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</si>
  <si>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</si>
  <si>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</si>
  <si>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</si>
  <si>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</si>
  <si>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</si>
  <si>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</si>
  <si>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</si>
  <si>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</si>
  <si>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</si>
  <si>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</si>
  <si>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</si>
  <si>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</si>
  <si>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</si>
  <si>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</si>
  <si>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</si>
  <si>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</si>
  <si>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</si>
  <si>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</si>
  <si>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</si>
  <si>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</si>
  <si>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</si>
  <si>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</si>
  <si>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</si>
  <si>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</si>
  <si>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</si>
  <si>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</si>
  <si>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</si>
  <si>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</si>
  <si>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</si>
  <si>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</si>
  <si>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</si>
  <si>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</si>
  <si>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</si>
  <si>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</si>
  <si>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</si>
  <si>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</si>
  <si>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</si>
  <si>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</si>
  <si>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</si>
  <si>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</si>
  <si>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</si>
  <si>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</si>
  <si>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</si>
  <si>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</si>
  <si>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</si>
  <si>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</si>
  <si>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</si>
  <si>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</si>
  <si>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</si>
  <si>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</si>
  <si>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</si>
  <si>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</si>
  <si>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</si>
  <si>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</si>
  <si>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</si>
  <si>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</si>
  <si>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</si>
  <si>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</si>
  <si>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</si>
  <si>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</si>
  <si>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</si>
  <si>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</si>
  <si>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</si>
  <si>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</si>
  <si>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</si>
  <si>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</si>
  <si>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</si>
  <si>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</si>
  <si>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</si>
  <si>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</si>
  <si>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</si>
  <si>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</si>
  <si>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</si>
  <si>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</si>
  <si>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</si>
  <si>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</si>
  <si>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</si>
  <si>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</si>
  <si>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</si>
  <si>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</si>
  <si>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</si>
  <si>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</si>
  <si>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</si>
  <si>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</si>
  <si>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</si>
  <si>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</si>
  <si>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</si>
  <si>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</si>
  <si>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</si>
  <si>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</si>
  <si>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</si>
  <si>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</si>
  <si>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</si>
  <si>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</si>
  <si>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</si>
  <si>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</si>
  <si>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</si>
  <si>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</si>
  <si>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</si>
  <si>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</si>
  <si>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</si>
  <si>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</si>
  <si>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</si>
  <si>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</si>
  <si>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</si>
  <si>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</si>
  <si>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</si>
  <si>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</si>
  <si>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</si>
  <si>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</si>
  <si>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</si>
  <si>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</si>
  <si>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</si>
  <si>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</si>
  <si>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</si>
  <si>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</si>
  <si>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</si>
  <si>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</si>
  <si>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</si>
  <si>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</si>
  <si>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</si>
  <si>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</si>
  <si>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</si>
  <si>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</si>
  <si>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</si>
  <si>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</si>
  <si>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</si>
  <si>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</si>
  <si>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</si>
  <si>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</si>
  <si>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</si>
  <si>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</si>
  <si>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</si>
  <si>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</si>
  <si>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</si>
  <si>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</si>
  <si>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</si>
  <si>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</si>
  <si>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</si>
  <si>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</si>
  <si>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</si>
  <si>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</si>
  <si>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</si>
  <si>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</si>
  <si>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</si>
  <si>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</si>
  <si>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</si>
  <si>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</si>
  <si>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</si>
  <si>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</si>
  <si>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</si>
  <si>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</si>
  <si>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</si>
  <si>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</si>
  <si>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</si>
  <si>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</si>
  <si>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</si>
  <si>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</si>
  <si>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</si>
  <si>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</si>
  <si>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</si>
  <si>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</si>
  <si>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</si>
  <si>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</si>
  <si>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</si>
  <si>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</si>
  <si>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</si>
  <si>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</si>
  <si>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</si>
  <si>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</si>
  <si>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</si>
  <si>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</si>
  <si>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</si>
  <si>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</si>
  <si>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</si>
  <si>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</si>
  <si>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</si>
  <si>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</si>
  <si>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</si>
  <si>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</si>
  <si>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</si>
  <si>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</si>
  <si>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</si>
  <si>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</si>
  <si>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</si>
  <si>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</si>
  <si>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</si>
  <si>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</si>
  <si>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</si>
  <si>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</si>
  <si>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</si>
  <si>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</si>
  <si>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</si>
  <si>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</si>
  <si>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</si>
  <si>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</si>
  <si>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</si>
  <si>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</si>
  <si>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</si>
  <si>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</si>
  <si>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</si>
  <si>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</si>
  <si>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</si>
  <si>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</si>
  <si>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</si>
  <si>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</si>
  <si>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</si>
  <si>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</si>
  <si>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</si>
  <si>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</si>
  <si>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</si>
  <si>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</si>
  <si>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</si>
  <si>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</si>
  <si>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</si>
  <si>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</si>
  <si>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</si>
  <si>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</si>
  <si>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</si>
  <si>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</si>
  <si>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</si>
  <si>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</si>
  <si>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</si>
  <si>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</si>
  <si>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</si>
  <si>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</si>
  <si>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</si>
  <si>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</si>
  <si>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</si>
  <si>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</si>
  <si>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</si>
  <si>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</si>
  <si>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</si>
  <si>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</si>
  <si>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</si>
  <si>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</si>
  <si>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</si>
  <si>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</si>
  <si>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</si>
  <si>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</si>
  <si>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</si>
  <si>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</si>
  <si>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</si>
  <si>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</si>
  <si>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</si>
  <si>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</si>
  <si>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</si>
  <si>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</si>
  <si>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</si>
  <si>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</si>
  <si>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</si>
  <si>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</si>
  <si>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</si>
  <si>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</si>
  <si>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</si>
  <si>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</si>
  <si>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</si>
  <si>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</si>
  <si>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</si>
  <si>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</si>
  <si>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</si>
  <si>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</si>
  <si>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</si>
  <si>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</si>
  <si>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</si>
  <si>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</si>
  <si>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</si>
  <si>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</si>
  <si>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</si>
  <si>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</si>
  <si>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</si>
  <si>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</si>
  <si>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</si>
  <si>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</si>
  <si>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</si>
  <si>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</si>
  <si>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</si>
  <si>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</si>
  <si>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</si>
  <si>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</si>
  <si>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</si>
  <si>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</si>
  <si>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</si>
  <si>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</si>
  <si>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</si>
  <si>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</si>
  <si>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</si>
  <si>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</si>
  <si>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</si>
  <si>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</si>
  <si>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</si>
  <si>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</si>
  <si>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</si>
  <si>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</si>
  <si>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</si>
  <si>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</si>
  <si>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</si>
  <si>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</si>
  <si>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</si>
  <si>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</si>
  <si>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</si>
  <si>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</si>
  <si>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</si>
  <si>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</si>
  <si>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</si>
  <si>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</si>
  <si>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</si>
  <si>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</si>
  <si>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</si>
  <si>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</si>
  <si>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</si>
  <si>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</si>
  <si>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</si>
  <si>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</si>
  <si>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</si>
  <si>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</si>
  <si>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</si>
  <si>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</si>
  <si>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</si>
  <si>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</si>
  <si>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</si>
  <si>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</si>
  <si>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</si>
  <si>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</si>
  <si>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</si>
  <si>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</si>
  <si>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</si>
  <si>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</si>
  <si>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</si>
  <si>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</si>
  <si>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</si>
  <si>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</si>
  <si>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</si>
  <si>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</si>
  <si>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</si>
  <si>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</si>
  <si>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</si>
  <si>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</si>
  <si>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</si>
  <si>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</si>
  <si>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</si>
  <si>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</si>
  <si>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</si>
  <si>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</si>
  <si>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</si>
  <si>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</si>
  <si>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</si>
  <si>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</si>
  <si>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</si>
  <si>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</si>
  <si>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</si>
  <si>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</si>
  <si>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</si>
  <si>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</si>
  <si>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</si>
  <si>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</si>
  <si>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</si>
  <si>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</si>
  <si>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</si>
  <si>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</si>
  <si>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</si>
  <si>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</si>
  <si>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</si>
  <si>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</si>
  <si>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</si>
  <si>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</si>
  <si>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</si>
  <si>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</si>
  <si>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</si>
  <si>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</si>
  <si>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</si>
  <si>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</si>
  <si>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</si>
  <si>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</si>
  <si>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</si>
  <si>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</si>
  <si>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</si>
  <si>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</si>
  <si>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</si>
  <si>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</si>
  <si>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</si>
  <si>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</si>
  <si>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</si>
  <si>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</si>
  <si>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</si>
  <si>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</si>
  <si>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</si>
  <si>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</si>
  <si>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</si>
  <si>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</si>
  <si>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</si>
  <si>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</si>
  <si>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</si>
  <si>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</si>
  <si>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</si>
  <si>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</si>
  <si>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</si>
  <si>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</si>
  <si>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</si>
  <si>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</si>
  <si>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</si>
  <si>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</si>
  <si>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</si>
  <si>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</si>
  <si>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</si>
  <si>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</si>
  <si>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</si>
  <si>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</si>
  <si>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</si>
  <si>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</si>
  <si>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</si>
  <si>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</si>
  <si>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</si>
  <si>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</si>
  <si>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</si>
  <si>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</si>
  <si>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</si>
  <si>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</si>
  <si>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</si>
  <si>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</si>
  <si>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</si>
  <si>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</si>
  <si>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</si>
  <si>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</si>
  <si>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</si>
  <si>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</si>
  <si>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</si>
  <si>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</si>
  <si>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</si>
  <si>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</si>
  <si>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</si>
  <si>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</si>
  <si>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</si>
  <si>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</si>
  <si>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</si>
  <si>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</si>
  <si>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</si>
  <si>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</si>
  <si>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</si>
  <si>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</si>
  <si>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</si>
  <si>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</si>
  <si>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</si>
  <si>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</si>
  <si>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</si>
  <si>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</si>
  <si>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</si>
  <si>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</si>
  <si>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</si>
  <si>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</si>
  <si>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</si>
  <si>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</si>
  <si>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</si>
  <si>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</si>
  <si>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</si>
  <si>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</si>
  <si>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</si>
  <si>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</si>
  <si>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</si>
  <si>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</si>
  <si>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</si>
  <si>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</si>
  <si>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</si>
  <si>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</si>
  <si>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</si>
  <si>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</si>
  <si>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</si>
  <si>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</si>
  <si>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</si>
  <si>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</si>
  <si>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</si>
  <si>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</si>
  <si>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</si>
  <si>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</si>
  <si>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</si>
  <si>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</si>
  <si>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</si>
  <si>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</si>
  <si>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</si>
  <si>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</si>
  <si>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</si>
  <si>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</si>
  <si>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</si>
  <si>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</si>
  <si>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</si>
  <si>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</si>
  <si>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</si>
  <si>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</si>
  <si>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</si>
  <si>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</si>
  <si>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</si>
  <si>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</si>
  <si>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</si>
  <si>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</si>
  <si>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</si>
  <si>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</si>
  <si>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</si>
  <si>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</si>
  <si>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</si>
  <si>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</si>
  <si>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</si>
  <si>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</si>
  <si>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</si>
  <si>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</si>
  <si>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</si>
  <si>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</si>
  <si>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</si>
  <si>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</si>
  <si>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</si>
  <si>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</si>
  <si>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</si>
  <si>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</si>
  <si>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</si>
  <si>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</si>
  <si>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</si>
  <si>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</si>
  <si>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</si>
  <si>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</si>
  <si>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</si>
  <si>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</si>
  <si>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</si>
  <si>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</si>
  <si>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</si>
  <si>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</si>
  <si>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</si>
  <si>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</si>
  <si>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</si>
  <si>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</si>
  <si>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</si>
  <si>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</si>
  <si>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</si>
  <si>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</si>
  <si>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</si>
  <si>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</si>
  <si>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</si>
  <si>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</si>
  <si>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</si>
  <si>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</si>
  <si>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</si>
  <si>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</si>
  <si>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</si>
  <si>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</si>
  <si>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</si>
  <si>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</si>
  <si>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</si>
  <si>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</si>
  <si>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</si>
  <si>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</si>
  <si>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</si>
  <si>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</si>
  <si>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</si>
  <si>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</si>
  <si>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</si>
  <si>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</si>
  <si>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</si>
  <si>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</si>
  <si>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</si>
  <si>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</si>
  <si>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</si>
  <si>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</si>
  <si>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</si>
  <si>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</si>
  <si>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</si>
  <si>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</si>
  <si>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</si>
  <si>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</si>
  <si>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</si>
  <si>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</si>
  <si>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</si>
  <si>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</si>
  <si>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</si>
  <si>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</si>
  <si>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</si>
  <si>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</si>
  <si>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</si>
  <si>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</si>
  <si>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</si>
  <si>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</si>
  <si>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</si>
  <si>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</si>
  <si>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</si>
  <si>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</si>
  <si>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</si>
  <si>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</si>
  <si>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</si>
  <si>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</si>
  <si>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</si>
  <si>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</si>
  <si>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</si>
  <si>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</si>
  <si>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</si>
  <si>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</si>
  <si>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</si>
  <si>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</si>
  <si>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</si>
  <si>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</si>
  <si>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</si>
  <si>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</si>
  <si>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</si>
  <si>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</si>
  <si>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</si>
  <si>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</si>
  <si>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</si>
  <si>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</si>
  <si>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</si>
  <si>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</si>
  <si>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</si>
  <si>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</si>
  <si>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</si>
  <si>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</si>
  <si>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</si>
  <si>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</si>
  <si>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</si>
  <si>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</si>
  <si>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</si>
  <si>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</si>
  <si>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</si>
  <si>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</si>
  <si>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</si>
  <si>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</si>
  <si>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</si>
  <si>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</si>
  <si>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</si>
  <si>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</si>
  <si>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</si>
  <si>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</si>
  <si>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</si>
  <si>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</si>
  <si>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</si>
  <si>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</si>
  <si>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</si>
  <si>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</si>
  <si>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</si>
  <si>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</si>
  <si>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</si>
  <si>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</si>
  <si>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</si>
  <si>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</si>
  <si>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</si>
  <si>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</si>
  <si>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</si>
  <si>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</si>
  <si>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</si>
  <si>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</si>
  <si>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</si>
  <si>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</si>
  <si>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</si>
  <si>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</si>
  <si>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</si>
  <si>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</si>
  <si>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</si>
  <si>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</si>
  <si>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</si>
  <si>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</si>
  <si>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</si>
  <si>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</si>
  <si>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</si>
  <si>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</si>
  <si>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</si>
  <si>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</si>
  <si>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</si>
  <si>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</si>
  <si>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</si>
  <si>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</si>
  <si>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</si>
  <si>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</si>
  <si>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</si>
  <si>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</si>
  <si>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</si>
  <si>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</si>
  <si>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</si>
  <si>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</si>
  <si>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</si>
  <si>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</si>
  <si>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</si>
  <si>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</si>
  <si>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</si>
  <si>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</si>
  <si>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</si>
  <si>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</si>
  <si>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</si>
  <si>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</si>
  <si>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</si>
  <si>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</si>
  <si>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</si>
  <si>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</si>
  <si>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</si>
  <si>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</si>
  <si>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</si>
  <si>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</si>
  <si>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</si>
  <si>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</si>
  <si>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</si>
  <si>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</si>
  <si>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</si>
  <si>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</si>
  <si>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</si>
  <si>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</si>
  <si>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</si>
  <si>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</si>
  <si>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</si>
  <si>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</si>
  <si>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</si>
  <si>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</si>
  <si>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</si>
  <si>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</si>
  <si>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</si>
  <si>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</si>
  <si>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</si>
  <si>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</si>
  <si>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</si>
  <si>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</si>
  <si>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</si>
  <si>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</si>
  <si>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</si>
  <si>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</si>
  <si>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</si>
  <si>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</si>
  <si>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</si>
  <si>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</si>
  <si>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</si>
  <si>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</si>
  <si>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</si>
  <si>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</si>
  <si>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</si>
  <si>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</si>
  <si>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</si>
  <si>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</si>
  <si>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</si>
  <si>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</si>
  <si>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</si>
  <si>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</si>
  <si>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</si>
  <si>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</si>
  <si>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</si>
  <si>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</si>
  <si>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</si>
  <si>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</si>
  <si>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</si>
  <si>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</si>
  <si>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</si>
  <si>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</si>
  <si>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</si>
  <si>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</si>
  <si>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</si>
  <si>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</si>
  <si>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</si>
  <si>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</si>
  <si>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</si>
  <si>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</si>
  <si>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</si>
  <si>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</si>
  <si>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</si>
  <si>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</si>
  <si>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</si>
  <si>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</si>
  <si>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</si>
  <si>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</si>
  <si>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</si>
  <si>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</si>
  <si>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</si>
  <si>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</si>
  <si>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</si>
  <si>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</si>
  <si>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</si>
  <si>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</si>
  <si>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</si>
  <si>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</si>
  <si>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</si>
  <si>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</si>
  <si>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</si>
  <si>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</si>
  <si>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</si>
  <si>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</si>
  <si>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</si>
  <si>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</si>
  <si>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</si>
  <si>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</si>
  <si>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</si>
  <si>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</si>
  <si>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</si>
  <si>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</si>
  <si>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</si>
  <si>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</si>
  <si>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</si>
  <si>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</si>
  <si>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</si>
  <si>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</si>
  <si>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</si>
  <si>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</si>
  <si>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</si>
  <si>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</si>
  <si>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</si>
  <si>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</si>
  <si>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</si>
  <si>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</si>
  <si>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</si>
  <si>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</si>
  <si>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</si>
  <si>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</si>
  <si>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</si>
  <si>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</si>
  <si>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</si>
  <si>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</si>
  <si>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</si>
  <si>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</si>
  <si>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</si>
  <si>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</si>
  <si>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</si>
  <si>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</si>
  <si>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</si>
  <si>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</si>
  <si>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</si>
  <si>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</si>
  <si>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</si>
  <si>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</si>
  <si>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</si>
  <si>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</si>
  <si>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</si>
  <si>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</si>
  <si>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</si>
  <si>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</si>
  <si>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</si>
  <si>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</si>
  <si>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</si>
  <si>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</si>
  <si>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</si>
  <si>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</si>
  <si>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</si>
  <si>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</si>
  <si>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</si>
  <si>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</si>
  <si>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</si>
  <si>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</si>
  <si>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</si>
  <si>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</si>
  <si>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</si>
  <si>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</si>
  <si>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</si>
  <si>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</si>
  <si>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</si>
  <si>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</si>
  <si>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</si>
  <si>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</si>
  <si>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</si>
  <si>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</si>
  <si>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</si>
  <si>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</si>
  <si>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</si>
  <si>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</si>
  <si>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</si>
  <si>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</si>
  <si>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</si>
  <si>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</si>
  <si>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</si>
  <si>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</si>
  <si>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</si>
  <si>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</si>
  <si>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</si>
  <si>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</si>
  <si>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</si>
  <si>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</si>
  <si>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</si>
  <si>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</si>
  <si>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</si>
  <si>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</si>
  <si>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</si>
  <si>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</si>
  <si>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</si>
  <si>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</si>
  <si>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</si>
  <si>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</si>
  <si>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</si>
  <si>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</si>
  <si>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</si>
  <si>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</si>
  <si>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</si>
  <si>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</si>
  <si>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</si>
  <si>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</si>
  <si>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</si>
  <si>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</si>
  <si>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</si>
  <si>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</si>
  <si>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</si>
  <si>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</si>
  <si>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</si>
  <si>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</si>
  <si>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</si>
  <si>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</si>
  <si>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</si>
  <si>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</si>
  <si>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</si>
  <si>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</si>
  <si>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</si>
  <si>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</si>
  <si>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</si>
  <si>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</si>
  <si>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</si>
  <si>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</si>
  <si>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</si>
  <si>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</si>
  <si>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</si>
  <si>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</si>
  <si>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</si>
  <si>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</si>
  <si>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</si>
  <si>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</si>
  <si>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</si>
  <si>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</si>
  <si>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</si>
  <si>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</si>
  <si>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</si>
  <si>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</si>
  <si>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</si>
  <si>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</si>
  <si>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</si>
  <si>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</si>
  <si>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</si>
  <si>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</si>
  <si>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</si>
  <si>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</si>
  <si>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</si>
  <si>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</si>
  <si>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</si>
  <si>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</si>
  <si>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</si>
  <si>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</si>
  <si>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</si>
  <si>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</si>
  <si>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</si>
  <si>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</si>
  <si>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</si>
  <si>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</si>
  <si>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</si>
  <si>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</si>
  <si>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</si>
  <si>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</si>
  <si>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</si>
  <si>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</si>
  <si>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</si>
  <si>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</si>
  <si>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</si>
  <si>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</si>
  <si>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</si>
  <si>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</si>
  <si>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</si>
  <si>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</si>
  <si>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</si>
  <si>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</si>
  <si>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</si>
  <si>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</si>
  <si>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</si>
  <si>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</si>
  <si>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</si>
  <si>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</si>
  <si>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</si>
  <si>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</si>
  <si>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</si>
  <si>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</si>
  <si>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</si>
  <si>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</si>
  <si>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</si>
  <si>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</si>
  <si>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</si>
  <si>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</si>
  <si>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</si>
  <si>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</si>
  <si>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</si>
  <si>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</si>
  <si>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</si>
  <si>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</si>
  <si>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</si>
  <si>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</si>
  <si>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</si>
  <si>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</si>
  <si>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</si>
  <si>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</si>
  <si>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</si>
  <si>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</si>
  <si>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</si>
  <si>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</si>
  <si>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</si>
  <si>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</si>
  <si>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</si>
  <si>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</si>
  <si>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</si>
  <si>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</si>
  <si>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</si>
  <si>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</si>
  <si>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</si>
  <si>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</si>
  <si>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</si>
  <si>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</si>
  <si>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</si>
  <si>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</si>
  <si>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</si>
  <si>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</si>
  <si>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</si>
  <si>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</si>
  <si>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</si>
  <si>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</si>
  <si>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</si>
  <si>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</si>
  <si>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</si>
  <si>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</si>
  <si>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</si>
  <si>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</si>
  <si>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</si>
  <si>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</si>
  <si>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</si>
  <si>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</si>
  <si>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</si>
  <si>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</si>
  <si>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</si>
  <si>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</si>
  <si>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</si>
  <si>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</si>
  <si>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</si>
  <si>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</si>
  <si>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</si>
  <si>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</si>
  <si>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</si>
  <si>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</si>
  <si>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</si>
  <si>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</si>
  <si>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</si>
  <si>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</si>
  <si>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</si>
  <si>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</si>
  <si>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</si>
  <si>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</si>
  <si>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</si>
  <si>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</si>
  <si>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</si>
  <si>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</si>
  <si>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</si>
  <si>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</si>
  <si>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</si>
  <si>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</si>
  <si>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</si>
  <si>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</si>
  <si>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</si>
  <si>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</si>
  <si>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</si>
  <si>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</si>
  <si>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</si>
  <si>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</si>
  <si>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</si>
  <si>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</si>
  <si>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</si>
  <si>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</si>
  <si>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</si>
  <si>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</si>
  <si>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</si>
  <si>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</si>
  <si>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</si>
  <si>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</si>
  <si>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</si>
  <si>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</si>
  <si>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</si>
  <si>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</si>
  <si>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</si>
  <si>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</si>
  <si>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</si>
  <si>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</si>
  <si>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</si>
  <si>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</si>
  <si>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</si>
  <si>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</si>
  <si>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</si>
  <si>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</si>
  <si>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</si>
  <si>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</si>
  <si>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</si>
  <si>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</si>
  <si>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</si>
  <si>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</si>
  <si>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</si>
  <si>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</si>
  <si>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</si>
  <si>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</si>
  <si>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</si>
  <si>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</si>
  <si>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</si>
  <si>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</si>
  <si>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</si>
  <si>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</si>
  <si>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</si>
  <si>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</si>
  <si>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</si>
  <si>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</si>
  <si>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</si>
  <si>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</si>
  <si>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</si>
  <si>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</si>
  <si>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</si>
  <si>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</si>
  <si>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</si>
  <si>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</si>
  <si>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</si>
  <si>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</si>
  <si>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</si>
  <si>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</si>
  <si>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</si>
  <si>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</si>
  <si>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</si>
  <si>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</si>
  <si>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</si>
  <si>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</si>
  <si>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</si>
  <si>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</si>
  <si>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</si>
  <si>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</si>
  <si>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</si>
  <si>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</si>
  <si>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</si>
  <si>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</si>
  <si>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</si>
  <si>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</si>
  <si>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</si>
  <si>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</si>
  <si>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</si>
  <si>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</si>
  <si>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</si>
  <si>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</si>
  <si>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</si>
  <si>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</si>
  <si>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</si>
  <si>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</si>
  <si>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</si>
  <si>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</si>
  <si>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</si>
  <si>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</si>
  <si>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</si>
  <si>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</si>
  <si>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</si>
  <si>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</si>
  <si>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</si>
  <si>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</si>
  <si>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</si>
  <si>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</si>
  <si>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</si>
  <si>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</si>
  <si>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</si>
  <si>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</si>
  <si>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</si>
  <si>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</si>
  <si>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</si>
  <si>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</si>
  <si>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</si>
  <si>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</si>
  <si>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</si>
  <si>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</si>
  <si>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</si>
  <si>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</si>
  <si>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</si>
  <si>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</si>
  <si>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</si>
  <si>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</si>
  <si>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</si>
  <si>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</si>
  <si>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</si>
  <si>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</si>
  <si>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</si>
  <si>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</si>
  <si>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</si>
  <si>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</si>
  <si>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</si>
  <si>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</si>
  <si>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</si>
  <si>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</si>
  <si>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</si>
  <si>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</si>
  <si>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</si>
  <si>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</si>
  <si>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</si>
  <si>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</si>
  <si>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</si>
  <si>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</si>
  <si>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</si>
  <si>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</si>
  <si>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</si>
  <si>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</si>
  <si>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</si>
  <si>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</si>
  <si>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</si>
  <si>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</si>
  <si>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</si>
  <si>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</si>
  <si>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</si>
  <si>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</si>
  <si>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</si>
  <si>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</si>
  <si>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</si>
  <si>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</si>
  <si>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</si>
  <si>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</si>
  <si>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</si>
  <si>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</si>
  <si>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</si>
  <si>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</si>
  <si>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</si>
  <si>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</si>
  <si>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</si>
  <si>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</si>
  <si>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</si>
  <si>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</si>
  <si>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</si>
  <si>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</si>
  <si>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</si>
  <si>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</si>
  <si>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</si>
  <si>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</si>
  <si>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</si>
  <si>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</si>
  <si>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</si>
  <si>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</si>
  <si>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</si>
  <si>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</si>
  <si>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</si>
  <si>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</si>
  <si>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</si>
  <si>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</si>
  <si>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</si>
  <si>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</si>
  <si>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</si>
  <si>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</si>
  <si>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</si>
  <si>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</si>
  <si>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</si>
  <si>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</si>
  <si>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</si>
  <si>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</si>
  <si>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</si>
  <si>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</si>
  <si>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</si>
  <si>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</si>
  <si>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</si>
  <si>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</si>
  <si>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</si>
  <si>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</si>
  <si>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</si>
  <si>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</si>
  <si>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</si>
  <si>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</si>
  <si>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</si>
  <si>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天命傳說</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</si>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</sst>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printerSettings" Target="../printerSettings/printerSettings2.bin"/><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6"/>
  <sheetViews>
    <sheetView zoomScaleNormal="100" workbookViewId="0">
      <pane xSplit="1" ySplit="1" topLeftCell="J371" activePane="bottomRight" state="frozen"/>
      <selection pane="topRight" activeCell="B1" sqref="B1"/>
      <selection pane="bottomLeft" activeCell="A2" sqref="A2"/>
      <selection pane="bottomRight" activeCell="L382" activeCellId="1" sqref="L380:AC380 L382:AC382"/>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7008</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9" si="16">IF(A367="", "", "gift-codes.html?game=" &amp; A367)</f>
        <v>gift-codes.html?game=魔女的傳說</v>
      </c>
      <c r="G367" s="10" t="s">
        <v>6809</v>
      </c>
      <c r="H367" s="10" t="str">
        <f t="shared" ref="H367:H429"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6958</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6667</v>
      </c>
      <c r="AC375" s="27">
        <v>94</v>
      </c>
      <c r="AD375" s="1" t="s">
        <v>1668</v>
      </c>
      <c r="AE375" s="27">
        <v>31</v>
      </c>
    </row>
    <row r="376" spans="1:38" ht="22.5" customHeight="1" thickBot="1">
      <c r="A376" s="40" t="s">
        <v>6956</v>
      </c>
      <c r="C376" s="9" t="s">
        <v>6945</v>
      </c>
      <c r="D376" s="10" t="s">
        <v>6946</v>
      </c>
      <c r="E376" s="2" t="s">
        <v>6954</v>
      </c>
      <c r="F376" s="9" t="str">
        <f t="shared" si="16"/>
        <v>gift-codes.html?game=天命傳說</v>
      </c>
      <c r="G376" s="10" t="s">
        <v>6947</v>
      </c>
      <c r="H376" s="10" t="str">
        <f t="shared" si="17"/>
        <v>https://www.ssbuy.tw/game-detail.html?game=天命傳說</v>
      </c>
      <c r="I376" s="11" t="s">
        <v>6959</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6667</v>
      </c>
      <c r="AC376" s="27">
        <v>94</v>
      </c>
      <c r="AD376" s="1" t="s">
        <v>1668</v>
      </c>
      <c r="AE376" s="27">
        <v>31</v>
      </c>
    </row>
    <row r="377" spans="1:38" ht="22.5" customHeight="1" thickBot="1">
      <c r="A377" s="40" t="s">
        <v>6957</v>
      </c>
      <c r="C377" s="9" t="s">
        <v>6941</v>
      </c>
      <c r="D377" s="10" t="s">
        <v>6944</v>
      </c>
      <c r="E377" s="10" t="s">
        <v>6943</v>
      </c>
      <c r="F377" s="9" t="str">
        <f t="shared" si="16"/>
        <v>gift-codes.html?game=最遊幻想</v>
      </c>
      <c r="G377" s="10" t="s">
        <v>6942</v>
      </c>
      <c r="H377" s="10" t="str">
        <f t="shared" si="17"/>
        <v>https://www.ssbuy.tw/game-detail.html?game=最遊幻想</v>
      </c>
      <c r="I377" s="11" t="s">
        <v>6960</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6667</v>
      </c>
      <c r="AC377" s="27">
        <v>94</v>
      </c>
      <c r="AD377" s="1" t="s">
        <v>1668</v>
      </c>
      <c r="AE377" s="27">
        <v>31</v>
      </c>
    </row>
    <row r="378" spans="1:38" ht="22.5" customHeight="1" thickBot="1">
      <c r="A378" s="41" t="s">
        <v>6963</v>
      </c>
      <c r="C378" s="9" t="s">
        <v>6964</v>
      </c>
      <c r="D378" s="10" t="s">
        <v>6967</v>
      </c>
      <c r="E378" s="10" t="s">
        <v>6966</v>
      </c>
      <c r="F378" s="9" t="str">
        <f t="shared" si="16"/>
        <v>gift-codes.html?game=強棒出擊：ALL IN</v>
      </c>
      <c r="G378" s="10" t="s">
        <v>6965</v>
      </c>
      <c r="H378" s="10" t="str">
        <f t="shared" si="17"/>
        <v>https://www.ssbuy.tw/game-detail.html?game=強棒出擊：ALL IN</v>
      </c>
      <c r="I378" s="11" t="s">
        <v>6971</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6989</v>
      </c>
      <c r="C379" s="9" t="s">
        <v>6991</v>
      </c>
      <c r="D379" s="10" t="s">
        <v>7001</v>
      </c>
      <c r="E379" s="10" t="s">
        <v>6992</v>
      </c>
      <c r="F379" s="9" t="str">
        <f t="shared" si="16"/>
        <v>gift-codes.html?game=獸寶特攻隊</v>
      </c>
      <c r="G379" s="10" t="s">
        <v>6993</v>
      </c>
      <c r="H379" s="10" t="str">
        <f t="shared" si="17"/>
        <v>https://www.ssbuy.tw/game-detail.html?game=獸寶特攻隊</v>
      </c>
      <c r="I379" s="11" t="s">
        <v>7004</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7009</v>
      </c>
      <c r="D380" s="10" t="s">
        <v>7002</v>
      </c>
      <c r="E380" s="10" t="s">
        <v>6995</v>
      </c>
      <c r="F380" s="9" t="str">
        <f t="shared" si="16"/>
        <v>gift-codes.html?game=傭兵砰砰團：防衛戰</v>
      </c>
      <c r="G380" s="10" t="s">
        <v>6994</v>
      </c>
      <c r="H380" s="10" t="str">
        <f t="shared" si="17"/>
        <v>https://www.ssbuy.tw/game-detail.html?game=傭兵砰砰團：防衛戰</v>
      </c>
      <c r="I380" s="11" t="s">
        <v>7005</v>
      </c>
      <c r="J380" s="42" t="s">
        <v>5422</v>
      </c>
      <c r="K380" s="45" t="s">
        <v>5450</v>
      </c>
      <c r="L380" s="1" t="s">
        <v>5950</v>
      </c>
      <c r="M380" s="27">
        <v>2789</v>
      </c>
      <c r="N380" s="1" t="s">
        <v>5951</v>
      </c>
      <c r="O380" s="27">
        <v>1460</v>
      </c>
      <c r="P380" s="1" t="s">
        <v>5952</v>
      </c>
      <c r="Q380" s="27">
        <v>855</v>
      </c>
      <c r="R380" s="1" t="s">
        <v>5953</v>
      </c>
      <c r="S380" s="27">
        <v>726</v>
      </c>
      <c r="T380" s="1" t="s">
        <v>5954</v>
      </c>
      <c r="U380" s="27">
        <v>579</v>
      </c>
      <c r="V380" s="1" t="s">
        <v>5955</v>
      </c>
      <c r="W380" s="27">
        <v>423</v>
      </c>
      <c r="X380" s="1" t="s">
        <v>5956</v>
      </c>
      <c r="Y380" s="27">
        <v>285</v>
      </c>
      <c r="Z380" s="1" t="s">
        <v>5957</v>
      </c>
      <c r="AA380" s="27">
        <v>152</v>
      </c>
      <c r="AB380" s="1" t="s">
        <v>5958</v>
      </c>
      <c r="AC380" s="27">
        <v>30</v>
      </c>
    </row>
    <row r="381" spans="1:38" ht="22.5" customHeight="1" thickBot="1">
      <c r="A381" s="27" t="s">
        <v>6990</v>
      </c>
      <c r="D381" s="10" t="s">
        <v>6996</v>
      </c>
      <c r="E381" s="10" t="s">
        <v>6997</v>
      </c>
      <c r="F381" s="9" t="str">
        <f t="shared" si="16"/>
        <v>gift-codes.html?game=矮人小酒館</v>
      </c>
      <c r="G381" s="10" t="s">
        <v>6998</v>
      </c>
      <c r="H381" s="10" t="str">
        <f t="shared" si="17"/>
        <v>https://www.ssbuy.tw/game-detail.html?game=矮人小酒館</v>
      </c>
      <c r="I381" s="11" t="s">
        <v>7007</v>
      </c>
      <c r="J381" s="42" t="s">
        <v>5422</v>
      </c>
      <c r="K381" s="45" t="s">
        <v>5450</v>
      </c>
      <c r="L381" s="1" t="s">
        <v>7011</v>
      </c>
      <c r="M381" s="27">
        <v>2535</v>
      </c>
      <c r="N381" s="1" t="s">
        <v>7012</v>
      </c>
      <c r="O381" s="27">
        <v>1287</v>
      </c>
      <c r="P381" s="1" t="s">
        <v>7013</v>
      </c>
      <c r="Q381" s="27">
        <v>769</v>
      </c>
      <c r="R381" s="1" t="s">
        <v>7014</v>
      </c>
      <c r="S381" s="27">
        <v>423</v>
      </c>
      <c r="T381" s="1" t="s">
        <v>7015</v>
      </c>
      <c r="U381" s="27">
        <v>152</v>
      </c>
      <c r="V381" s="1" t="s">
        <v>7016</v>
      </c>
      <c r="W381" s="27">
        <v>30</v>
      </c>
      <c r="X381" s="1" t="s">
        <v>7017</v>
      </c>
      <c r="Y381" s="27">
        <v>260</v>
      </c>
      <c r="Z381" s="1" t="s">
        <v>7018</v>
      </c>
      <c r="AA381" s="27">
        <v>90</v>
      </c>
    </row>
    <row r="382" spans="1:38" ht="22.5" customHeight="1" thickBot="1">
      <c r="A382" s="40" t="s">
        <v>7010</v>
      </c>
      <c r="D382" s="10" t="s">
        <v>7003</v>
      </c>
      <c r="E382" s="10" t="s">
        <v>6999</v>
      </c>
      <c r="F382" s="9" t="str">
        <f t="shared" si="16"/>
        <v>gift-codes.html?game=星際守護者</v>
      </c>
      <c r="G382" s="10" t="s">
        <v>7000</v>
      </c>
      <c r="H382" s="10" t="str">
        <f t="shared" si="17"/>
        <v>https://www.ssbuy.tw/game-detail.html?game=星際守護者</v>
      </c>
      <c r="I382" s="11" t="s">
        <v>7006</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ref="F430:F493" si="18">IF(A430="", "", "gift-codes.html?game=" &amp; A430)</f>
        <v/>
      </c>
      <c r="H430" s="10" t="str">
        <f t="shared" ref="H430:H493" si="19">IF(A430="", "", "https://www.ssbuy.tw/game-detail.html?game="&amp;A430)</f>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ref="F494:F557" si="20">IF(A494="", "", "gift-codes.html?game=" &amp; A494)</f>
        <v/>
      </c>
      <c r="H494" s="10" t="str">
        <f t="shared" ref="H494:H557" si="21">IF(A494="", "", "https://www.ssbuy.tw/game-detail.html?game="&amp;A494)</f>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IF(A558="", "", "gift-codes.html?game=" &amp; A558)</f>
        <v/>
      </c>
      <c r="H558" s="10" t="str">
        <f t="shared" ref="H558:H616" si="22">IF(A558="", "", "https://www.ssbuy.tw/game-detail.html?game="&amp;A558)</f>
        <v/>
      </c>
    </row>
    <row r="559" spans="6:8">
      <c r="F559" s="9" t="str">
        <f>IF(A559="", "", "gift-codes.html?game=" &amp; A559)</f>
        <v/>
      </c>
      <c r="H559" s="10" t="str">
        <f t="shared" si="22"/>
        <v/>
      </c>
    </row>
    <row r="560" spans="6:8">
      <c r="F560" s="9" t="str">
        <f>IF(A560="", "", "gift-codes.html?game=" &amp; A560)</f>
        <v/>
      </c>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5"/>
  <sheetViews>
    <sheetView tabSelected="1" zoomScale="85" zoomScaleNormal="85" workbookViewId="0">
      <pane xSplit="1" ySplit="1" topLeftCell="B363" activePane="bottomRight" state="frozen"/>
      <selection pane="topRight" activeCell="B1" sqref="B1"/>
      <selection pane="bottomLeft" activeCell="A2" sqref="A2"/>
      <selection pane="bottomRight" activeCell="H386" sqref="H386"/>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4" si="16">IF(A367="","", "giftcodesbanner/" &amp; A367 &amp; "-禮包碼.jpg")</f>
        <v>giftcodesbanner/魔女的傳說-禮包碼.jpg</v>
      </c>
      <c r="D367" s="60" t="str">
        <f t="shared" ref="D367:D424"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5236</v>
      </c>
      <c r="G368" s="60"/>
      <c r="H368" s="60"/>
      <c r="I368" s="60"/>
      <c r="J368" s="101"/>
      <c r="K368" s="110" t="s">
        <v>6362</v>
      </c>
      <c r="L368" s="60" t="s">
        <v>5507</v>
      </c>
      <c r="M368" s="62" t="s">
        <v>6821</v>
      </c>
      <c r="N368" s="63" t="s">
        <v>6822</v>
      </c>
      <c r="O368" s="62"/>
      <c r="P368" s="63"/>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6961</v>
      </c>
      <c r="G370" s="60" t="s">
        <v>6962</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5236</v>
      </c>
      <c r="G375" s="60"/>
      <c r="H375" s="60"/>
      <c r="I375" s="60"/>
      <c r="J375" s="101"/>
      <c r="K375" s="110" t="s">
        <v>6362</v>
      </c>
      <c r="L375" s="60" t="s">
        <v>5507</v>
      </c>
      <c r="M375" s="62"/>
      <c r="N375" s="63"/>
      <c r="O375" s="62"/>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6982</v>
      </c>
      <c r="G376" s="60" t="s">
        <v>6983</v>
      </c>
      <c r="H376" s="60" t="s">
        <v>6264</v>
      </c>
      <c r="I376" s="60"/>
      <c r="J376" s="101"/>
      <c r="K376" s="110" t="s">
        <v>6362</v>
      </c>
      <c r="L376" s="60" t="s">
        <v>5507</v>
      </c>
      <c r="M376" s="62" t="s">
        <v>6972</v>
      </c>
      <c r="N376" s="63"/>
      <c r="O376" s="62" t="s">
        <v>6973</v>
      </c>
      <c r="P376" s="63"/>
      <c r="Q376" s="62" t="s">
        <v>6974</v>
      </c>
      <c r="R376" s="63"/>
      <c r="S376" s="62" t="s">
        <v>6975</v>
      </c>
      <c r="T376" s="63"/>
      <c r="U376" s="62" t="s">
        <v>6976</v>
      </c>
      <c r="V376" s="63"/>
      <c r="W376" s="26" t="s">
        <v>2491</v>
      </c>
      <c r="X376" s="63"/>
      <c r="Y376" s="62" t="s">
        <v>6977</v>
      </c>
      <c r="Z376" s="63"/>
      <c r="AA376" s="62" t="s">
        <v>6978</v>
      </c>
      <c r="AB376" s="63"/>
      <c r="AC376" s="26" t="s">
        <v>6979</v>
      </c>
      <c r="AD376" s="63"/>
      <c r="AE376" s="62" t="s">
        <v>6980</v>
      </c>
      <c r="AF376" s="63"/>
      <c r="AG376" s="62" t="s">
        <v>6981</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c r="N377" s="63"/>
      <c r="O377" s="62"/>
      <c r="P377" s="63"/>
      <c r="Q377" s="62"/>
      <c r="R377" s="63"/>
      <c r="S377" s="62"/>
      <c r="T377" s="63"/>
      <c r="U377" s="62"/>
      <c r="V377" s="63"/>
      <c r="W377" s="62"/>
      <c r="X377" s="63"/>
      <c r="Y377" s="62"/>
      <c r="Z377" s="63"/>
      <c r="AA377" s="62"/>
      <c r="AB377" s="63"/>
      <c r="AC377" s="62"/>
      <c r="AD377" s="63"/>
      <c r="AE377" s="62"/>
      <c r="AF377" s="63"/>
      <c r="AG377" s="62"/>
      <c r="AH377" s="63"/>
      <c r="AI377" s="62"/>
      <c r="AJ377" s="63"/>
      <c r="AK377" s="62"/>
      <c r="AL377" s="63"/>
      <c r="AM377" s="62"/>
      <c r="AN377" s="63"/>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6985</v>
      </c>
      <c r="G378" s="60" t="s">
        <v>6986</v>
      </c>
      <c r="H378" s="60" t="s">
        <v>6987</v>
      </c>
      <c r="I378" s="60" t="s">
        <v>6988</v>
      </c>
      <c r="J378" s="101"/>
      <c r="K378" s="110" t="s">
        <v>6362</v>
      </c>
      <c r="L378" s="60" t="s">
        <v>5507</v>
      </c>
      <c r="M378" s="62" t="s">
        <v>6968</v>
      </c>
      <c r="N378" s="63" t="s">
        <v>6984</v>
      </c>
      <c r="O378" s="62" t="s">
        <v>6969</v>
      </c>
      <c r="P378" s="63"/>
      <c r="Q378" s="62" t="s">
        <v>6970</v>
      </c>
      <c r="R378" s="63" t="s">
        <v>6984</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c r="N381" s="63"/>
      <c r="O381" s="62"/>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
      </c>
      <c r="B383" s="60"/>
      <c r="C383" s="60" t="str">
        <f t="shared" si="16"/>
        <v/>
      </c>
      <c r="D383" s="60" t="str">
        <f t="shared" si="17"/>
        <v/>
      </c>
      <c r="E383" s="101" t="str">
        <f>IF(games!I383&lt;&gt;"", games!I383, "")</f>
        <v/>
      </c>
      <c r="F383" s="119"/>
      <c r="G383" s="60"/>
      <c r="H383" s="60"/>
      <c r="I383" s="60"/>
      <c r="J383" s="101"/>
      <c r="K383" s="102"/>
      <c r="L383" s="60"/>
      <c r="M383" s="62"/>
      <c r="N383" s="63"/>
      <c r="O383" s="62"/>
      <c r="P383" s="63"/>
      <c r="Q383" s="62"/>
      <c r="R383" s="63"/>
      <c r="S383" s="62"/>
      <c r="T383" s="63"/>
      <c r="U383" s="62"/>
      <c r="V383" s="63"/>
      <c r="W383" s="62"/>
      <c r="X383" s="63"/>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
      </c>
      <c r="B384" s="60"/>
      <c r="C384" s="60" t="str">
        <f t="shared" si="16"/>
        <v/>
      </c>
      <c r="D384" s="60" t="str">
        <f t="shared" si="17"/>
        <v/>
      </c>
      <c r="E384" s="101" t="str">
        <f>IF(games!I384&lt;&gt;"", games!I384, "")</f>
        <v/>
      </c>
      <c r="F384" s="119"/>
      <c r="G384" s="60"/>
      <c r="H384" s="60"/>
      <c r="I384" s="60"/>
      <c r="J384" s="101"/>
      <c r="K384" s="102"/>
      <c r="L384" s="60"/>
      <c r="M384" s="62"/>
      <c r="N384" s="63"/>
      <c r="O384" s="62"/>
      <c r="P384" s="63"/>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
      </c>
      <c r="B385" s="60"/>
      <c r="C385" s="60" t="str">
        <f t="shared" si="16"/>
        <v/>
      </c>
      <c r="D385" s="60" t="str">
        <f t="shared" si="17"/>
        <v/>
      </c>
      <c r="E385" s="101" t="str">
        <f>IF(games!I385&lt;&gt;"", games!I385, "")</f>
        <v/>
      </c>
      <c r="F385" s="119"/>
      <c r="G385" s="60"/>
      <c r="H385" s="60"/>
      <c r="I385" s="60"/>
      <c r="J385" s="101"/>
      <c r="K385" s="102"/>
      <c r="L385" s="60"/>
      <c r="M385" s="62"/>
      <c r="N385" s="63"/>
      <c r="O385" s="62"/>
      <c r="P385" s="63"/>
      <c r="Q385" s="62"/>
      <c r="R385" s="63"/>
      <c r="S385" s="62"/>
      <c r="T385" s="63"/>
      <c r="U385" s="62"/>
      <c r="V385" s="63"/>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
      </c>
      <c r="B386" s="60"/>
      <c r="C386" s="60" t="str">
        <f t="shared" si="16"/>
        <v/>
      </c>
      <c r="D386" s="60" t="str">
        <f t="shared" si="17"/>
        <v/>
      </c>
      <c r="E386" s="101" t="str">
        <f>IF(games!I386&lt;&gt;"", games!I386, "")</f>
        <v/>
      </c>
      <c r="F386" s="119"/>
      <c r="G386" s="60"/>
      <c r="H386" s="60"/>
      <c r="I386" s="60"/>
      <c r="J386" s="101"/>
      <c r="K386" s="102"/>
      <c r="L386" s="60"/>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
      </c>
      <c r="B387" s="60"/>
      <c r="C387" s="60" t="str">
        <f t="shared" si="16"/>
        <v/>
      </c>
      <c r="D387" s="60" t="str">
        <f t="shared" si="17"/>
        <v/>
      </c>
      <c r="E387" s="101" t="str">
        <f>IF(games!I387&lt;&gt;"", games!I387, "")</f>
        <v/>
      </c>
      <c r="F387" s="119"/>
      <c r="G387" s="60"/>
      <c r="H387" s="60"/>
      <c r="I387" s="60"/>
      <c r="J387" s="101"/>
      <c r="K387" s="102"/>
      <c r="L387" s="60"/>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
      </c>
      <c r="B388" s="60"/>
      <c r="C388" s="60" t="str">
        <f t="shared" si="16"/>
        <v/>
      </c>
      <c r="D388" s="60" t="str">
        <f t="shared" si="17"/>
        <v/>
      </c>
      <c r="E388" s="101" t="str">
        <f>IF(games!I388&lt;&gt;"", games!I388, "")</f>
        <v/>
      </c>
      <c r="F388" s="119"/>
      <c r="G388" s="60"/>
      <c r="H388" s="60"/>
      <c r="I388" s="60"/>
      <c r="J388" s="101"/>
      <c r="K388" s="102"/>
      <c r="L388" s="60"/>
      <c r="M388" s="62"/>
      <c r="N388" s="63"/>
      <c r="O388" s="62"/>
      <c r="P388" s="63"/>
      <c r="Q388" s="62"/>
      <c r="R388" s="63"/>
      <c r="S388" s="62"/>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t="str">
        <f>IF(games!A419="", "", games!A419)</f>
        <v/>
      </c>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ht="25.5" customHeight="1">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76"/>
      <c r="B423" s="60"/>
      <c r="C423" s="60" t="str">
        <f t="shared" si="16"/>
        <v/>
      </c>
      <c r="D423" s="60" t="str">
        <f t="shared" si="17"/>
        <v/>
      </c>
      <c r="E423" s="101"/>
      <c r="F423" s="119"/>
      <c r="G423" s="60"/>
      <c r="H423" s="60"/>
      <c r="I423" s="60"/>
      <c r="J423" s="101"/>
      <c r="K423" s="102"/>
      <c r="L423" s="60"/>
      <c r="M423" s="62"/>
      <c r="N423" s="63"/>
      <c r="O423" s="62"/>
      <c r="P423" s="63"/>
      <c r="Q423" s="62"/>
      <c r="R423" s="63"/>
      <c r="S423" s="62"/>
      <c r="T423" s="63"/>
      <c r="U423" s="62"/>
      <c r="V423" s="63"/>
      <c r="W423" s="62"/>
      <c r="X423" s="63"/>
      <c r="Y423" s="62"/>
      <c r="Z423" s="63"/>
      <c r="AA423" s="62"/>
      <c r="AB423" s="63"/>
      <c r="AC423" s="62"/>
      <c r="AD423" s="63"/>
      <c r="AE423" s="62"/>
      <c r="AF423" s="63"/>
      <c r="AG423" s="62"/>
      <c r="AH423" s="63"/>
      <c r="AI423" s="62"/>
      <c r="AJ423" s="63"/>
      <c r="AK423" s="62"/>
      <c r="AL423" s="63"/>
      <c r="AM423" s="62"/>
      <c r="AN423" s="63"/>
      <c r="AO423" s="62"/>
      <c r="AP423" s="63"/>
      <c r="AQ423" s="62"/>
      <c r="AR423" s="63"/>
      <c r="AS423" s="62"/>
      <c r="AT423" s="63"/>
      <c r="AU423" s="62"/>
      <c r="AV423" s="63"/>
      <c r="AW423" s="62"/>
      <c r="AX423" s="63"/>
      <c r="AY423" s="62"/>
      <c r="AZ423" s="63"/>
      <c r="BA423" s="62"/>
      <c r="BB423" s="60"/>
      <c r="BC423" s="62"/>
      <c r="BD423" s="60"/>
      <c r="BE423" s="62"/>
      <c r="BF423" s="60"/>
      <c r="BG423" s="62"/>
      <c r="BH423" s="60"/>
      <c r="BI423" s="62"/>
      <c r="BJ423" s="60"/>
      <c r="BK423" s="62"/>
      <c r="BL423" s="60"/>
      <c r="BM423" s="62"/>
      <c r="BN423" s="60"/>
      <c r="BO423" s="62"/>
      <c r="BP423" s="60"/>
      <c r="BQ423" s="62"/>
      <c r="BR423" s="64"/>
    </row>
    <row r="424" spans="1:70">
      <c r="A424" s="94"/>
      <c r="B424" s="95"/>
      <c r="C424" s="95" t="str">
        <f t="shared" si="16"/>
        <v/>
      </c>
      <c r="D424" s="95" t="str">
        <f t="shared" si="17"/>
        <v/>
      </c>
      <c r="E424" s="112"/>
      <c r="F424" s="123"/>
      <c r="G424" s="95"/>
      <c r="H424" s="95"/>
      <c r="I424" s="95"/>
      <c r="J424" s="112"/>
      <c r="K424" s="113"/>
      <c r="L424" s="95"/>
      <c r="M424" s="96"/>
      <c r="N424" s="97"/>
      <c r="O424" s="96"/>
      <c r="P424" s="97"/>
      <c r="Q424" s="96"/>
      <c r="R424" s="97"/>
      <c r="S424" s="96"/>
      <c r="T424" s="97"/>
      <c r="U424" s="96"/>
      <c r="V424" s="97"/>
      <c r="W424" s="96"/>
      <c r="X424" s="97"/>
      <c r="Y424" s="96"/>
      <c r="Z424" s="97"/>
      <c r="AA424" s="96"/>
      <c r="AB424" s="97"/>
      <c r="AC424" s="96"/>
      <c r="AD424" s="97"/>
      <c r="AE424" s="96"/>
      <c r="AF424" s="97"/>
      <c r="AG424" s="96"/>
      <c r="AH424" s="97"/>
      <c r="AI424" s="96"/>
      <c r="AJ424" s="97"/>
      <c r="AK424" s="96"/>
      <c r="AL424" s="97"/>
      <c r="AM424" s="96"/>
      <c r="AN424" s="97"/>
      <c r="AO424" s="96"/>
      <c r="AP424" s="97"/>
      <c r="AQ424" s="96"/>
      <c r="AR424" s="97"/>
      <c r="AS424" s="96"/>
      <c r="AT424" s="97"/>
      <c r="AU424" s="96"/>
      <c r="AV424" s="97"/>
      <c r="AW424" s="96"/>
      <c r="AX424" s="97"/>
      <c r="AY424" s="96"/>
      <c r="AZ424" s="97"/>
      <c r="BA424" s="96"/>
      <c r="BB424" s="95"/>
      <c r="BC424" s="96"/>
      <c r="BD424" s="95"/>
      <c r="BE424" s="96"/>
      <c r="BF424" s="95"/>
      <c r="BG424" s="96"/>
      <c r="BH424" s="95"/>
      <c r="BI424" s="96"/>
      <c r="BJ424" s="95"/>
      <c r="BK424" s="96"/>
      <c r="BL424" s="95"/>
      <c r="BM424" s="96"/>
      <c r="BN424" s="95"/>
      <c r="BO424" s="96"/>
      <c r="BP424" s="95"/>
      <c r="BQ424" s="96"/>
      <c r="BR424" s="98"/>
    </row>
    <row r="425" spans="1:70">
      <c r="A425" s="3"/>
      <c r="B425" s="3"/>
      <c r="C425" s="3"/>
      <c r="D425" s="3"/>
      <c r="E425" s="48"/>
      <c r="F425" s="49"/>
      <c r="G425" s="3"/>
      <c r="H425" s="3"/>
      <c r="I425" s="3"/>
      <c r="J425" s="48"/>
      <c r="K425" s="50"/>
      <c r="L425" s="3"/>
      <c r="M425" s="51"/>
      <c r="N425" s="52"/>
      <c r="O425" s="51"/>
      <c r="P425" s="52"/>
      <c r="Q425" s="51"/>
      <c r="R425" s="52"/>
      <c r="S425" s="51"/>
      <c r="T425" s="52"/>
      <c r="U425" s="51"/>
      <c r="V425" s="52"/>
      <c r="W425" s="51"/>
      <c r="X425" s="52"/>
      <c r="Y425" s="51"/>
      <c r="Z425" s="52"/>
      <c r="AA425" s="51"/>
      <c r="AB425" s="52"/>
      <c r="AC425" s="51"/>
      <c r="AD425" s="52"/>
      <c r="AE425" s="51"/>
      <c r="AF425" s="52"/>
      <c r="AG425" s="51"/>
      <c r="AH425" s="52"/>
      <c r="AI425" s="51"/>
      <c r="AJ425" s="52"/>
      <c r="AK425" s="51"/>
      <c r="AL425" s="52"/>
      <c r="AM425" s="51"/>
      <c r="AN425" s="52"/>
      <c r="AO425" s="51"/>
      <c r="AP425" s="52"/>
      <c r="AQ425" s="51"/>
      <c r="AR425" s="52"/>
      <c r="AS425" s="51"/>
      <c r="AT425" s="52"/>
      <c r="AU425" s="51"/>
      <c r="AV425" s="52"/>
      <c r="AW425" s="51"/>
      <c r="AX425" s="52"/>
      <c r="AY425" s="51"/>
      <c r="AZ425" s="52"/>
      <c r="BA425" s="51"/>
      <c r="BB425" s="3"/>
      <c r="BC425" s="51"/>
      <c r="BD425" s="3"/>
      <c r="BE425" s="51"/>
      <c r="BF425" s="3"/>
      <c r="BG425" s="51"/>
      <c r="BH425" s="3"/>
      <c r="BI425" s="51"/>
      <c r="BJ425" s="3"/>
      <c r="BK425" s="51"/>
      <c r="BL425" s="3"/>
      <c r="BM425" s="51"/>
      <c r="BN425" s="3"/>
      <c r="BO425" s="51"/>
      <c r="BP425" s="3"/>
      <c r="BQ425" s="51"/>
      <c r="BR425"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s>
  <pageMargins left="0.7" right="0.7" top="0.75" bottom="0.75" header="0.3" footer="0.3"/>
  <pageSetup paperSize="9" orientation="portrait" r:id="rId1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2026-01-27T09:53:18Z</dcterms:modified>
</cp:coreProperties>
</file>