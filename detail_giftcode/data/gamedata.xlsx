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<sst xmlns="http://schemas.openxmlformats.org/spreadsheetml/2006/main" count="8189" uniqueCount="5576">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</sst>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printerSettings" Target="../printerSettings/printerSettings1.bin"/><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printerSettings" Target="../printerSettings/printerSettings2.bin"/><Relationship Id="rId8"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G290" activePane="bottomRight" state="frozen"/>
      <selection pane="topRight" activeCell="B1" sqref="B1"/>
      <selection pane="bottomLeft" activeCell="A2" sqref="A2"/>
      <selection pane="bottomRight" activeCell="Q304" sqref="Q30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1"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5443</v>
      </c>
      <c r="C290" s="37" t="s">
        <v>5391</v>
      </c>
      <c r="D290" s="38" t="s">
        <v>5390</v>
      </c>
      <c r="E290" s="38" t="s">
        <v>5389</v>
      </c>
      <c r="F290" s="37" t="str">
        <f t="shared" si="12"/>
        <v>gift-codes.html?game=勇者前線Versus</v>
      </c>
      <c r="G290" s="38" t="s">
        <v>5414</v>
      </c>
      <c r="H290" s="38" t="str">
        <f t="shared" si="13"/>
        <v>https://www.ssbuy.tw/game-detail.html?game=勇者前線Versus</v>
      </c>
      <c r="I290" s="39" t="s">
        <v>5450</v>
      </c>
      <c r="J290" s="2" t="s">
        <v>5427</v>
      </c>
      <c r="K290" s="88" t="s">
        <v>5258</v>
      </c>
    </row>
    <row r="291" spans="1:31" ht="22.5" customHeight="1" thickBot="1">
      <c r="A291" s="83" t="s">
        <v>5444</v>
      </c>
      <c r="C291" s="37" t="s">
        <v>5392</v>
      </c>
      <c r="D291" s="38" t="s">
        <v>5393</v>
      </c>
      <c r="E291" s="38" t="s">
        <v>5394</v>
      </c>
      <c r="F291" s="37" t="str">
        <f t="shared" si="12"/>
        <v>gift-codes.html?game=幻域方舟</v>
      </c>
      <c r="G291" s="38" t="s">
        <v>5395</v>
      </c>
      <c r="H291" s="38" t="str">
        <f t="shared" si="13"/>
        <v>https://www.ssbuy.tw/game-detail.html?game=幻域方舟</v>
      </c>
      <c r="I291" s="39" t="s">
        <v>5451</v>
      </c>
      <c r="J291" s="2" t="s">
        <v>5427</v>
      </c>
      <c r="K291" s="88" t="s">
        <v>5258</v>
      </c>
    </row>
    <row r="292" spans="1:31" ht="22.5" customHeight="1" thickBot="1">
      <c r="A292" s="83" t="s">
        <v>5445</v>
      </c>
      <c r="C292" s="37" t="s">
        <v>5396</v>
      </c>
      <c r="D292" s="38" t="s">
        <v>5397</v>
      </c>
      <c r="E292" s="38" t="s">
        <v>5398</v>
      </c>
      <c r="F292" s="37" t="str">
        <f t="shared" si="12"/>
        <v>gift-codes.html?game=開天</v>
      </c>
      <c r="G292" s="38" t="s">
        <v>5399</v>
      </c>
      <c r="H292" s="38" t="str">
        <f t="shared" si="13"/>
        <v>https://www.ssbuy.tw/game-detail.html?game=開天</v>
      </c>
      <c r="I292" s="39" t="s">
        <v>5452</v>
      </c>
      <c r="J292" s="2" t="s">
        <v>5427</v>
      </c>
      <c r="K292" s="88" t="s">
        <v>5258</v>
      </c>
      <c r="L292" s="1" t="s">
        <v>1514</v>
      </c>
      <c r="M292" s="59">
        <v>2717</v>
      </c>
      <c r="N292" s="1" t="s">
        <v>5415</v>
      </c>
      <c r="O292" s="59">
        <v>2095</v>
      </c>
      <c r="P292" s="1" t="s">
        <v>1515</v>
      </c>
      <c r="Q292" s="59">
        <v>1388</v>
      </c>
      <c r="R292" s="1" t="s">
        <v>5416</v>
      </c>
      <c r="S292" s="59">
        <v>1194</v>
      </c>
      <c r="T292" s="1" t="s">
        <v>5417</v>
      </c>
      <c r="U292" s="59">
        <v>840</v>
      </c>
      <c r="V292" s="1" t="s">
        <v>5418</v>
      </c>
      <c r="W292" s="59">
        <v>815</v>
      </c>
      <c r="X292" s="1" t="s">
        <v>5419</v>
      </c>
      <c r="Y292" s="59">
        <v>756</v>
      </c>
      <c r="Z292" s="1" t="s">
        <v>1630</v>
      </c>
      <c r="AA292" s="59">
        <v>280</v>
      </c>
      <c r="AB292" s="1" t="s">
        <v>318</v>
      </c>
      <c r="AC292" s="59">
        <v>146</v>
      </c>
    </row>
    <row r="293" spans="1:31" ht="22.5" customHeight="1" thickBot="1">
      <c r="A293" s="83" t="s">
        <v>5446</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5453</v>
      </c>
      <c r="J293" s="2" t="s">
        <v>5427</v>
      </c>
      <c r="K293" s="88" t="s">
        <v>5258</v>
      </c>
      <c r="L293" s="1" t="s">
        <v>5420</v>
      </c>
      <c r="M293" s="59">
        <v>2717</v>
      </c>
      <c r="N293" s="1" t="s">
        <v>5421</v>
      </c>
      <c r="O293" s="59">
        <v>1422</v>
      </c>
      <c r="P293" s="1" t="s">
        <v>5422</v>
      </c>
      <c r="Q293" s="59">
        <v>840</v>
      </c>
      <c r="R293" s="1" t="s">
        <v>5423</v>
      </c>
      <c r="S293" s="59">
        <v>620</v>
      </c>
      <c r="T293" s="1" t="s">
        <v>5424</v>
      </c>
      <c r="U293" s="59">
        <v>318</v>
      </c>
      <c r="V293" s="1" t="s">
        <v>5425</v>
      </c>
      <c r="W293" s="59">
        <v>151</v>
      </c>
      <c r="X293" s="1" t="s">
        <v>5426</v>
      </c>
      <c r="Y293" s="59">
        <v>30</v>
      </c>
    </row>
    <row r="294" spans="1:31" ht="22.5" customHeight="1" thickBot="1">
      <c r="A294" s="83" t="s">
        <v>5447</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5454</v>
      </c>
      <c r="J294" s="2" t="s">
        <v>5427</v>
      </c>
      <c r="K294" s="88" t="s">
        <v>5258</v>
      </c>
      <c r="L294" s="1" t="s">
        <v>5428</v>
      </c>
      <c r="M294" s="59">
        <v>2469</v>
      </c>
      <c r="N294" s="1" t="s">
        <v>5429</v>
      </c>
      <c r="O294" s="59">
        <v>1253</v>
      </c>
      <c r="P294" s="1" t="s">
        <v>5430</v>
      </c>
      <c r="Q294" s="59">
        <v>1085</v>
      </c>
      <c r="R294" s="1" t="s">
        <v>5431</v>
      </c>
      <c r="S294" s="59">
        <v>840</v>
      </c>
      <c r="T294" s="1" t="s">
        <v>5432</v>
      </c>
      <c r="U294" s="59">
        <v>569</v>
      </c>
      <c r="V294" s="1" t="s">
        <v>5433</v>
      </c>
      <c r="W294" s="59">
        <v>272</v>
      </c>
      <c r="X294" s="1" t="s">
        <v>5434</v>
      </c>
      <c r="Y294" s="59">
        <v>195</v>
      </c>
      <c r="Z294" s="1" t="s">
        <v>5435</v>
      </c>
      <c r="AA294" s="59">
        <v>106</v>
      </c>
    </row>
    <row r="295" spans="1:31" ht="22.5" customHeight="1" thickBot="1">
      <c r="A295" s="59" t="s">
        <v>5448</v>
      </c>
      <c r="C295" s="37" t="s">
        <v>5413</v>
      </c>
      <c r="D295" s="38" t="s">
        <v>5412</v>
      </c>
      <c r="E295" s="38" t="s">
        <v>5408</v>
      </c>
      <c r="F295" s="37" t="str">
        <f t="shared" si="12"/>
        <v>gift-codes.html?game=Shiba Wars：Goddess Link TD</v>
      </c>
      <c r="G295" s="38" t="s">
        <v>5407</v>
      </c>
      <c r="H295" s="38" t="str">
        <f t="shared" si="13"/>
        <v>https://www.ssbuy.tw/game-detail.html?game=Shiba Wars：Goddess Link TD</v>
      </c>
      <c r="I295" s="39" t="s">
        <v>5455</v>
      </c>
      <c r="J295" s="2" t="s">
        <v>5427</v>
      </c>
      <c r="K295" s="88" t="s">
        <v>5258</v>
      </c>
      <c r="L295" s="1" t="s">
        <v>5436</v>
      </c>
      <c r="M295" s="59">
        <v>1926</v>
      </c>
      <c r="N295" s="1" t="s">
        <v>5437</v>
      </c>
      <c r="O295" s="59">
        <v>1253</v>
      </c>
      <c r="P295" s="1" t="s">
        <v>5438</v>
      </c>
      <c r="Q295" s="59">
        <v>586</v>
      </c>
      <c r="R295" s="1" t="s">
        <v>5439</v>
      </c>
      <c r="S295" s="59">
        <v>272</v>
      </c>
      <c r="T295" s="1" t="s">
        <v>5440</v>
      </c>
      <c r="U295" s="59">
        <v>195</v>
      </c>
      <c r="V295" s="1" t="s">
        <v>5441</v>
      </c>
      <c r="W295" s="59">
        <v>82</v>
      </c>
      <c r="X295" s="1" t="s">
        <v>5442</v>
      </c>
      <c r="Y295" s="59">
        <v>55</v>
      </c>
      <c r="Z295" s="1" t="s">
        <v>3730</v>
      </c>
      <c r="AA295" s="59">
        <v>331</v>
      </c>
    </row>
    <row r="296" spans="1:31" ht="22.5" customHeight="1" thickBot="1">
      <c r="A296" s="83" t="s">
        <v>5449</v>
      </c>
      <c r="C296" s="37" t="s">
        <v>5409</v>
      </c>
      <c r="D296" s="38" t="s">
        <v>5490</v>
      </c>
      <c r="E296" s="38" t="s">
        <v>5410</v>
      </c>
      <c r="F296" s="37" t="str">
        <f t="shared" si="12"/>
        <v>gift-codes.html?game=熱血江湖：福利加強版</v>
      </c>
      <c r="G296" s="38" t="s">
        <v>5411</v>
      </c>
      <c r="H296" s="38" t="str">
        <f t="shared" si="13"/>
        <v>https://www.ssbuy.tw/game-detail.html?game=熱血江湖：福利加強版</v>
      </c>
      <c r="I296" s="39" t="s">
        <v>5456</v>
      </c>
      <c r="J296" s="2" t="s">
        <v>5427</v>
      </c>
      <c r="K296" s="88" t="s">
        <v>5258</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5514</v>
      </c>
      <c r="C297" s="37" t="s">
        <v>5491</v>
      </c>
      <c r="D297" s="37" t="s">
        <v>5491</v>
      </c>
      <c r="E297" s="38" t="s">
        <v>5492</v>
      </c>
      <c r="F297" s="37" t="str">
        <f t="shared" si="12"/>
        <v>gift-codes.html?game=熱血主公Go</v>
      </c>
      <c r="G297" s="2" t="s">
        <v>5501</v>
      </c>
      <c r="H297" s="38" t="str">
        <f t="shared" si="13"/>
        <v>https://www.ssbuy.tw/game-detail.html?game=熱血主公Go</v>
      </c>
      <c r="I297" s="39" t="s">
        <v>5502</v>
      </c>
      <c r="J297" s="2" t="s">
        <v>5427</v>
      </c>
      <c r="K297" s="88" t="s">
        <v>5258</v>
      </c>
      <c r="L297" s="1" t="s">
        <v>5503</v>
      </c>
      <c r="M297" s="59">
        <v>2511</v>
      </c>
      <c r="N297" s="1" t="s">
        <v>5504</v>
      </c>
      <c r="O297" s="59">
        <v>1275</v>
      </c>
      <c r="P297" s="1" t="s">
        <v>5505</v>
      </c>
      <c r="Q297" s="59">
        <v>855</v>
      </c>
      <c r="R297" s="1" t="s">
        <v>5506</v>
      </c>
      <c r="S297" s="59">
        <v>423</v>
      </c>
      <c r="T297" s="1" t="s">
        <v>5507</v>
      </c>
      <c r="U297" s="59">
        <v>153</v>
      </c>
      <c r="V297" s="1" t="s">
        <v>5508</v>
      </c>
      <c r="W297" s="59">
        <v>31</v>
      </c>
    </row>
    <row r="298" spans="1:31" ht="22.5" customHeight="1" thickBot="1">
      <c r="A298" s="83" t="s">
        <v>5550</v>
      </c>
      <c r="C298" s="37" t="s">
        <v>5536</v>
      </c>
      <c r="D298" s="38" t="s">
        <v>5538</v>
      </c>
      <c r="E298" s="38" t="s">
        <v>5537</v>
      </c>
      <c r="F298" s="37" t="str">
        <f t="shared" si="12"/>
        <v>gift-codes.html?game=歡迎來到夢樂園</v>
      </c>
      <c r="G298" s="2" t="s">
        <v>5554</v>
      </c>
      <c r="H298" s="38" t="str">
        <f t="shared" si="13"/>
        <v>https://www.ssbuy.tw/game-detail.html?game=歡迎來到夢樂園</v>
      </c>
      <c r="I298" s="39" t="s">
        <v>5555</v>
      </c>
      <c r="J298" s="2" t="s">
        <v>5427</v>
      </c>
      <c r="K298" s="88" t="s">
        <v>5258</v>
      </c>
      <c r="L298" s="1" t="s">
        <v>5559</v>
      </c>
      <c r="M298" s="59">
        <v>2763</v>
      </c>
      <c r="N298" s="1" t="s">
        <v>5560</v>
      </c>
      <c r="O298" s="59">
        <v>1446</v>
      </c>
      <c r="P298" s="1" t="s">
        <v>5561</v>
      </c>
      <c r="Q298" s="59">
        <v>751</v>
      </c>
      <c r="R298" s="1" t="s">
        <v>5562</v>
      </c>
      <c r="S298" s="59">
        <v>371</v>
      </c>
      <c r="T298" s="1" t="s">
        <v>5563</v>
      </c>
      <c r="U298" s="59">
        <v>319</v>
      </c>
      <c r="V298" s="1" t="s">
        <v>5564</v>
      </c>
      <c r="W298" s="59">
        <v>117</v>
      </c>
      <c r="X298" s="1" t="s">
        <v>5565</v>
      </c>
      <c r="Y298" s="59">
        <v>46</v>
      </c>
      <c r="Z298" s="1" t="s">
        <v>5566</v>
      </c>
      <c r="AA298" s="59">
        <v>117</v>
      </c>
      <c r="AB298" s="1" t="s">
        <v>5567</v>
      </c>
      <c r="AC298" s="59">
        <v>90</v>
      </c>
      <c r="AD298" s="1" t="s">
        <v>98</v>
      </c>
      <c r="AE298" s="59">
        <v>319</v>
      </c>
    </row>
    <row r="299" spans="1:31" ht="22.5" customHeight="1" thickBot="1">
      <c r="A299" s="59" t="s">
        <v>5551</v>
      </c>
      <c r="C299" s="37" t="s">
        <v>5541</v>
      </c>
      <c r="D299" s="38" t="s">
        <v>5540</v>
      </c>
      <c r="E299" s="38" t="s">
        <v>5542</v>
      </c>
      <c r="F299" s="37" t="str">
        <f t="shared" si="12"/>
        <v>gift-codes.html?game=Cryowar</v>
      </c>
      <c r="G299" s="38" t="s">
        <v>5539</v>
      </c>
      <c r="H299" s="38" t="str">
        <f t="shared" si="13"/>
        <v>https://www.ssbuy.tw/game-detail.html?game=Cryowar</v>
      </c>
      <c r="I299" s="39" t="s">
        <v>5556</v>
      </c>
      <c r="J299" s="2" t="s">
        <v>5427</v>
      </c>
      <c r="K299" s="88" t="s">
        <v>5258</v>
      </c>
    </row>
    <row r="300" spans="1:31" ht="22.5" customHeight="1" thickBot="1">
      <c r="A300" s="83" t="s">
        <v>5552</v>
      </c>
      <c r="C300" s="37" t="s">
        <v>5545</v>
      </c>
      <c r="D300" s="38" t="s">
        <v>5546</v>
      </c>
      <c r="E300" s="38" t="s">
        <v>5544</v>
      </c>
      <c r="F300" s="37" t="str">
        <f t="shared" si="12"/>
        <v>gift-codes.html?game=深岩銀河：倖存者</v>
      </c>
      <c r="G300" s="38" t="s">
        <v>5543</v>
      </c>
      <c r="H300" s="38" t="str">
        <f t="shared" si="13"/>
        <v>https://www.ssbuy.tw/game-detail.html?game=深岩銀河：倖存者</v>
      </c>
      <c r="I300" s="39" t="s">
        <v>5557</v>
      </c>
      <c r="J300" s="2" t="s">
        <v>5427</v>
      </c>
      <c r="K300" s="88" t="s">
        <v>5258</v>
      </c>
    </row>
    <row r="301" spans="1:31" ht="22.5" customHeight="1" thickBot="1">
      <c r="A301" s="93" t="s">
        <v>5553</v>
      </c>
      <c r="C301" s="92" t="s">
        <v>5549</v>
      </c>
      <c r="D301" s="38" t="s">
        <v>3688</v>
      </c>
      <c r="E301" s="38" t="s">
        <v>5547</v>
      </c>
      <c r="F301" s="37" t="str">
        <f t="shared" si="12"/>
        <v>gift-codes.html?game=熱血排球少女</v>
      </c>
      <c r="G301" s="38" t="s">
        <v>5548</v>
      </c>
      <c r="H301" s="38" t="str">
        <f t="shared" si="13"/>
        <v>https://www.ssbuy.tw/game-detail.html?game=熱血排球少女</v>
      </c>
      <c r="I301" s="39" t="s">
        <v>5558</v>
      </c>
      <c r="J301" s="2" t="s">
        <v>5427</v>
      </c>
      <c r="K301" s="88" t="s">
        <v>5258</v>
      </c>
      <c r="L301" s="1" t="s">
        <v>5568</v>
      </c>
      <c r="M301" s="59">
        <v>1959</v>
      </c>
      <c r="N301" s="1" t="s">
        <v>5569</v>
      </c>
      <c r="O301" s="59">
        <v>1104</v>
      </c>
      <c r="P301" s="1" t="s">
        <v>5570</v>
      </c>
      <c r="Q301" s="59">
        <v>682</v>
      </c>
      <c r="R301" s="1" t="s">
        <v>5571</v>
      </c>
      <c r="S301" s="59">
        <v>262</v>
      </c>
      <c r="T301" s="1" t="s">
        <v>5572</v>
      </c>
      <c r="U301" s="59">
        <v>108</v>
      </c>
      <c r="V301" s="1" t="s">
        <v>5573</v>
      </c>
      <c r="W301" s="59">
        <v>1104</v>
      </c>
      <c r="X301" s="1" t="s">
        <v>5574</v>
      </c>
      <c r="Y301" s="59">
        <v>276</v>
      </c>
      <c r="Z301" s="1" t="s">
        <v>5575</v>
      </c>
      <c r="AA301" s="59">
        <v>108</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ref="F312:F375" si="14">IF(A312="", "", "gift-codes.html?game=" &amp; A312)</f>
        <v/>
      </c>
      <c r="H312" s="38" t="str">
        <f t="shared" ref="H312:H375" si="15">IF(A312="", "", "https://www.ssbuy.tw/game-detail.html?game="&amp;A312)</f>
        <v/>
      </c>
    </row>
    <row r="313" spans="6:8" ht="22.5" customHeight="1">
      <c r="F313" s="37" t="str">
        <f t="shared" si="14"/>
        <v/>
      </c>
      <c r="H313" s="38" t="str">
        <f t="shared" si="15"/>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 ref="G297"/>
    <hyperlink ref="G298" r:id="rId285"/>
  </hyperlinks>
  <pageMargins left="0.7" right="0.7" top="0.75" bottom="0.75" header="0.3" footer="0.3"/>
  <pageSetup paperSize="9" orientation="portrait" r:id="rId2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G283" activePane="bottomRight" state="frozen"/>
      <selection pane="topRight" activeCell="B1" sqref="B1"/>
      <selection pane="bottomLeft" activeCell="A2" sqref="A2"/>
      <selection pane="bottomRight" activeCell="G303" sqref="G30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5463</v>
      </c>
      <c r="R274" s="10" t="s">
        <v>5457</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5463</v>
      </c>
      <c r="AB275" s="10" t="s">
        <v>5457</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5463</v>
      </c>
      <c r="R276" s="10" t="s">
        <v>5457</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5463</v>
      </c>
      <c r="L277" s="10" t="s">
        <v>5457</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5463</v>
      </c>
      <c r="P278" s="10" t="s">
        <v>5457</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5463</v>
      </c>
      <c r="AH279" s="10" t="s">
        <v>5457</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5458</v>
      </c>
      <c r="L280" s="10" t="s">
        <v>5459</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5458</v>
      </c>
      <c r="L281" s="10" t="s">
        <v>5459</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5458</v>
      </c>
      <c r="L282" s="10" t="s">
        <v>5459</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15" t="s">
        <v>5482</v>
      </c>
      <c r="AG283" s="15" t="s">
        <v>5483</v>
      </c>
      <c r="AI283" s="89" t="s">
        <v>5463</v>
      </c>
      <c r="AJ283" s="10" t="s">
        <v>5457</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5463</v>
      </c>
      <c r="AP284" s="10" t="s">
        <v>5457</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89" t="s">
        <v>5512</v>
      </c>
      <c r="L285" s="10" t="s">
        <v>5513</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89" t="s">
        <v>5512</v>
      </c>
      <c r="L286" s="10" t="s">
        <v>5513</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t="s">
        <v>5480</v>
      </c>
      <c r="U287" t="s">
        <v>5481</v>
      </c>
      <c r="W287" s="89" t="s">
        <v>5463</v>
      </c>
      <c r="X287" s="10" t="s">
        <v>5457</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5512</v>
      </c>
      <c r="L288" s="10" t="s">
        <v>5513</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5512</v>
      </c>
      <c r="L289" s="10" t="s">
        <v>5513</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5512</v>
      </c>
      <c r="L290" s="10" t="s">
        <v>5513</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5461</v>
      </c>
      <c r="G291" s="10" t="s">
        <v>5460</v>
      </c>
      <c r="H291" s="10" t="s">
        <v>5462</v>
      </c>
      <c r="K291" s="78" t="s">
        <v>5464</v>
      </c>
      <c r="L291" s="10" t="s">
        <v>5465</v>
      </c>
      <c r="M291" s="89" t="s">
        <v>5512</v>
      </c>
      <c r="N291" s="10" t="s">
        <v>5513</v>
      </c>
      <c r="AC291" s="89" t="s">
        <v>5463</v>
      </c>
      <c r="AD291" s="10" t="s">
        <v>5457</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5474</v>
      </c>
      <c r="G292" s="10" t="s">
        <v>5475</v>
      </c>
      <c r="H292" s="10" t="s">
        <v>2625</v>
      </c>
      <c r="K292" s="89" t="s">
        <v>5466</v>
      </c>
      <c r="M292" s="15" t="s">
        <v>5467</v>
      </c>
      <c r="N292" s="90"/>
      <c r="O292" s="15" t="s">
        <v>5468</v>
      </c>
      <c r="Q292" s="15" t="s">
        <v>5469</v>
      </c>
      <c r="S292" s="15" t="s">
        <v>5470</v>
      </c>
      <c r="U292" s="15" t="s">
        <v>1933</v>
      </c>
      <c r="W292" s="15" t="s">
        <v>5471</v>
      </c>
      <c r="Y292" s="15" t="s">
        <v>5472</v>
      </c>
      <c r="AA292" s="15" t="s">
        <v>5473</v>
      </c>
      <c r="AC292" s="15" t="s">
        <v>5525</v>
      </c>
      <c r="AE292" s="15" t="s">
        <v>5526</v>
      </c>
      <c r="AG292" s="15" t="s">
        <v>5527</v>
      </c>
      <c r="AI292" s="15" t="s">
        <v>5528</v>
      </c>
      <c r="AK292" s="15" t="s">
        <v>5529</v>
      </c>
      <c r="AM292" s="15" t="s">
        <v>5530</v>
      </c>
      <c r="AO292" s="15" t="s">
        <v>5531</v>
      </c>
      <c r="AQ292" s="15" t="s">
        <v>5532</v>
      </c>
      <c r="AS292" s="15" t="s">
        <v>5533</v>
      </c>
      <c r="AU292" s="15" t="s">
        <v>5534</v>
      </c>
      <c r="AW292" s="15" t="s">
        <v>5535</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5474</v>
      </c>
      <c r="G293" s="10" t="s">
        <v>5475</v>
      </c>
      <c r="H293" s="10" t="s">
        <v>2625</v>
      </c>
      <c r="K293" s="89" t="s">
        <v>5476</v>
      </c>
      <c r="M293" s="15" t="s">
        <v>5477</v>
      </c>
      <c r="O293" s="15" t="s">
        <v>5478</v>
      </c>
      <c r="Q293" s="15" t="s">
        <v>5479</v>
      </c>
      <c r="S293" s="15" t="s">
        <v>5484</v>
      </c>
      <c r="U293" s="15" t="s">
        <v>5294</v>
      </c>
      <c r="W293" s="15" t="s">
        <v>1841</v>
      </c>
      <c r="Y293" s="15" t="s">
        <v>5485</v>
      </c>
      <c r="AA293" s="15" t="s">
        <v>5486</v>
      </c>
      <c r="AC293" s="15" t="s">
        <v>2912</v>
      </c>
      <c r="AE293" s="15" t="s">
        <v>5487</v>
      </c>
      <c r="AG293" s="15" t="s">
        <v>5488</v>
      </c>
      <c r="AI293" s="15" t="s">
        <v>5489</v>
      </c>
      <c r="AK293" s="89" t="s">
        <v>5463</v>
      </c>
      <c r="AL293" s="10" t="s">
        <v>5457</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5512</v>
      </c>
      <c r="L294" s="10" t="s">
        <v>5513</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5512</v>
      </c>
      <c r="L295" s="10" t="s">
        <v>5513</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5509</v>
      </c>
      <c r="G296" s="10" t="s">
        <v>5510</v>
      </c>
      <c r="H296" s="10" t="s">
        <v>2625</v>
      </c>
      <c r="K296" s="91">
        <v>666666</v>
      </c>
      <c r="M296" s="15">
        <v>777777</v>
      </c>
      <c r="O296" s="15">
        <v>888888</v>
      </c>
      <c r="Q296" s="15" t="s">
        <v>5515</v>
      </c>
      <c r="S296" s="15" t="s">
        <v>5516</v>
      </c>
      <c r="U296" s="15" t="s">
        <v>5517</v>
      </c>
      <c r="W296" s="15" t="s">
        <v>5518</v>
      </c>
      <c r="Y296" s="15" t="s">
        <v>5519</v>
      </c>
      <c r="AA296" s="15" t="s">
        <v>5520</v>
      </c>
      <c r="AC296" s="15" t="s">
        <v>5521</v>
      </c>
      <c r="AE296" s="15" t="s">
        <v>5522</v>
      </c>
      <c r="AG296" s="15" t="s">
        <v>5523</v>
      </c>
      <c r="AI296" s="15" t="s">
        <v>5524</v>
      </c>
      <c r="AK296" s="89" t="s">
        <v>5512</v>
      </c>
      <c r="AL296" s="10" t="s">
        <v>5513</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5499</v>
      </c>
      <c r="G297" s="10" t="s">
        <v>5500</v>
      </c>
      <c r="H297" s="10" t="s">
        <v>2625</v>
      </c>
      <c r="K297" s="14" t="s">
        <v>5498</v>
      </c>
      <c r="L297" s="10" t="s">
        <v>5511</v>
      </c>
      <c r="M297" s="10" t="s">
        <v>5493</v>
      </c>
      <c r="N297" s="10" t="s">
        <v>5511</v>
      </c>
      <c r="O297" s="15" t="s">
        <v>5494</v>
      </c>
      <c r="P297" s="10" t="s">
        <v>5511</v>
      </c>
      <c r="Q297" s="15" t="s">
        <v>5495</v>
      </c>
      <c r="R297" s="10" t="s">
        <v>5511</v>
      </c>
      <c r="S297" s="15" t="s">
        <v>5496</v>
      </c>
      <c r="T297" s="10" t="s">
        <v>5511</v>
      </c>
      <c r="U297" s="15" t="s">
        <v>5497</v>
      </c>
      <c r="V297" s="10" t="s">
        <v>5511</v>
      </c>
      <c r="W297" s="89" t="s">
        <v>5512</v>
      </c>
      <c r="X297" s="10" t="s">
        <v>5513</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K298" s="89" t="s">
        <v>5512</v>
      </c>
      <c r="L298" s="10" t="s">
        <v>5513</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K299" s="89" t="s">
        <v>5512</v>
      </c>
      <c r="L299" s="10" t="s">
        <v>5513</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K300" s="89" t="s">
        <v>5512</v>
      </c>
      <c r="L300" s="10" t="s">
        <v>5513</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K301" s="89" t="s">
        <v>5512</v>
      </c>
      <c r="L301" s="10" t="s">
        <v>5513</v>
      </c>
    </row>
    <row r="302" spans="1:49">
      <c r="A302" s="10" t="str">
        <f>IF(games!A302="", "", games!A302)</f>
        <v/>
      </c>
      <c r="C302" s="10" t="str">
        <f t="shared" si="12"/>
        <v/>
      </c>
      <c r="D302" s="10" t="str">
        <f t="shared" si="13"/>
        <v/>
      </c>
      <c r="E302" s="11" t="str">
        <f>IF(games!I302&lt;&gt;"", games!I302, "")</f>
        <v/>
      </c>
    </row>
    <row r="303" spans="1:49">
      <c r="C303" s="10" t="str">
        <f t="shared" si="12"/>
        <v/>
      </c>
      <c r="D303" s="10" t="str">
        <f t="shared" si="13"/>
        <v/>
      </c>
      <c r="E303" s="11" t="str">
        <f>IF(games!I303&lt;&gt;"", games!I303, "")</f>
        <v/>
      </c>
    </row>
    <row r="304" spans="1:49">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ref="C312:C375" si="14">IF(A312="","", "giftcodesbanner/" &amp; A312 &amp; "-禮包碼.jpg")</f>
        <v/>
      </c>
      <c r="D312" s="10" t="str">
        <f t="shared" ref="D312:D375" si="15">IF(A312="","", "https://www.ssbuy.tw/gift-codes.html?game="&amp;A312)</f>
        <v/>
      </c>
      <c r="E312" s="11" t="str">
        <f>IF(games!I312&lt;&gt;"", games!I312, "")</f>
        <v/>
      </c>
    </row>
    <row r="313" spans="3:5">
      <c r="C313" s="10" t="str">
        <f t="shared" si="14"/>
        <v/>
      </c>
      <c r="D313" s="10" t="str">
        <f t="shared" si="15"/>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ref="C376:C434" si="16">IF(A376="","", "giftcodesbanner/" &amp; A376 &amp; "-禮包碼.jpg")</f>
        <v/>
      </c>
      <c r="D376" s="10" t="str">
        <f t="shared" ref="D376:D434" si="17">IF(A376="","", "https://www.ssbuy.tw/gift-codes.html?game="&amp;A376)</f>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s>
  <pageMargins left="0.7" right="0.7" top="0.75" bottom="0.75" header="0.3" footer="0.3"/>
  <pageSetup paperSize="9" orientation="portrait" r:id="rId3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2025-11-10T11:17:01Z</dcterms:modified>
</cp:coreProperties>
</file>